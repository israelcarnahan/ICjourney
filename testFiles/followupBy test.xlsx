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25" documentId="8_{9E3A5FF0-E345-48E3-8D9C-BD236BB297BF}" xr6:coauthVersionLast="47" xr6:coauthVersionMax="47" xr10:uidLastSave="{D9A04F96-3A64-48E6-89D1-E56CE6F73431}"/>
  <bookViews>
    <workbookView xWindow="35730" yWindow="-210" windowWidth="21975" windowHeight="10905" xr2:uid="{ED27B8AF-98B3-463E-83B7-9FB6BD236B8B}"/>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K18" i="1"/>
  <c r="J18" i="1"/>
  <c r="I18" i="1"/>
  <c r="H18" i="1"/>
  <c r="F18" i="1"/>
  <c r="L17" i="1"/>
  <c r="K17" i="1"/>
  <c r="J17" i="1"/>
  <c r="I17" i="1"/>
  <c r="H17" i="1"/>
  <c r="F17" i="1"/>
  <c r="L16" i="1"/>
  <c r="K16" i="1"/>
  <c r="J16" i="1"/>
  <c r="I16" i="1"/>
  <c r="H16" i="1"/>
  <c r="F16" i="1"/>
  <c r="L15" i="1"/>
  <c r="K15" i="1"/>
  <c r="J15" i="1"/>
  <c r="I15" i="1"/>
  <c r="H15" i="1"/>
  <c r="F15" i="1"/>
  <c r="L14" i="1"/>
  <c r="K14" i="1"/>
  <c r="J14" i="1"/>
  <c r="I14" i="1"/>
  <c r="H14" i="1"/>
  <c r="F14" i="1"/>
  <c r="L13" i="1"/>
  <c r="K13" i="1"/>
  <c r="J13" i="1"/>
  <c r="I13" i="1"/>
  <c r="H13" i="1"/>
  <c r="F13" i="1"/>
  <c r="L12" i="1"/>
  <c r="K12" i="1"/>
  <c r="J12" i="1"/>
  <c r="I12" i="1"/>
  <c r="H12" i="1"/>
  <c r="F12" i="1"/>
  <c r="L11" i="1"/>
  <c r="K11" i="1"/>
  <c r="J11" i="1"/>
  <c r="I11" i="1"/>
  <c r="H11" i="1"/>
  <c r="F11" i="1"/>
  <c r="L10" i="1"/>
  <c r="K10" i="1"/>
  <c r="J10" i="1"/>
  <c r="I10" i="1"/>
  <c r="H10" i="1"/>
  <c r="F10" i="1"/>
  <c r="L9" i="1"/>
  <c r="K9" i="1"/>
  <c r="J9" i="1"/>
  <c r="I9" i="1"/>
  <c r="H9" i="1"/>
  <c r="F9" i="1"/>
  <c r="L8" i="1"/>
  <c r="J8" i="1"/>
  <c r="I8" i="1"/>
  <c r="H8" i="1"/>
  <c r="F8" i="1"/>
  <c r="L7" i="1"/>
  <c r="K7" i="1"/>
  <c r="J7" i="1"/>
  <c r="I7" i="1"/>
  <c r="H7" i="1"/>
  <c r="F7" i="1"/>
  <c r="L6" i="1"/>
  <c r="K6" i="1"/>
  <c r="J6" i="1"/>
  <c r="I6" i="1"/>
  <c r="H6" i="1"/>
  <c r="F6" i="1"/>
  <c r="L5" i="1"/>
  <c r="K5" i="1"/>
  <c r="J5" i="1"/>
  <c r="I5" i="1"/>
  <c r="H5" i="1"/>
  <c r="F5" i="1"/>
  <c r="L4" i="1"/>
  <c r="K4" i="1"/>
  <c r="J4" i="1"/>
  <c r="I4" i="1"/>
  <c r="H4" i="1"/>
  <c r="F4" i="1"/>
  <c r="L3" i="1"/>
  <c r="K3" i="1"/>
  <c r="J3" i="1"/>
  <c r="I3" i="1"/>
  <c r="H3" i="1"/>
  <c r="F3" i="1"/>
  <c r="L2" i="1"/>
  <c r="K2" i="1"/>
  <c r="J2" i="1"/>
  <c r="I2" i="1"/>
  <c r="H2" i="1"/>
  <c r="F2" i="1"/>
</calcChain>
</file>

<file path=xl/sharedStrings.xml><?xml version="1.0" encoding="utf-8"?>
<sst xmlns="http://schemas.openxmlformats.org/spreadsheetml/2006/main" count="96" uniqueCount="64">
  <si>
    <t>pub</t>
  </si>
  <si>
    <t>zip</t>
  </si>
  <si>
    <t>rtm</t>
  </si>
  <si>
    <t>last_visited</t>
  </si>
  <si>
    <t>CO10 2AG</t>
  </si>
  <si>
    <t>Stonegate</t>
  </si>
  <si>
    <t>CO</t>
  </si>
  <si>
    <t>short_post</t>
  </si>
  <si>
    <t>rm</t>
  </si>
  <si>
    <t>top_volume</t>
  </si>
  <si>
    <t>landlord</t>
  </si>
  <si>
    <t>phone</t>
  </si>
  <si>
    <t>email</t>
  </si>
  <si>
    <t>visit_notes</t>
  </si>
  <si>
    <t>Westgate (Bury St Edmunds)</t>
  </si>
  <si>
    <t>IP33 1QD</t>
  </si>
  <si>
    <t>IP</t>
  </si>
  <si>
    <t>Greene King LT</t>
  </si>
  <si>
    <t>Samantha Wortley</t>
  </si>
  <si>
    <t>Albion, Thetford</t>
  </si>
  <si>
    <t>IP24 2DN</t>
  </si>
  <si>
    <t>Admiral</t>
  </si>
  <si>
    <t>Kirsty Pettitt</t>
  </si>
  <si>
    <t>White Horse Crostwick</t>
  </si>
  <si>
    <t>NR12 7BD</t>
  </si>
  <si>
    <t>NR</t>
  </si>
  <si>
    <t>Stuart Galloway</t>
  </si>
  <si>
    <t>Trafalgar, Harwich</t>
  </si>
  <si>
    <t>CO12 4LW</t>
  </si>
  <si>
    <t>James McIver</t>
  </si>
  <si>
    <t>Brewer Arms (Brightlingsea)</t>
  </si>
  <si>
    <t>CO7 0BX</t>
  </si>
  <si>
    <t>Greene King IFT</t>
  </si>
  <si>
    <t>Nikki Hayter</t>
  </si>
  <si>
    <t>Golden Star (Norwich)</t>
  </si>
  <si>
    <t>NR3 1DD</t>
  </si>
  <si>
    <t>Lee Jarvis</t>
  </si>
  <si>
    <t>Queensbuyry</t>
  </si>
  <si>
    <t>Feltwell Golf Club (Feltwell)</t>
  </si>
  <si>
    <t>IP26 4AY</t>
  </si>
  <si>
    <t>Tom Cladd</t>
  </si>
  <si>
    <t>Angel, Sudbury</t>
  </si>
  <si>
    <t>Toftwood Social Centre (Toftwood)</t>
  </si>
  <si>
    <t>NR19 1AH</t>
  </si>
  <si>
    <t>Deborah Hedges</t>
  </si>
  <si>
    <t>Norwich City Football Club (Norwich</t>
  </si>
  <si>
    <t>NR1 1JE</t>
  </si>
  <si>
    <t>Neil Weddle</t>
  </si>
  <si>
    <t>Edinburgh Inn (Wells Next to the</t>
  </si>
  <si>
    <t>NR23 1AE</t>
  </si>
  <si>
    <t>Andrew Galpin</t>
  </si>
  <si>
    <t>Albion, Cromer</t>
  </si>
  <si>
    <t>NR27 9ES</t>
  </si>
  <si>
    <t>Red Lion (Stifkey)</t>
  </si>
  <si>
    <t>NR23 1AJ</t>
  </si>
  <si>
    <t>Ram Inn Brundall</t>
  </si>
  <si>
    <t>NR13 5LP</t>
  </si>
  <si>
    <t>Station Hotel</t>
  </si>
  <si>
    <t>CO7 9DH</t>
  </si>
  <si>
    <t>Punch</t>
  </si>
  <si>
    <t>Graham Roberts</t>
  </si>
  <si>
    <t>Three Wise Monkeys (Colchester)</t>
  </si>
  <si>
    <t>CO1 1DN</t>
  </si>
  <si>
    <t>2.0 last_visit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</si>
</sst>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0000"/>
      <name val="Aptos Narrow"/>
      <family val="2"/>
      <scheme val="minor"/>
    </font>
    <font>
      <sz val="8"/>
      <name val="Verdana"/>
      <family val="2"/>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0"/>
      <color theme="1"/>
      <name val="Aptos Narrow"/>
      <family val="2"/>
      <scheme val="minor"/>
    </font>
    <font>
      <sz val="10"/>
      <color rgb="FF000000"/>
      <name val="Aptos Narrow"/>
      <family val="2"/>
      <scheme val="minor"/>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2">
    <xf numFmtId="0" fontId="0" fillId="0" borderId="0"/>
    <xf numFmtId="0" fontId="1" fillId="0" borderId="0"/>
  </cellStyleXfs>
  <cellXfs count="22">
    <xf numFmtId="0" fontId="0" fillId="0" borderId="0" xfId="0"/>
    <xf numFmtId="0" fontId="0" fillId="0" borderId="0" xfId="0" applyAlignment="1">
      <alignment horizontal="center"/>
    </xf>
    <xf numFmtId="0" fontId="4" fillId="2" borderId="0" xfId="0" applyFont="1" applyFill="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14"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0" fontId="6" fillId="3" borderId="0" xfId="0" applyFont="1" applyFill="1" applyAlignment="1">
      <alignment horizontal="center" vertical="center" wrapText="1"/>
    </xf>
    <xf numFmtId="0" fontId="0" fillId="3" borderId="0" xfId="0" applyFill="1" applyAlignment="1">
      <alignment horizontal="center" vertical="center" wrapText="1"/>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center" wrapText="1"/>
    </xf>
    <xf numFmtId="0" fontId="1" fillId="0" borderId="0" xfId="0" applyFont="1" applyAlignment="1">
      <alignment horizontal="center" wrapText="1"/>
    </xf>
    <xf numFmtId="14" fontId="0" fillId="0" borderId="0" xfId="0" applyNumberFormat="1" applyAlignment="1">
      <alignment horizontal="center" wrapText="1"/>
    </xf>
    <xf numFmtId="0" fontId="7" fillId="0" borderId="0" xfId="0" applyFont="1" applyAlignment="1">
      <alignment horizontal="center"/>
    </xf>
    <xf numFmtId="0" fontId="7" fillId="0" borderId="0" xfId="0" applyFont="1" applyAlignment="1">
      <alignment horizontal="center" wrapText="1"/>
    </xf>
    <xf numFmtId="0" fontId="0" fillId="0" borderId="0" xfId="0" applyAlignment="1">
      <alignment horizontal="left" vertical="center" wrapText="1"/>
    </xf>
    <xf numFmtId="0" fontId="7" fillId="0" borderId="0" xfId="0" applyFont="1" applyAlignment="1">
      <alignment horizontal="left" wrapText="1"/>
    </xf>
    <xf numFmtId="0" fontId="8" fillId="0" borderId="0" xfId="0" applyFont="1" applyAlignment="1">
      <alignment horizontal="center" wrapText="1"/>
    </xf>
    <xf numFmtId="0" fontId="0" fillId="0" borderId="0" xfId="0" applyAlignment="1">
      <alignment horizontal="left" wrapText="1"/>
    </xf>
    <xf numFmtId="0" fontId="2" fillId="0" borderId="0" xfId="0" applyFont="1" applyAlignment="1">
      <alignment horizontal="left" wrapText="1" readingOrder="1"/>
    </xf>
    <xf numFmtId="0" fontId="2" fillId="0" borderId="0" xfId="0" applyFont="1" applyAlignment="1">
      <alignment horizontal="center" wrapText="1" readingOrder="1"/>
    </xf>
  </cellXfs>
  <cellStyles count="2">
    <cellStyle name="Normal" xfId="0" builtinId="0"/>
    <cellStyle name="Normal 4" xfId="1" xr:uid="{FC48ACA0-495A-449B-B501-28EF78F7C0D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6923F-9EE5-4858-8140-D7EDCB240659}">
  <dimension ref="A1:L18"/>
  <sheetViews>
    <sheetView tabSelected="1" workbookViewId="0">
      <selection activeCell="F2" sqref="F2"/>
    </sheetView>
  </sheetViews>
  <sheetFormatPr defaultRowHeight="15" x14ac:dyDescent="0.25"/>
  <cols>
    <col min="7" max="7" width="9.42578125" bestFit="1" customWidth="1"/>
  </cols>
  <sheetData>
    <row r="1" spans="1:12" ht="27" x14ac:dyDescent="0.25">
      <c r="A1" s="2" t="s">
        <v>0</v>
      </c>
      <c r="B1" s="3" t="s">
        <v>1</v>
      </c>
      <c r="C1" s="2" t="s">
        <v>7</v>
      </c>
      <c r="D1" s="4" t="s">
        <v>2</v>
      </c>
      <c r="E1" s="2" t="s">
        <v>8</v>
      </c>
      <c r="F1" s="5" t="s">
        <v>63</v>
      </c>
      <c r="G1" s="6" t="s">
        <v>3</v>
      </c>
      <c r="H1" s="7" t="s">
        <v>9</v>
      </c>
      <c r="I1" s="7" t="s">
        <v>10</v>
      </c>
      <c r="J1" s="8" t="s">
        <v>11</v>
      </c>
      <c r="K1" s="8" t="s">
        <v>12</v>
      </c>
      <c r="L1" s="6" t="s">
        <v>13</v>
      </c>
    </row>
    <row r="2" spans="1:12" ht="105" x14ac:dyDescent="0.25">
      <c r="A2" s="9" t="s">
        <v>14</v>
      </c>
      <c r="B2" s="10" t="s">
        <v>15</v>
      </c>
      <c r="C2" s="10" t="s">
        <v>16</v>
      </c>
      <c r="D2" s="11" t="s">
        <v>17</v>
      </c>
      <c r="E2" s="12" t="s">
        <v>18</v>
      </c>
      <c r="F2" s="13" t="str">
        <f>IFERROR(VLOOKUP(B2, [1]Visited!$B$2:$C$743, 2, FALSE), "")</f>
        <v>6/28/2024 1:29:16 PM</v>
      </c>
      <c r="G2" s="13">
        <v>46174</v>
      </c>
      <c r="H2" s="14" t="str">
        <f>IFERROR(VLOOKUP(B2, [1]Volume!$B$2:$C$1000, 2, FALSE), "")</f>
        <v/>
      </c>
      <c r="I2" t="str">
        <f>IFERROR(VLOOKUP(B2, [1]Visited!B:D, 3, FALSE), "")</f>
        <v>emailed again</v>
      </c>
      <c r="J2" s="1">
        <f>IFERROR(VLOOKUP(B2, [1]Visited!B:E, 4, FALSE), "")</f>
        <v>0</v>
      </c>
      <c r="K2" s="15" t="str">
        <f>IFERROR(VLOOKUP(B2, [1]Visited!B:F, 5, FALSE), "")</f>
        <v>x</v>
      </c>
      <c r="L2" s="16" t="str">
        <f>IFERROR(INDEX([1]Visited!G:G, MATCH(B2, [1]Visited!B:B, 0)), "")</f>
        <v>works with the other local pubs to be different</v>
      </c>
    </row>
    <row r="3" spans="1:12" ht="90" x14ac:dyDescent="0.25">
      <c r="A3" s="9" t="s">
        <v>19</v>
      </c>
      <c r="B3" s="10" t="s">
        <v>20</v>
      </c>
      <c r="C3" s="10" t="s">
        <v>16</v>
      </c>
      <c r="D3" s="11" t="s">
        <v>21</v>
      </c>
      <c r="E3" s="12" t="s">
        <v>22</v>
      </c>
      <c r="F3" s="13">
        <f>IFERROR(VLOOKUP(B3, [1]Visited!$B$2:$C$743, 2, FALSE), "")</f>
        <v>45334.568773148145</v>
      </c>
      <c r="G3" s="13">
        <v>46174</v>
      </c>
      <c r="H3" s="14">
        <f>IFERROR(VLOOKUP(B3, [1]Volume!$B$2:$C$1000, 2, FALSE), "")</f>
        <v>22.690741589198037</v>
      </c>
      <c r="I3" t="str">
        <f>IFERROR(VLOOKUP(B3, [1]Visited!B:D, 3, FALSE), "")</f>
        <v>Shawn or Lawrence is manager</v>
      </c>
      <c r="J3" s="1">
        <f>IFERROR(VLOOKUP(B3, [1]Visited!B:E, 4, FALSE), "")</f>
        <v>7488272883</v>
      </c>
      <c r="K3" s="15" t="str">
        <f>IFERROR(VLOOKUP(B3, [1]Visited!B:F, 5, FALSE), "")</f>
        <v>x</v>
      </c>
      <c r="L3" s="16" t="str">
        <f>IFERROR(INDEX([1]Visited!G:G, MATCH(B3, [1]Visited!B:B, 0)), "")</f>
        <v>walked into shauns yearl financial.meeting</v>
      </c>
    </row>
    <row r="4" spans="1:12" ht="409.5" x14ac:dyDescent="0.25">
      <c r="A4" s="9" t="s">
        <v>23</v>
      </c>
      <c r="B4" s="10" t="s">
        <v>24</v>
      </c>
      <c r="C4" s="10" t="s">
        <v>25</v>
      </c>
      <c r="D4" s="11" t="s">
        <v>5</v>
      </c>
      <c r="E4" s="12" t="s">
        <v>26</v>
      </c>
      <c r="F4" s="13" t="str">
        <f>IFERROR(VLOOKUP(B4, [1]Visited!$B$2:$C$743, 2, FALSE), "")</f>
        <v>1/8/2025 9:17:07 AM</v>
      </c>
      <c r="G4" s="13">
        <v>46174</v>
      </c>
      <c r="H4" s="14" t="str">
        <f>IFERROR(VLOOKUP(B4, [1]Volume!$B$2:$C$1000, 2, FALSE), "")</f>
        <v/>
      </c>
      <c r="I4" t="str">
        <f>IFERROR(VLOOKUP(B4, [1]Visited!B:D, 3, FALSE), "")</f>
        <v>mike- michael</v>
      </c>
      <c r="J4" s="1" t="str">
        <f>IFERROR(VLOOKUP(B4, [1]Visited!B:E, 4, FALSE), "")</f>
        <v>01603737560</v>
      </c>
      <c r="K4" s="15" t="str">
        <f>IFERROR(VLOOKUP(B4, [1]Visited!B:F, 5, FALSE), "")</f>
        <v>hello@thewhitehorsecristwick.co.uk</v>
      </c>
      <c r="L4" s="16" t="str">
        <f>IFERROR(INDEX([1]Visited!G:G, MATCH(B4, [1]Visited!B:B, 0)), "")</f>
        <v>met mom and daughter, just missed Mike
are huk lead because of pb work agreed, had a brief convo on how we could also sort this. asked to reach back out in spring once the brands have been pouring for a bit and open to change up . great ops here for volume and craft</v>
      </c>
    </row>
    <row r="5" spans="1:12" ht="150" x14ac:dyDescent="0.25">
      <c r="A5" s="9" t="s">
        <v>27</v>
      </c>
      <c r="B5" s="10" t="s">
        <v>28</v>
      </c>
      <c r="C5" s="10" t="s">
        <v>6</v>
      </c>
      <c r="D5" s="11" t="s">
        <v>21</v>
      </c>
      <c r="E5" s="12" t="s">
        <v>29</v>
      </c>
      <c r="F5" s="13" t="str">
        <f>IFERROR(VLOOKUP(B5, [1]Visited!$B$2:$C$743, 2, FALSE), "")</f>
        <v>8/30/2024 9:59:39 AM</v>
      </c>
      <c r="G5" s="13">
        <v>46027</v>
      </c>
      <c r="H5" s="14">
        <f>IFERROR(VLOOKUP(B5, [1]Volume!$B$2:$C$1000, 2, FALSE), "")</f>
        <v>41.747013194790107</v>
      </c>
      <c r="I5" t="str">
        <f>IFERROR(VLOOKUP(B5, [1]Visited!B:D, 3, FALSE), "")</f>
        <v>joe</v>
      </c>
      <c r="J5" s="1">
        <f>IFERROR(VLOOKUP(B5, [1]Visited!B:E, 4, FALSE), "")</f>
        <v>0</v>
      </c>
      <c r="K5" s="11" t="str">
        <f>IFERROR(VLOOKUP(B6, [1]Visited!B:F, 5, FALSE), "")</f>
        <v>brewersarms73@</v>
      </c>
      <c r="L5" s="16" t="str">
        <f>IFERROR(INDEX([1]Visited!G:G, MATCH(B5, [1]Visited!B:B, 0)), "")</f>
        <v>met max, just got inheritance and probably leaving in a few months. real free spirit</v>
      </c>
    </row>
    <row r="6" spans="1:12" ht="75" x14ac:dyDescent="0.25">
      <c r="A6" s="17" t="s">
        <v>30</v>
      </c>
      <c r="B6" s="14" t="s">
        <v>31</v>
      </c>
      <c r="C6" s="14" t="s">
        <v>6</v>
      </c>
      <c r="D6" s="15" t="s">
        <v>32</v>
      </c>
      <c r="E6" s="18" t="s">
        <v>33</v>
      </c>
      <c r="F6" s="13" t="str">
        <f>IFERROR(VLOOKUP(B6, [1]Visited!$B$2:$C$743, 2, FALSE), "")</f>
        <v>12/30/2024 2:00:56 PM</v>
      </c>
      <c r="G6" s="13">
        <v>46174</v>
      </c>
      <c r="H6" s="14">
        <f>IFERROR(VLOOKUP(B6, [1]Volume!$B$2:$C$1000, 2, FALSE), "")</f>
        <v>41.356699045199946</v>
      </c>
      <c r="I6" t="str">
        <f>IFERROR(VLOOKUP(B6, [1]Visited!B:D, 3, FALSE), "")</f>
        <v>julie</v>
      </c>
      <c r="J6" s="1">
        <f>IFERROR(VLOOKUP(B6, [1]Visited!B:E, 4, FALSE), "")</f>
        <v>0</v>
      </c>
      <c r="K6" s="15" t="str">
        <f>IFERROR(VLOOKUP(B6, [1]Visited!B:F, 5, FALSE), "")</f>
        <v>brewersarms73@</v>
      </c>
      <c r="L6" s="16" t="str">
        <f>IFERROR(INDEX([1]Visited!G:G, MATCH(B6, [1]Visited!B:B, 0)), "")</f>
        <v>met julie, quite ill for a proper sit down.</v>
      </c>
    </row>
    <row r="7" spans="1:12" ht="165" x14ac:dyDescent="0.25">
      <c r="A7" s="9" t="s">
        <v>34</v>
      </c>
      <c r="B7" s="10" t="s">
        <v>35</v>
      </c>
      <c r="C7" s="10" t="s">
        <v>25</v>
      </c>
      <c r="D7" s="11" t="s">
        <v>17</v>
      </c>
      <c r="E7" s="12" t="s">
        <v>36</v>
      </c>
      <c r="F7" s="13" t="str">
        <f>IFERROR(VLOOKUP(B7, [1]Visited!$B$2:$C$743, 2, FALSE), "")</f>
        <v>1/28/2025 12:45:54 PM</v>
      </c>
      <c r="G7" s="13">
        <v>46204</v>
      </c>
      <c r="H7" s="14" t="str">
        <f>IFERROR(VLOOKUP(B7, [1]Volume!$B$2:$C$1000, 2, FALSE), "")</f>
        <v/>
      </c>
      <c r="I7" t="str">
        <f>IFERROR(VLOOKUP(B7, [1]Visited!B:D, 3, FALSE), "")</f>
        <v>ieva</v>
      </c>
      <c r="J7" s="1" t="str">
        <f>IFERROR(VLOOKUP(B7, [1]Visited!B:E, 4, FALSE), "")</f>
        <v>01603632447</v>
      </c>
      <c r="K7" s="11" t="str">
        <f>IFERROR(VLOOKUP(B7, [1]Visited!B:F, 5, FALSE), "")</f>
        <v>hello@goldenstarnorwich.co.uk</v>
      </c>
      <c r="L7" s="16" t="str">
        <f>IFERROR(INDEX([1]Visited!G:G, MATCH(B7, [1]Visited!B:B, 0)), "")</f>
        <v>meeting with lee next week. on the 5th.
 Tuesdays and wednesdays 12-2 better.</v>
      </c>
    </row>
    <row r="8" spans="1:12" ht="165" x14ac:dyDescent="0.25">
      <c r="A8" s="19" t="s">
        <v>37</v>
      </c>
      <c r="B8" s="1" t="s">
        <v>35</v>
      </c>
      <c r="C8" s="1" t="s">
        <v>25</v>
      </c>
      <c r="D8" s="11" t="s">
        <v>5</v>
      </c>
      <c r="E8" s="11"/>
      <c r="F8" s="13" t="str">
        <f>IFERROR(VLOOKUP(B8, [1]Visited!$B$2:$C$743, 2, FALSE), "")</f>
        <v>1/28/2025 12:45:54 PM</v>
      </c>
      <c r="G8" s="13">
        <v>46027</v>
      </c>
      <c r="H8" s="14" t="str">
        <f>IFERROR(VLOOKUP(B8, [1]Volume!$B$2:$C$1000, 2, FALSE), "")</f>
        <v/>
      </c>
      <c r="I8" t="str">
        <f>IFERROR(VLOOKUP(B8, [1]Visited!B:D, 3, FALSE), "")</f>
        <v>ieva</v>
      </c>
      <c r="J8" s="1" t="str">
        <f>IFERROR(VLOOKUP(B8, [1]Visited!B:E, 4, FALSE), "")</f>
        <v>01603632447</v>
      </c>
      <c r="K8" s="11"/>
      <c r="L8" s="16" t="str">
        <f>IFERROR(INDEX([1]Visited!G:G, MATCH(B8, [1]Visited!B:B, 0)), "")</f>
        <v>meeting with lee next week. on the 5th.
 Tuesdays and wednesdays 12-2 better.</v>
      </c>
    </row>
    <row r="9" spans="1:12" ht="60" x14ac:dyDescent="0.25">
      <c r="A9" s="17" t="s">
        <v>38</v>
      </c>
      <c r="B9" s="14" t="s">
        <v>39</v>
      </c>
      <c r="C9" s="14" t="s">
        <v>16</v>
      </c>
      <c r="D9" s="15" t="s">
        <v>32</v>
      </c>
      <c r="E9" s="15" t="s">
        <v>40</v>
      </c>
      <c r="F9" s="13" t="str">
        <f>IFERROR(VLOOKUP(B9, [1]Visited!$B$2:$C$743, 2, FALSE), "")</f>
        <v>12/13/2024 12:45:59 PM</v>
      </c>
      <c r="G9" s="13">
        <v>46204</v>
      </c>
      <c r="H9" s="14" t="str">
        <f>IFERROR(VLOOKUP(B9, [1]Volume!$B$2:$C$1000, 2, FALSE), "")</f>
        <v/>
      </c>
      <c r="I9" t="str">
        <f>IFERROR(VLOOKUP(B9, [1]Visited!B:D, 3, FALSE), "")</f>
        <v>jo</v>
      </c>
      <c r="J9" s="1">
        <f>IFERROR(VLOOKUP(B9, [1]Visited!B:E, 4, FALSE), "")</f>
        <v>0</v>
      </c>
      <c r="K9" s="15" t="str">
        <f>IFERROR(VLOOKUP(B9, [1]Visited!B:F, 5, FALSE), "")</f>
        <v>feltwellgolfclub@btconnect.com</v>
      </c>
      <c r="L9" s="16" t="str">
        <f>IFERROR(INDEX([1]Visited!G:G, MATCH(B9, [1]Visited!B:B, 0)), "")</f>
        <v>meeting niki new year</v>
      </c>
    </row>
    <row r="10" spans="1:12" ht="409.5" x14ac:dyDescent="0.25">
      <c r="A10" s="9" t="s">
        <v>41</v>
      </c>
      <c r="B10" s="10" t="s">
        <v>4</v>
      </c>
      <c r="C10" s="10" t="s">
        <v>6</v>
      </c>
      <c r="D10" s="11" t="s">
        <v>21</v>
      </c>
      <c r="E10" s="12" t="s">
        <v>29</v>
      </c>
      <c r="F10" s="13" t="str">
        <f>IFERROR(VLOOKUP(B10, [1]Visited!$B$2:$C$743, 2, FALSE), "")</f>
        <v>1/23/2025 12:21:31 PM</v>
      </c>
      <c r="G10" s="13">
        <v>46174</v>
      </c>
      <c r="H10" s="14" t="str">
        <f>IFERROR(VLOOKUP(B10, [1]Volume!$B$2:$C$1000, 2, FALSE), "")</f>
        <v/>
      </c>
      <c r="I10" t="str">
        <f>IFERROR(VLOOKUP(B10, [1]Visited!B:D, 3, FALSE), "")</f>
        <v>tracy</v>
      </c>
      <c r="J10" s="1" t="str">
        <f>IFERROR(VLOOKUP(B10, [1]Visited!B:E, 4, FALSE), "")</f>
        <v>0</v>
      </c>
      <c r="K10" s="11" t="str">
        <f>IFERROR(VLOOKUP(B11, [1]Visited!B:F, 5, FALSE), "")</f>
        <v>info@toftwoodsocialclub.co.uk</v>
      </c>
      <c r="L10" s="16" t="str">
        <f>IFERROR(INDEX([1]Visited!G:G, MATCH(B10, [1]Visited!B:B, 0)), "")</f>
        <v>meet with Tracy on neckoil ops, no show ill
Cafe style less than a pub cells a keg a week. Very opens to change , but not high volume. Coronaziro win
Ask me to call her Regional manager, She can't see her deals page</v>
      </c>
    </row>
    <row r="11" spans="1:12" ht="67.5" x14ac:dyDescent="0.25">
      <c r="A11" s="17" t="s">
        <v>42</v>
      </c>
      <c r="B11" s="14" t="s">
        <v>43</v>
      </c>
      <c r="C11" s="14" t="s">
        <v>25</v>
      </c>
      <c r="D11" s="15" t="s">
        <v>32</v>
      </c>
      <c r="E11" s="18" t="s">
        <v>44</v>
      </c>
      <c r="F11" s="13" t="str">
        <f>IFERROR(VLOOKUP(B11, [1]Visited!$B$2:$C$743, 2, FALSE), "")</f>
        <v>11/14/2024 2:50:59 PM</v>
      </c>
      <c r="G11" s="13">
        <v>46204</v>
      </c>
      <c r="H11" s="14" t="str">
        <f>IFERROR(VLOOKUP(B11, [1]Volume!$B$2:$C$1000, 2, FALSE), "")</f>
        <v/>
      </c>
      <c r="I11" t="str">
        <f>IFERROR(VLOOKUP(B11, [1]Visited!B:D, 3, FALSE), "")</f>
        <v>sandra</v>
      </c>
      <c r="J11" s="1">
        <f>IFERROR(VLOOKUP(B11, [1]Visited!B:E, 4, FALSE), "")</f>
        <v>7736521013</v>
      </c>
      <c r="K11" s="15" t="str">
        <f>IFERROR(VLOOKUP(B11, [1]Visited!B:F, 5, FALSE), "")</f>
        <v>info@toftwoodsocialclub.co.uk</v>
      </c>
      <c r="L11" s="16" t="str">
        <f>IFERROR(INDEX([1]Visited!G:G, MATCH(B11, [1]Visited!B:B, 0)), "")</f>
        <v>Martin ll of 14 months</v>
      </c>
    </row>
    <row r="12" spans="1:12" ht="67.5" x14ac:dyDescent="0.25">
      <c r="A12" s="17" t="s">
        <v>45</v>
      </c>
      <c r="B12" s="14" t="s">
        <v>46</v>
      </c>
      <c r="C12" s="14" t="s">
        <v>25</v>
      </c>
      <c r="D12" s="15" t="s">
        <v>32</v>
      </c>
      <c r="E12" s="18" t="s">
        <v>47</v>
      </c>
      <c r="F12" s="13" t="str">
        <f>IFERROR(VLOOKUP(B12, [1]Visited!$B$2:$C$743, 2, FALSE), "")</f>
        <v>11/25/2024 5:06:26 PM</v>
      </c>
      <c r="G12" s="13">
        <v>46025</v>
      </c>
      <c r="H12" s="14">
        <f>IFERROR(VLOOKUP(B12, [1]Volume!$B$2:$C$1000, 2, FALSE), "")</f>
        <v>58.508191169999968</v>
      </c>
      <c r="I12" t="str">
        <f>IFERROR(VLOOKUP(B12, [1]Visited!B:D, 3, FALSE), "")</f>
        <v>x</v>
      </c>
      <c r="J12" s="1">
        <f>IFERROR(VLOOKUP(B12, [1]Visited!B:E, 4, FALSE), "")</f>
        <v>0</v>
      </c>
      <c r="K12" s="15" t="str">
        <f>IFERROR(VLOOKUP(B12, [1]Visited!B:F, 5, FALSE), "")</f>
        <v>x</v>
      </c>
      <c r="L12" s="16" t="str">
        <f>IFERROR(INDEX([1]Visited!G:G, MATCH(B12, [1]Visited!B:B, 0)), "")</f>
        <v>magners glasses left in stock?</v>
      </c>
    </row>
    <row r="13" spans="1:12" ht="150" x14ac:dyDescent="0.25">
      <c r="A13" s="17" t="s">
        <v>48</v>
      </c>
      <c r="B13" s="15" t="s">
        <v>49</v>
      </c>
      <c r="C13" s="15" t="s">
        <v>25</v>
      </c>
      <c r="D13" s="15" t="s">
        <v>32</v>
      </c>
      <c r="E13" s="18" t="s">
        <v>50</v>
      </c>
      <c r="F13" s="13">
        <f>IFERROR(VLOOKUP(B13, [1]Visited!$B$2:$C$743, 2, FALSE), "")</f>
        <v>45484.545081018521</v>
      </c>
      <c r="G13" s="13">
        <v>46025</v>
      </c>
      <c r="H13" s="14">
        <f>IFERROR(VLOOKUP(B13, [1]Volume!$B$2:$C$1000, 2, FALSE), "")</f>
        <v>35.906845154400017</v>
      </c>
      <c r="I13" t="str">
        <f>IFERROR(VLOOKUP(B13, [1]Visited!B:D, 3, FALSE), "")</f>
        <v>x</v>
      </c>
      <c r="J13" s="1">
        <f>IFERROR(VLOOKUP(B13, [1]Visited!B:E, 4, FALSE), "")</f>
        <v>0</v>
      </c>
      <c r="K13" s="15" t="str">
        <f>IFERROR(VLOOKUP(B13, [1]Visited!B:F, 5, FALSE), "")</f>
        <v>x</v>
      </c>
      <c r="L13" s="16" t="str">
        <f>IFERROR(INDEX([1]Visited!G:G, MATCH(B13, [1]Visited!B:B, 0)), "")</f>
        <v>madri not doing good still, sent her a note for tnt and hells reminder</v>
      </c>
    </row>
    <row r="14" spans="1:12" ht="285" x14ac:dyDescent="0.25">
      <c r="A14" s="9" t="s">
        <v>51</v>
      </c>
      <c r="B14" s="10" t="s">
        <v>52</v>
      </c>
      <c r="C14" s="10" t="s">
        <v>25</v>
      </c>
      <c r="D14" s="11" t="s">
        <v>21</v>
      </c>
      <c r="E14" s="12" t="s">
        <v>22</v>
      </c>
      <c r="F14" s="13" t="str">
        <f>IFERROR(VLOOKUP(B14, [1]Visited!$B$2:$C$743, 2, FALSE), "")</f>
        <v>1/22/2025 10:36:37 AM</v>
      </c>
      <c r="G14" s="13">
        <v>46025</v>
      </c>
      <c r="H14" s="14" t="str">
        <f>IFERROR(VLOOKUP(B14, [1]Volume!$B$2:$C$1000, 2, FALSE), "")</f>
        <v/>
      </c>
      <c r="I14" t="str">
        <f>IFERROR(VLOOKUP(B14, [1]Visited!B:D, 3, FALSE), "")</f>
        <v>zena</v>
      </c>
      <c r="J14" s="1" t="str">
        <f>IFERROR(VLOOKUP(B14, [1]Visited!B:E, 4, FALSE), "")</f>
        <v>01263513640</v>
      </c>
      <c r="K14" s="15" t="str">
        <f>IFERROR(VLOOKUP(B14, [1]Visited!B:F, 5, FALSE), "")</f>
        <v>x</v>
      </c>
      <c r="L14" s="16" t="str">
        <f>IFERROR(INDEX([1]Visited!G:G, MATCH(B14, [1]Visited!B:B, 0)), "")</f>
        <v>madri and coors top seller. zena in for 7 years
tender not much for talk, no email on line or willing to give. try again down the road</v>
      </c>
    </row>
    <row r="15" spans="1:12" ht="60" x14ac:dyDescent="0.25">
      <c r="A15" s="17" t="s">
        <v>53</v>
      </c>
      <c r="B15" s="15" t="s">
        <v>54</v>
      </c>
      <c r="C15" s="15" t="s">
        <v>25</v>
      </c>
      <c r="D15" s="15" t="s">
        <v>32</v>
      </c>
      <c r="E15" s="18" t="s">
        <v>50</v>
      </c>
      <c r="F15" s="13">
        <f>IFERROR(VLOOKUP(B15, [1]Visited!$B$2:$C$743, 2, FALSE), "")</f>
        <v>45484.573587962965</v>
      </c>
      <c r="G15" s="13">
        <v>46296</v>
      </c>
      <c r="H15" s="14">
        <f>IFERROR(VLOOKUP(B15, [1]Volume!$B$2:$C$1000, 2, FALSE), "")</f>
        <v>14.925725971200212</v>
      </c>
      <c r="I15" t="str">
        <f>IFERROR(VLOOKUP(B15, [1]Visited!B:D, 3, FALSE), "")</f>
        <v>josh</v>
      </c>
      <c r="J15" s="1">
        <f>IFERROR(VLOOKUP(B15, [1]Visited!B:E, 4, FALSE), "")</f>
        <v>7930333053</v>
      </c>
      <c r="K15" s="15" t="str">
        <f>IFERROR(VLOOKUP(B15, [1]Visited!B:F, 5, FALSE), "")</f>
        <v>x</v>
      </c>
      <c r="L15" s="16" t="str">
        <f>IFERROR(INDEX([1]Visited!G:G, MATCH(B15, [1]Visited!B:B, 0)), "")</f>
        <v>looking meek on the hells install</v>
      </c>
    </row>
    <row r="16" spans="1:12" ht="195" x14ac:dyDescent="0.25">
      <c r="A16" s="9" t="s">
        <v>55</v>
      </c>
      <c r="B16" s="10" t="s">
        <v>56</v>
      </c>
      <c r="C16" s="10" t="s">
        <v>25</v>
      </c>
      <c r="D16" s="11" t="s">
        <v>5</v>
      </c>
      <c r="E16" s="12" t="s">
        <v>26</v>
      </c>
      <c r="F16" s="13" t="str">
        <f>IFERROR(VLOOKUP(B16, [1]Visited!$B$2:$C$743, 2, FALSE), "")</f>
        <v>1/10/2025 12:23:53 PM</v>
      </c>
      <c r="G16" s="13">
        <v>46027</v>
      </c>
      <c r="H16" s="14" t="str">
        <f>IFERROR(VLOOKUP(B16, [1]Volume!$B$2:$C$1000, 2, FALSE), "")</f>
        <v/>
      </c>
      <c r="I16" t="str">
        <f>IFERROR(VLOOKUP(B16, [1]Visited!B:D, 3, FALSE), "")</f>
        <v>x</v>
      </c>
      <c r="J16" s="1" t="str">
        <f>IFERROR(VLOOKUP(B16, [1]Visited!B:E, 4, FALSE), "")</f>
        <v>0</v>
      </c>
      <c r="K16" s="15" t="str">
        <f>IFERROR(VLOOKUP(B16, [1]Visited!B:F, 5, FALSE), "")</f>
        <v>x</v>
      </c>
      <c r="L16" s="16" t="str">
        <f>IFERROR(INDEX([1]Visited!G:G, MATCH(B16, [1]Visited!B:B, 0)), "")</f>
        <v>lls are leaving, closing for a month and new lls in feb. 
left card to share and emailed rm to get in</v>
      </c>
    </row>
    <row r="17" spans="1:12" ht="90" x14ac:dyDescent="0.25">
      <c r="A17" s="20" t="s">
        <v>57</v>
      </c>
      <c r="B17" s="21" t="s">
        <v>58</v>
      </c>
      <c r="C17" s="21" t="s">
        <v>6</v>
      </c>
      <c r="D17" s="11" t="s">
        <v>59</v>
      </c>
      <c r="E17" s="21" t="s">
        <v>60</v>
      </c>
      <c r="F17" s="13">
        <f>IFERROR(VLOOKUP(B17, [1]Visited!$B$2:$C$743, 2, FALSE), "")</f>
        <v>45569.571296296293</v>
      </c>
      <c r="G17" s="13">
        <v>46296</v>
      </c>
      <c r="H17" s="14" t="str">
        <f>IFERROR(VLOOKUP(B17, [1]Volume!$B$2:$C$1000, 2, FALSE), "")</f>
        <v/>
      </c>
      <c r="I17" t="str">
        <f>IFERROR(VLOOKUP(B17, [1]Visited!B:D, 3, FALSE), "")</f>
        <v>terri</v>
      </c>
      <c r="J17" s="1">
        <f>IFERROR(VLOOKUP(B17, [1]Visited!B:E, 4, FALSE), "")</f>
        <v>7447413788</v>
      </c>
      <c r="K17" s="15" t="str">
        <f>IFERROR(VLOOKUP(B17, [1]Visited!B:F, 5, FALSE), "")</f>
        <v>x</v>
      </c>
      <c r="L17" s="16" t="str">
        <f>IFERROR(INDEX([1]Visited!G:G, MATCH(B17, [1]Visited!B:B, 0)), "")</f>
        <v>left card and messaged bdm for new owners</v>
      </c>
    </row>
    <row r="18" spans="1:12" ht="409.5" x14ac:dyDescent="0.25">
      <c r="A18" s="17" t="s">
        <v>61</v>
      </c>
      <c r="B18" s="15" t="s">
        <v>62</v>
      </c>
      <c r="C18" s="15" t="s">
        <v>6</v>
      </c>
      <c r="D18" s="15" t="s">
        <v>32</v>
      </c>
      <c r="E18" s="18" t="s">
        <v>33</v>
      </c>
      <c r="F18" s="13" t="str">
        <f>IFERROR(VLOOKUP(B18, [1]Visited!$B$2:$C$743, 2, FALSE), "")</f>
        <v>1/15/2025 12:04:33 PM</v>
      </c>
      <c r="G18" s="13">
        <v>46027</v>
      </c>
      <c r="H18" s="14" t="str">
        <f>IFERROR(VLOOKUP(B18, [1]Volume!$B$2:$C$1000, 2, FALSE), "")</f>
        <v/>
      </c>
      <c r="I18" t="str">
        <f>IFERROR(VLOOKUP(B18, [1]Visited!B:D, 3, FALSE), "")</f>
        <v>alex mngr, charlie owner</v>
      </c>
      <c r="J18" s="1" t="str">
        <f>IFERROR(VLOOKUP(B18, [1]Visited!B:E, 4, FALSE), "")</f>
        <v>0</v>
      </c>
      <c r="K18" s="11" t="str">
        <f>IFERROR(VLOOKUP(B18, [1]Visited!B:F, 5, FALSE), "")</f>
        <v>15grayalexander@gmail.com or charlie@pasinileisure.com</v>
      </c>
      <c r="L18" s="16" t="str">
        <f>IFERROR(INDEX([1]Visited!G:G, MATCH(B18, [1]Visited!B:B, 0)), "")</f>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2025-12-28T12:03:31Z</dcterms:created>
  <dcterms:modified xsi:type="dcterms:W3CDTF">2026-01-02T15:41:57Z</dcterms:modified>
</cp:coreProperties>
</file>