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11" documentId="8_{6C0AF0A5-A6DE-44D5-BB54-F51C7CD1DE69}" xr6:coauthVersionLast="47" xr6:coauthVersionMax="47" xr10:uidLastSave="{078339A0-EAA1-428C-8437-14960CB30753}"/>
  <bookViews>
    <workbookView xWindow="32145" yWindow="-1950" windowWidth="27390" windowHeight="19200" xr2:uid="{E38F686A-5AAA-4C21-B0FD-6A5596417B7F}"/>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1" l="1"/>
  <c r="K16" i="1"/>
  <c r="J16" i="1"/>
  <c r="I16" i="1"/>
  <c r="H16" i="1"/>
  <c r="F16" i="1"/>
  <c r="G16" i="1" s="1"/>
  <c r="L15" i="1"/>
  <c r="K15" i="1"/>
  <c r="J15" i="1"/>
  <c r="I15" i="1"/>
  <c r="H15" i="1"/>
  <c r="F15" i="1"/>
  <c r="G15" i="1" s="1"/>
  <c r="L14" i="1"/>
  <c r="K14" i="1"/>
  <c r="J14" i="1"/>
  <c r="I14" i="1"/>
  <c r="H14" i="1"/>
  <c r="F14" i="1"/>
  <c r="G14" i="1" s="1"/>
  <c r="L13" i="1"/>
  <c r="K13" i="1"/>
  <c r="J13" i="1"/>
  <c r="I13" i="1"/>
  <c r="H13" i="1"/>
  <c r="F13" i="1"/>
  <c r="G13" i="1" s="1"/>
  <c r="L12" i="1"/>
  <c r="K12" i="1"/>
  <c r="J12" i="1"/>
  <c r="I12" i="1"/>
  <c r="H12" i="1"/>
  <c r="G12" i="1"/>
  <c r="F12" i="1"/>
  <c r="L11" i="1"/>
  <c r="K11" i="1"/>
  <c r="J11" i="1"/>
  <c r="I11" i="1"/>
  <c r="H11" i="1"/>
  <c r="F11" i="1"/>
  <c r="G11" i="1" s="1"/>
  <c r="L10" i="1"/>
  <c r="K10" i="1"/>
  <c r="J10" i="1"/>
  <c r="I10" i="1"/>
  <c r="H10" i="1"/>
  <c r="F10" i="1"/>
  <c r="G10" i="1" s="1"/>
  <c r="L9" i="1"/>
  <c r="K9" i="1"/>
  <c r="J9" i="1"/>
  <c r="I9" i="1"/>
  <c r="H9" i="1"/>
  <c r="F9" i="1"/>
  <c r="G9" i="1" s="1"/>
  <c r="L8" i="1"/>
  <c r="K8" i="1"/>
  <c r="J8" i="1"/>
  <c r="I8" i="1"/>
  <c r="H8" i="1"/>
  <c r="F8" i="1"/>
  <c r="G8" i="1" s="1"/>
  <c r="L7" i="1"/>
  <c r="K7" i="1"/>
  <c r="J7" i="1"/>
  <c r="I7" i="1"/>
  <c r="H7" i="1"/>
  <c r="F7" i="1"/>
  <c r="G7" i="1" s="1"/>
  <c r="L6" i="1"/>
  <c r="K6" i="1"/>
  <c r="J6" i="1"/>
  <c r="I6" i="1"/>
  <c r="H6" i="1"/>
  <c r="G6" i="1"/>
  <c r="F6" i="1"/>
  <c r="L5" i="1"/>
  <c r="K5" i="1"/>
  <c r="J5" i="1"/>
  <c r="I5" i="1"/>
  <c r="H5" i="1"/>
  <c r="F5" i="1"/>
  <c r="G5" i="1" s="1"/>
  <c r="L4" i="1"/>
  <c r="K4" i="1"/>
  <c r="J4" i="1"/>
  <c r="I4" i="1"/>
  <c r="H4" i="1"/>
  <c r="F4" i="1"/>
  <c r="G4" i="1" s="1"/>
  <c r="L3" i="1"/>
  <c r="K3" i="1"/>
  <c r="J3" i="1"/>
  <c r="I3" i="1"/>
  <c r="H3" i="1"/>
  <c r="F3" i="1"/>
  <c r="G3" i="1" s="1"/>
  <c r="L2" i="1"/>
  <c r="K2" i="1"/>
  <c r="J2" i="1"/>
  <c r="I2" i="1"/>
  <c r="H2" i="1"/>
  <c r="F2" i="1"/>
  <c r="G2" i="1" s="1"/>
</calcChain>
</file>

<file path=xl/sharedStrings.xml><?xml version="1.0" encoding="utf-8"?>
<sst xmlns="http://schemas.openxmlformats.org/spreadsheetml/2006/main" count="87" uniqueCount="56">
  <si>
    <t>pub</t>
  </si>
  <si>
    <t>zip</t>
  </si>
  <si>
    <t>rtm</t>
  </si>
  <si>
    <t>short_post</t>
  </si>
  <si>
    <t>rm</t>
  </si>
  <si>
    <t>last_visited2.0</t>
  </si>
  <si>
    <t>last_visited</t>
  </si>
  <si>
    <t>top_volume</t>
  </si>
  <si>
    <t>landlord</t>
  </si>
  <si>
    <t>phone</t>
  </si>
  <si>
    <t>email</t>
  </si>
  <si>
    <t>visit_notes</t>
  </si>
  <si>
    <t>Westgate (Bury St Edmunds)</t>
  </si>
  <si>
    <t>IP33 1QD</t>
  </si>
  <si>
    <t>IP</t>
  </si>
  <si>
    <t>Greene King LT</t>
  </si>
  <si>
    <t>Samantha Wortley</t>
  </si>
  <si>
    <t>Buck Inn (Flixton)</t>
  </si>
  <si>
    <t>NR35 1NZ</t>
  </si>
  <si>
    <t>NR</t>
  </si>
  <si>
    <t>Greene King IFT</t>
  </si>
  <si>
    <t>Rob Brown (kirstu)</t>
  </si>
  <si>
    <t>Tramway Lowestoft</t>
  </si>
  <si>
    <t>NR33 7AA</t>
  </si>
  <si>
    <t>Stonegate</t>
  </si>
  <si>
    <t>Stuart Galloway</t>
  </si>
  <si>
    <t>Ship (Pakefield) (molson coors supplied)</t>
  </si>
  <si>
    <t>NR33 7HW</t>
  </si>
  <si>
    <t>Rob Brown</t>
  </si>
  <si>
    <t>Kessingland Utd WMC(Kessingland)ECI</t>
  </si>
  <si>
    <t>NR33 7QD</t>
  </si>
  <si>
    <t>?</t>
  </si>
  <si>
    <t>Ivy House Country Hotel (Oulton Bro</t>
  </si>
  <si>
    <t>NR33 8HY</t>
  </si>
  <si>
    <t>Rob Brown (kirsty)</t>
  </si>
  <si>
    <t>Old Red House Carlton</t>
  </si>
  <si>
    <t>NR33 8JP</t>
  </si>
  <si>
    <t>Quayside Bar &amp; Restaurant (the waterfront probs)</t>
  </si>
  <si>
    <t>NR33 9JY</t>
  </si>
  <si>
    <t>Rob Brown (adam moss and co probs)</t>
  </si>
  <si>
    <t>Horse and Groom (Wrentham)</t>
  </si>
  <si>
    <t>NR34 7HJ</t>
  </si>
  <si>
    <t>Bear &amp; Bells Beccles</t>
  </si>
  <si>
    <t>NR34 9AP</t>
  </si>
  <si>
    <t>Waveney Snooker Club (Beccles)</t>
  </si>
  <si>
    <t>NR34 9BB</t>
  </si>
  <si>
    <t>Fox &amp; Hounds (Beccles)(closed probs)</t>
  </si>
  <si>
    <t>NR34 9DX</t>
  </si>
  <si>
    <t>Rob Brown (adam)</t>
  </si>
  <si>
    <t>Beccles Caxton Club (Beccles) ECI</t>
  </si>
  <si>
    <t>NR34 9SJ</t>
  </si>
  <si>
    <t>Three Tuns (Bungay)</t>
  </si>
  <si>
    <t>NR35 1EG</t>
  </si>
  <si>
    <t>Bungay &amp; District Sports Assoc. (Bu</t>
  </si>
  <si>
    <t>NR35 2RU</t>
  </si>
  <si>
    <t>Rob Brown (kirsty smith account manager)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</si>
</sst>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1"/>
      <color rgb="FF000000"/>
      <name val="Aptos Narrow"/>
      <family val="2"/>
      <scheme val="minor"/>
    </font>
    <font>
      <sz val="10"/>
      <color theme="1"/>
      <name val="Aptos Narrow"/>
      <family val="2"/>
      <scheme val="minor"/>
    </font>
    <font>
      <sz val="10"/>
      <color rgb="FF000000"/>
      <name val="Aptos Narrow"/>
      <family val="2"/>
      <scheme val="minor"/>
    </font>
  </fonts>
  <fills count="4">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19">
    <xf numFmtId="0" fontId="0" fillId="0" borderId="0" xfId="0"/>
    <xf numFmtId="0" fontId="2"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3" borderId="0" xfId="0" applyFont="1" applyFill="1" applyAlignment="1">
      <alignment horizontal="center" vertical="center" wrapText="1"/>
    </xf>
    <xf numFmtId="14" fontId="3" fillId="2" borderId="0" xfId="0" applyNumberFormat="1" applyFont="1" applyFill="1" applyAlignment="1">
      <alignment horizontal="center" vertical="center" wrapText="1"/>
    </xf>
    <xf numFmtId="49" fontId="3" fillId="2" borderId="0" xfId="0" applyNumberFormat="1" applyFont="1" applyFill="1" applyAlignment="1">
      <alignment horizontal="center" vertical="center" wrapText="1"/>
    </xf>
    <xf numFmtId="0" fontId="4" fillId="3" borderId="0" xfId="0" applyFont="1" applyFill="1" applyAlignment="1">
      <alignment horizontal="center" vertical="center" wrapText="1"/>
    </xf>
    <xf numFmtId="0" fontId="0" fillId="3" borderId="0" xfId="0" applyFill="1" applyAlignment="1">
      <alignment horizontal="center" vertical="center" wrapText="1"/>
    </xf>
    <xf numFmtId="0" fontId="5" fillId="0" borderId="0" xfId="0" applyFont="1" applyAlignment="1">
      <alignment horizontal="left" wrapText="1"/>
    </xf>
    <xf numFmtId="0" fontId="5" fillId="0" borderId="0" xfId="0" applyFont="1" applyAlignment="1">
      <alignment horizontal="center"/>
    </xf>
    <xf numFmtId="0" fontId="0" fillId="0" borderId="0" xfId="0" applyAlignment="1">
      <alignment horizontal="center" wrapText="1"/>
    </xf>
    <xf numFmtId="0" fontId="5" fillId="0" borderId="0" xfId="0" applyFont="1" applyAlignment="1">
      <alignment horizontal="center" wrapText="1"/>
    </xf>
    <xf numFmtId="14" fontId="0" fillId="0" borderId="0" xfId="0" applyNumberFormat="1" applyAlignment="1">
      <alignment horizontal="center" wrapText="1"/>
    </xf>
    <xf numFmtId="0" fontId="6" fillId="0" borderId="0" xfId="0" applyFont="1" applyAlignment="1">
      <alignment horizontal="center"/>
    </xf>
    <xf numFmtId="0" fontId="0" fillId="0" borderId="0" xfId="0" applyAlignment="1">
      <alignment horizontal="center"/>
    </xf>
    <xf numFmtId="0" fontId="6" fillId="0" borderId="0" xfId="0" applyFont="1" applyAlignment="1">
      <alignment horizontal="center" wrapText="1"/>
    </xf>
    <xf numFmtId="0" fontId="0" fillId="0" borderId="0" xfId="0" applyAlignment="1">
      <alignment horizontal="left" vertical="center" wrapText="1"/>
    </xf>
    <xf numFmtId="0" fontId="6" fillId="0" borderId="0" xfId="0" applyFont="1" applyAlignment="1">
      <alignment horizontal="left" wrapText="1"/>
    </xf>
    <xf numFmtId="0" fontId="7" fillId="0" borderId="0" xfId="0" applyFont="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EE4C7-D34E-4F09-A0F3-3F24EC92523F}">
  <dimension ref="A1:L16"/>
  <sheetViews>
    <sheetView tabSelected="1" workbookViewId="0">
      <selection activeCell="A4" sqref="A4:L16"/>
    </sheetView>
  </sheetViews>
  <sheetFormatPr defaultRowHeight="15" x14ac:dyDescent="0.25"/>
  <sheetData>
    <row r="1" spans="1:12" ht="27" x14ac:dyDescent="0.25">
      <c r="A1" s="1" t="s">
        <v>0</v>
      </c>
      <c r="B1" s="2" t="s">
        <v>1</v>
      </c>
      <c r="C1" s="1" t="s">
        <v>3</v>
      </c>
      <c r="D1" s="3" t="s">
        <v>2</v>
      </c>
      <c r="E1" s="1" t="s">
        <v>4</v>
      </c>
      <c r="F1" s="4" t="s">
        <v>5</v>
      </c>
      <c r="G1" s="5" t="s">
        <v>6</v>
      </c>
      <c r="H1" s="6" t="s">
        <v>7</v>
      </c>
      <c r="I1" s="6" t="s">
        <v>8</v>
      </c>
      <c r="J1" s="7" t="s">
        <v>9</v>
      </c>
      <c r="K1" s="7" t="s">
        <v>10</v>
      </c>
      <c r="L1" s="5" t="s">
        <v>11</v>
      </c>
    </row>
    <row r="2" spans="1:12" ht="105" x14ac:dyDescent="0.25">
      <c r="A2" s="8" t="s">
        <v>12</v>
      </c>
      <c r="B2" s="9" t="s">
        <v>13</v>
      </c>
      <c r="C2" s="9" t="s">
        <v>14</v>
      </c>
      <c r="D2" s="10" t="s">
        <v>15</v>
      </c>
      <c r="E2" s="11" t="s">
        <v>16</v>
      </c>
      <c r="F2" s="12" t="str">
        <f>IFERROR(VLOOKUP(B2, [1]Visited!$B$2:$C$743, 2, FALSE), "")</f>
        <v>6/28/2024 1:29:16 PM</v>
      </c>
      <c r="G2" s="10" t="str">
        <f>TEXT(F2, "mm-dd-yyyy")</f>
        <v>06-28-2024</v>
      </c>
      <c r="H2" s="13" t="str">
        <f>IFERROR(VLOOKUP(B2, [1]Volume!$B$2:$C$1000, 2, FALSE), "")</f>
        <v/>
      </c>
      <c r="I2" t="str">
        <f>IFERROR(VLOOKUP(B2, [1]Visited!B:D, 3, FALSE), "")</f>
        <v>emailed again</v>
      </c>
      <c r="J2" s="14">
        <f>IFERROR(VLOOKUP(B2, [1]Visited!B:E, 4, FALSE), "")</f>
        <v>0</v>
      </c>
      <c r="K2" s="15" t="str">
        <f>IFERROR(VLOOKUP(B2, [1]Visited!B:F, 5, FALSE), "")</f>
        <v>x</v>
      </c>
      <c r="L2" s="16" t="str">
        <f>IFERROR(INDEX([1]Visited!G:G, MATCH(B2, [1]Visited!B:B, 0)), "")</f>
        <v>works with the other local pubs to be different</v>
      </c>
    </row>
    <row r="3" spans="1:12" ht="255" x14ac:dyDescent="0.25">
      <c r="A3" s="17" t="s">
        <v>17</v>
      </c>
      <c r="B3" s="13" t="s">
        <v>18</v>
      </c>
      <c r="C3" s="13" t="s">
        <v>19</v>
      </c>
      <c r="D3" s="15" t="s">
        <v>20</v>
      </c>
      <c r="E3" s="18" t="s">
        <v>21</v>
      </c>
      <c r="F3" s="12" t="str">
        <f>IFERROR(VLOOKUP(B3, [1]Visited!$B$2:$C$743, 2, FALSE), "")</f>
        <v>1/8/2025 1:26:46 PM</v>
      </c>
      <c r="G3" s="10" t="str">
        <f t="shared" ref="G3:G16" si="0">TEXT(F3, "mm-dd-yyyy")</f>
        <v>01-08-2025</v>
      </c>
      <c r="H3" s="13" t="str">
        <f>IFERROR(VLOOKUP(B3, [1]Volume!$B$2:$C$1000, 2, FALSE), "")</f>
        <v/>
      </c>
      <c r="I3" t="str">
        <f>IFERROR(VLOOKUP(B3, [1]Visited!B:D, 3, FALSE), "")</f>
        <v>Linda</v>
      </c>
      <c r="J3" s="14" t="str">
        <f>IFERROR(VLOOKUP(B3, [1]Visited!B:E, 4, FALSE), "")</f>
        <v>01986896883</v>
      </c>
      <c r="K3" s="10" t="str">
        <f>IFERROR(VLOOKUP(B3, [1]Visited!B:F, 5, FALSE), "")</f>
        <v>info@thebuckinn.co.uk</v>
      </c>
      <c r="L3" s="16" t="str">
        <f>IFERROR(INDEX([1]Visited!G:G, MATCH(B3, [1]Visited!B:B, 0)), "")</f>
        <v>Thursday best
1664 surprisingly does best, driven by the farm boys after work.
told you target the moongazer lager and yes ipa</v>
      </c>
    </row>
    <row r="4" spans="1:12" ht="45" x14ac:dyDescent="0.25">
      <c r="A4" s="8" t="s">
        <v>22</v>
      </c>
      <c r="B4" s="9" t="s">
        <v>23</v>
      </c>
      <c r="C4" s="9" t="s">
        <v>19</v>
      </c>
      <c r="D4" s="10" t="s">
        <v>24</v>
      </c>
      <c r="E4" s="11" t="s">
        <v>25</v>
      </c>
      <c r="F4" s="12" t="str">
        <f>IFERROR(VLOOKUP(B4, [1]Visited!$B$2:$C$743, 2, FALSE), "")</f>
        <v/>
      </c>
      <c r="G4" s="10" t="str">
        <f t="shared" si="0"/>
        <v/>
      </c>
      <c r="H4" s="13" t="str">
        <f>IFERROR(VLOOKUP(B4, [1]Volume!$B$2:$C$1000, 2, FALSE), "")</f>
        <v/>
      </c>
      <c r="I4" t="str">
        <f>IFERROR(VLOOKUP(B4, [1]Visited!B:D, 3, FALSE), "")</f>
        <v/>
      </c>
      <c r="J4" s="14" t="str">
        <f>IFERROR(VLOOKUP(B4, [1]Visited!B:E, 4, FALSE), "")</f>
        <v/>
      </c>
      <c r="K4" s="10" t="str">
        <f>IFERROR(VLOOKUP(B4, [1]Visited!B:F, 5, FALSE), "")</f>
        <v/>
      </c>
      <c r="L4" s="16" t="str">
        <f>IFERROR(INDEX([1]Visited!G:G, MATCH(B4, [1]Visited!B:B, 0)), "")</f>
        <v/>
      </c>
    </row>
    <row r="5" spans="1:12" ht="67.5" x14ac:dyDescent="0.25">
      <c r="A5" s="17" t="s">
        <v>26</v>
      </c>
      <c r="B5" s="13" t="s">
        <v>27</v>
      </c>
      <c r="C5" s="13" t="s">
        <v>19</v>
      </c>
      <c r="D5" s="15" t="s">
        <v>20</v>
      </c>
      <c r="E5" s="18" t="s">
        <v>28</v>
      </c>
      <c r="F5" s="12" t="str">
        <f>IFERROR(VLOOKUP(B5, [1]Visited!$B$2:$C$743, 2, FALSE), "")</f>
        <v/>
      </c>
      <c r="G5" s="10" t="str">
        <f t="shared" si="0"/>
        <v/>
      </c>
      <c r="H5" s="13">
        <f>IFERROR(VLOOKUP(B5, [1]Volume!$B$2:$C$1000, 2, FALSE), "")</f>
        <v>16.36592760000018</v>
      </c>
      <c r="I5" t="str">
        <f>IFERROR(VLOOKUP(B5, [1]Visited!B:D, 3, FALSE), "")</f>
        <v/>
      </c>
      <c r="J5" s="14" t="str">
        <f>IFERROR(VLOOKUP(B5, [1]Visited!B:E, 4, FALSE), "")</f>
        <v/>
      </c>
      <c r="K5" s="10" t="str">
        <f>IFERROR(VLOOKUP(B5, [1]Visited!B:F, 5, FALSE), "")</f>
        <v/>
      </c>
      <c r="L5" s="16" t="str">
        <f>IFERROR(INDEX([1]Visited!G:G, MATCH(B5, [1]Visited!B:B, 0)), "")</f>
        <v/>
      </c>
    </row>
    <row r="6" spans="1:12" ht="67.5" x14ac:dyDescent="0.25">
      <c r="A6" s="17" t="s">
        <v>29</v>
      </c>
      <c r="B6" s="13" t="s">
        <v>30</v>
      </c>
      <c r="C6" s="13" t="s">
        <v>19</v>
      </c>
      <c r="D6" s="15" t="s">
        <v>20</v>
      </c>
      <c r="E6" s="18" t="s">
        <v>31</v>
      </c>
      <c r="F6" s="12" t="str">
        <f>IFERROR(VLOOKUP(B6, [1]Visited!$B$2:$C$743, 2, FALSE), "")</f>
        <v/>
      </c>
      <c r="G6" s="10" t="str">
        <f t="shared" si="0"/>
        <v/>
      </c>
      <c r="H6" s="13" t="str">
        <f>IFERROR(VLOOKUP(B6, [1]Volume!$B$2:$C$1000, 2, FALSE), "")</f>
        <v/>
      </c>
      <c r="I6" t="str">
        <f>IFERROR(VLOOKUP(B6, [1]Visited!B:D, 3, FALSE), "")</f>
        <v/>
      </c>
      <c r="J6" s="14" t="str">
        <f>IFERROR(VLOOKUP(B6, [1]Visited!B:E, 4, FALSE), "")</f>
        <v/>
      </c>
      <c r="K6" s="10" t="str">
        <f>IFERROR(VLOOKUP(B6, [1]Visited!B:F, 5, FALSE), "")</f>
        <v/>
      </c>
      <c r="L6" s="16" t="str">
        <f>IFERROR(INDEX([1]Visited!G:G, MATCH(B6, [1]Visited!B:B, 0)), "")</f>
        <v/>
      </c>
    </row>
    <row r="7" spans="1:12" ht="67.5" x14ac:dyDescent="0.25">
      <c r="A7" s="17" t="s">
        <v>32</v>
      </c>
      <c r="B7" s="13" t="s">
        <v>33</v>
      </c>
      <c r="C7" s="13" t="s">
        <v>19</v>
      </c>
      <c r="D7" s="15" t="s">
        <v>20</v>
      </c>
      <c r="E7" s="18" t="s">
        <v>34</v>
      </c>
      <c r="F7" s="12" t="str">
        <f>IFERROR(VLOOKUP(B7, [1]Visited!$B$2:$C$743, 2, FALSE), "")</f>
        <v/>
      </c>
      <c r="G7" s="10" t="str">
        <f t="shared" si="0"/>
        <v/>
      </c>
      <c r="H7" s="13" t="str">
        <f>IFERROR(VLOOKUP(B7, [1]Volume!$B$2:$C$1000, 2, FALSE), "")</f>
        <v/>
      </c>
      <c r="I7" t="str">
        <f>IFERROR(VLOOKUP(B7, [1]Visited!B:D, 3, FALSE), "")</f>
        <v/>
      </c>
      <c r="J7" s="14" t="str">
        <f>IFERROR(VLOOKUP(B7, [1]Visited!B:E, 4, FALSE), "")</f>
        <v/>
      </c>
      <c r="K7" s="10" t="str">
        <f>IFERROR(VLOOKUP(B7, [1]Visited!B:F, 5, FALSE), "")</f>
        <v/>
      </c>
      <c r="L7" s="16" t="str">
        <f>IFERROR(INDEX([1]Visited!G:G, MATCH(B7, [1]Visited!B:B, 0)), "")</f>
        <v/>
      </c>
    </row>
    <row r="8" spans="1:12" ht="45" x14ac:dyDescent="0.25">
      <c r="A8" s="8" t="s">
        <v>35</v>
      </c>
      <c r="B8" s="9" t="s">
        <v>36</v>
      </c>
      <c r="C8" s="9" t="s">
        <v>19</v>
      </c>
      <c r="D8" s="10" t="s">
        <v>24</v>
      </c>
      <c r="E8" s="11" t="s">
        <v>25</v>
      </c>
      <c r="F8" s="12" t="str">
        <f>IFERROR(VLOOKUP(B8, [1]Visited!$B$2:$C$743, 2, FALSE), "")</f>
        <v/>
      </c>
      <c r="G8" s="10" t="str">
        <f t="shared" si="0"/>
        <v/>
      </c>
      <c r="H8" s="13" t="str">
        <f>IFERROR(VLOOKUP(B8, [1]Volume!$B$2:$C$1000, 2, FALSE), "")</f>
        <v/>
      </c>
      <c r="I8" t="str">
        <f>IFERROR(VLOOKUP(B8, [1]Visited!B:D, 3, FALSE), "")</f>
        <v/>
      </c>
      <c r="J8" s="14" t="str">
        <f>IFERROR(VLOOKUP(B8, [1]Visited!B:E, 4, FALSE), "")</f>
        <v/>
      </c>
      <c r="K8" s="10" t="str">
        <f>IFERROR(VLOOKUP(B8, [1]Visited!B:F, 5, FALSE), "")</f>
        <v/>
      </c>
      <c r="L8" s="16" t="str">
        <f>IFERROR(INDEX([1]Visited!G:G, MATCH(B8, [1]Visited!B:B, 0)), "")</f>
        <v/>
      </c>
    </row>
    <row r="9" spans="1:12" ht="81" x14ac:dyDescent="0.25">
      <c r="A9" s="17" t="s">
        <v>37</v>
      </c>
      <c r="B9" s="15" t="s">
        <v>38</v>
      </c>
      <c r="C9" s="15" t="s">
        <v>19</v>
      </c>
      <c r="D9" s="15" t="s">
        <v>20</v>
      </c>
      <c r="E9" s="18" t="s">
        <v>39</v>
      </c>
      <c r="F9" s="12" t="str">
        <f>IFERROR(VLOOKUP(B9, [1]Visited!$B$2:$C$743, 2, FALSE), "")</f>
        <v/>
      </c>
      <c r="G9" s="10" t="str">
        <f t="shared" si="0"/>
        <v/>
      </c>
      <c r="H9" s="13" t="str">
        <f>IFERROR(VLOOKUP(B9, [1]Volume!$B$2:$C$1000, 2, FALSE), "")</f>
        <v/>
      </c>
      <c r="I9" t="str">
        <f>IFERROR(VLOOKUP(B9, [1]Visited!B:D, 3, FALSE), "")</f>
        <v/>
      </c>
      <c r="J9" s="14" t="str">
        <f>IFERROR(VLOOKUP(B9, [1]Visited!B:E, 4, FALSE), "")</f>
        <v/>
      </c>
      <c r="K9" s="10" t="str">
        <f>IFERROR(VLOOKUP(B9, [1]Visited!B:F, 5, FALSE), "")</f>
        <v/>
      </c>
      <c r="L9" s="16" t="str">
        <f>IFERROR(INDEX([1]Visited!G:G, MATCH(B9, [1]Visited!B:B, 0)), "")</f>
        <v/>
      </c>
    </row>
    <row r="10" spans="1:12" ht="54" x14ac:dyDescent="0.25">
      <c r="A10" s="17" t="s">
        <v>40</v>
      </c>
      <c r="B10" s="13" t="s">
        <v>41</v>
      </c>
      <c r="C10" s="13" t="s">
        <v>19</v>
      </c>
      <c r="D10" s="15" t="s">
        <v>20</v>
      </c>
      <c r="E10" s="18" t="s">
        <v>28</v>
      </c>
      <c r="F10" s="12" t="str">
        <f>IFERROR(VLOOKUP(B10, [1]Visited!$B$2:$C$743, 2, FALSE), "")</f>
        <v/>
      </c>
      <c r="G10" s="10" t="str">
        <f t="shared" si="0"/>
        <v/>
      </c>
      <c r="H10" s="13" t="str">
        <f>IFERROR(VLOOKUP(B10, [1]Volume!$B$2:$C$1000, 2, FALSE), "")</f>
        <v/>
      </c>
      <c r="I10" t="str">
        <f>IFERROR(VLOOKUP(B10, [1]Visited!B:D, 3, FALSE), "")</f>
        <v/>
      </c>
      <c r="J10" s="14" t="str">
        <f>IFERROR(VLOOKUP(B10, [1]Visited!B:E, 4, FALSE), "")</f>
        <v/>
      </c>
      <c r="K10" s="10" t="str">
        <f>IFERROR(VLOOKUP(B10, [1]Visited!B:F, 5, FALSE), "")</f>
        <v/>
      </c>
      <c r="L10" s="16" t="str">
        <f>IFERROR(INDEX([1]Visited!G:G, MATCH(B10, [1]Visited!B:B, 0)), "")</f>
        <v/>
      </c>
    </row>
    <row r="11" spans="1:12" ht="45" x14ac:dyDescent="0.25">
      <c r="A11" s="8" t="s">
        <v>42</v>
      </c>
      <c r="B11" s="9" t="s">
        <v>43</v>
      </c>
      <c r="C11" s="9" t="s">
        <v>19</v>
      </c>
      <c r="D11" s="10" t="s">
        <v>24</v>
      </c>
      <c r="E11" s="11" t="s">
        <v>25</v>
      </c>
      <c r="F11" s="12" t="str">
        <f>IFERROR(VLOOKUP(B11, [1]Visited!$B$2:$C$743, 2, FALSE), "")</f>
        <v/>
      </c>
      <c r="G11" s="10" t="str">
        <f t="shared" si="0"/>
        <v/>
      </c>
      <c r="H11" s="13" t="str">
        <f>IFERROR(VLOOKUP(B11, [1]Volume!$B$2:$C$1000, 2, FALSE), "")</f>
        <v/>
      </c>
      <c r="I11" t="str">
        <f>IFERROR(VLOOKUP(B11, [1]Visited!B:D, 3, FALSE), "")</f>
        <v/>
      </c>
      <c r="J11" s="14" t="str">
        <f>IFERROR(VLOOKUP(B11, [1]Visited!B:E, 4, FALSE), "")</f>
        <v/>
      </c>
      <c r="K11" s="10" t="str">
        <f>IFERROR(VLOOKUP(B11, [1]Visited!B:F, 5, FALSE), "")</f>
        <v/>
      </c>
      <c r="L11" s="16" t="str">
        <f>IFERROR(INDEX([1]Visited!G:G, MATCH(B11, [1]Visited!B:B, 0)), "")</f>
        <v/>
      </c>
    </row>
    <row r="12" spans="1:12" ht="54" x14ac:dyDescent="0.25">
      <c r="A12" s="17" t="s">
        <v>44</v>
      </c>
      <c r="B12" s="13" t="s">
        <v>45</v>
      </c>
      <c r="C12" s="13" t="s">
        <v>19</v>
      </c>
      <c r="D12" s="15" t="s">
        <v>20</v>
      </c>
      <c r="E12" s="18" t="s">
        <v>34</v>
      </c>
      <c r="F12" s="12" t="str">
        <f>IFERROR(VLOOKUP(B12, [1]Visited!$B$2:$C$743, 2, FALSE), "")</f>
        <v/>
      </c>
      <c r="G12" s="10" t="str">
        <f t="shared" si="0"/>
        <v/>
      </c>
      <c r="H12" s="13" t="str">
        <f>IFERROR(VLOOKUP(B12, [1]Volume!$B$2:$C$1000, 2, FALSE), "")</f>
        <v/>
      </c>
      <c r="I12" t="str">
        <f>IFERROR(VLOOKUP(B12, [1]Visited!B:D, 3, FALSE), "")</f>
        <v/>
      </c>
      <c r="J12" s="14" t="str">
        <f>IFERROR(VLOOKUP(B12, [1]Visited!B:E, 4, FALSE), "")</f>
        <v/>
      </c>
      <c r="K12" s="10" t="str">
        <f>IFERROR(VLOOKUP(B12, [1]Visited!B:F, 5, FALSE), "")</f>
        <v/>
      </c>
      <c r="L12" s="16" t="str">
        <f>IFERROR(INDEX([1]Visited!G:G, MATCH(B12, [1]Visited!B:B, 0)), "")</f>
        <v/>
      </c>
    </row>
    <row r="13" spans="1:12" ht="67.5" x14ac:dyDescent="0.25">
      <c r="A13" s="17" t="s">
        <v>46</v>
      </c>
      <c r="B13" s="13" t="s">
        <v>47</v>
      </c>
      <c r="C13" s="13" t="s">
        <v>19</v>
      </c>
      <c r="D13" s="15" t="s">
        <v>20</v>
      </c>
      <c r="E13" s="18" t="s">
        <v>48</v>
      </c>
      <c r="F13" s="12" t="str">
        <f>IFERROR(VLOOKUP(B13, [1]Visited!$B$2:$C$743, 2, FALSE), "")</f>
        <v/>
      </c>
      <c r="G13" s="10" t="str">
        <f t="shared" si="0"/>
        <v/>
      </c>
      <c r="H13" s="13" t="str">
        <f>IFERROR(VLOOKUP(B13, [1]Volume!$B$2:$C$1000, 2, FALSE), "")</f>
        <v/>
      </c>
      <c r="I13" t="str">
        <f>IFERROR(VLOOKUP(B13, [1]Visited!B:D, 3, FALSE), "")</f>
        <v/>
      </c>
      <c r="J13" s="14" t="str">
        <f>IFERROR(VLOOKUP(B13, [1]Visited!B:E, 4, FALSE), "")</f>
        <v/>
      </c>
      <c r="K13" s="10" t="str">
        <f>IFERROR(VLOOKUP(B13, [1]Visited!B:F, 5, FALSE), "")</f>
        <v/>
      </c>
      <c r="L13" s="16" t="str">
        <f>IFERROR(INDEX([1]Visited!G:G, MATCH(B13, [1]Visited!B:B, 0)), "")</f>
        <v/>
      </c>
    </row>
    <row r="14" spans="1:12" ht="67.5" x14ac:dyDescent="0.25">
      <c r="A14" s="17" t="s">
        <v>49</v>
      </c>
      <c r="B14" s="13" t="s">
        <v>50</v>
      </c>
      <c r="C14" s="13" t="s">
        <v>19</v>
      </c>
      <c r="D14" s="15" t="s">
        <v>20</v>
      </c>
      <c r="E14" s="18" t="s">
        <v>28</v>
      </c>
      <c r="F14" s="12" t="str">
        <f>IFERROR(VLOOKUP(B14, [1]Visited!$B$2:$C$743, 2, FALSE), "")</f>
        <v/>
      </c>
      <c r="G14" s="10" t="str">
        <f t="shared" si="0"/>
        <v/>
      </c>
      <c r="H14" s="13" t="str">
        <f>IFERROR(VLOOKUP(B14, [1]Volume!$B$2:$C$1000, 2, FALSE), "")</f>
        <v/>
      </c>
      <c r="I14" t="str">
        <f>IFERROR(VLOOKUP(B14, [1]Visited!B:D, 3, FALSE), "")</f>
        <v/>
      </c>
      <c r="J14" s="14" t="str">
        <f>IFERROR(VLOOKUP(B14, [1]Visited!B:E, 4, FALSE), "")</f>
        <v/>
      </c>
      <c r="K14" s="10" t="str">
        <f>IFERROR(VLOOKUP(B14, [1]Visited!B:F, 5, FALSE), "")</f>
        <v/>
      </c>
      <c r="L14" s="16" t="str">
        <f>IFERROR(INDEX([1]Visited!G:G, MATCH(B14, [1]Visited!B:B, 0)), "")</f>
        <v/>
      </c>
    </row>
    <row r="15" spans="1:12" ht="27" x14ac:dyDescent="0.25">
      <c r="A15" s="17" t="s">
        <v>51</v>
      </c>
      <c r="B15" s="13" t="s">
        <v>52</v>
      </c>
      <c r="C15" s="13" t="s">
        <v>19</v>
      </c>
      <c r="D15" s="15" t="s">
        <v>20</v>
      </c>
      <c r="E15" s="18" t="s">
        <v>21</v>
      </c>
      <c r="F15" s="12" t="str">
        <f>IFERROR(VLOOKUP(B15, [1]Visited!$B$2:$C$743, 2, FALSE), "")</f>
        <v/>
      </c>
      <c r="G15" s="10" t="str">
        <f t="shared" si="0"/>
        <v/>
      </c>
      <c r="H15" s="13" t="str">
        <f>IFERROR(VLOOKUP(B15, [1]Volume!$B$2:$C$1000, 2, FALSE), "")</f>
        <v/>
      </c>
      <c r="I15" t="str">
        <f>IFERROR(VLOOKUP(B15, [1]Visited!B:D, 3, FALSE), "")</f>
        <v/>
      </c>
      <c r="J15" s="14" t="str">
        <f>IFERROR(VLOOKUP(B15, [1]Visited!B:E, 4, FALSE), "")</f>
        <v/>
      </c>
      <c r="K15" s="10" t="str">
        <f>IFERROR(VLOOKUP(B15, [1]Visited!B:F, 5, FALSE), "")</f>
        <v/>
      </c>
      <c r="L15" s="16" t="str">
        <f>IFERROR(INDEX([1]Visited!G:G, MATCH(B15, [1]Visited!B:B, 0)), "")</f>
        <v/>
      </c>
    </row>
    <row r="16" spans="1:12" ht="67.5" x14ac:dyDescent="0.25">
      <c r="A16" s="17" t="s">
        <v>53</v>
      </c>
      <c r="B16" s="13" t="s">
        <v>54</v>
      </c>
      <c r="C16" s="13" t="s">
        <v>19</v>
      </c>
      <c r="D16" s="15" t="s">
        <v>20</v>
      </c>
      <c r="E16" s="18" t="s">
        <v>55</v>
      </c>
      <c r="F16" s="12" t="str">
        <f>IFERROR(VLOOKUP(B16, [1]Visited!$B$2:$C$743, 2, FALSE), "")</f>
        <v/>
      </c>
      <c r="G16" s="10" t="str">
        <f t="shared" si="0"/>
        <v/>
      </c>
      <c r="H16" s="13" t="str">
        <f>IFERROR(VLOOKUP(B16, [1]Volume!$B$2:$C$1000, 2, FALSE), "")</f>
        <v/>
      </c>
      <c r="I16" t="str">
        <f>IFERROR(VLOOKUP(B16, [1]Visited!B:D, 3, FALSE), "")</f>
        <v/>
      </c>
      <c r="J16" s="14" t="str">
        <f>IFERROR(VLOOKUP(B16, [1]Visited!B:E, 4, FALSE), "")</f>
        <v/>
      </c>
      <c r="K16" s="10" t="str">
        <f>IFERROR(VLOOKUP(B16, [1]Visited!B:F, 5, FALSE), "")</f>
        <v/>
      </c>
      <c r="L16" s="16" t="str">
        <f>IFERROR(INDEX([1]Visited!G:G, MATCH(B16, [1]Visited!B:B, 0)), "")</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2025-12-28T11:50:00Z</dcterms:created>
  <dcterms:modified xsi:type="dcterms:W3CDTF">2025-12-28T20:01:08Z</dcterms:modified>
</cp:coreProperties>
</file>