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https://d.docs.live.net/6718527680502480/Coding/ICjourney/testFiles/"/>
    </mc:Choice>
  </mc:AlternateContent>
  <xr:revisionPtr revIDLastSave="13" documentId="8_{6C0AF0A5-A6DE-44D5-BB54-F51C7CD1DE69}" xr6:coauthVersionLast="47" xr6:coauthVersionMax="47" xr10:uidLastSave="{8EAD496B-CB53-4AED-BC8F-995E9C8BA1AF}"/>
  <bookViews>
    <workbookView xWindow="-120" yWindow="-120" windowWidth="29040" windowHeight="15720" xr2:uid="{E38F686A-5AAA-4C21-B0FD-6A5596417B7F}"/>
  </bookViews>
  <sheets>
    <sheet name="Sheet1"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16" i="1" l="1"/>
  <c r="K16" i="1"/>
  <c r="J16" i="1"/>
  <c r="I16" i="1"/>
  <c r="H16" i="1"/>
  <c r="F16" i="1"/>
  <c r="G16" i="1" s="1"/>
  <c r="L15" i="1"/>
  <c r="K15" i="1"/>
  <c r="J15" i="1"/>
  <c r="I15" i="1"/>
  <c r="H15" i="1"/>
  <c r="F15" i="1"/>
  <c r="G15" i="1" s="1"/>
  <c r="L14" i="1"/>
  <c r="K14" i="1"/>
  <c r="J14" i="1"/>
  <c r="I14" i="1"/>
  <c r="H14" i="1"/>
  <c r="F14" i="1"/>
  <c r="G14" i="1" s="1"/>
  <c r="L13" i="1"/>
  <c r="K13" i="1"/>
  <c r="J13" i="1"/>
  <c r="I13" i="1"/>
  <c r="H13" i="1"/>
  <c r="F13" i="1"/>
  <c r="G13" i="1" s="1"/>
  <c r="L12" i="1"/>
  <c r="K12" i="1"/>
  <c r="J12" i="1"/>
  <c r="I12" i="1"/>
  <c r="H12" i="1"/>
  <c r="G12" i="1"/>
  <c r="F12" i="1"/>
  <c r="L11" i="1"/>
  <c r="K11" i="1"/>
  <c r="J11" i="1"/>
  <c r="I11" i="1"/>
  <c r="H11" i="1"/>
  <c r="F11" i="1"/>
  <c r="G11" i="1" s="1"/>
  <c r="L10" i="1"/>
  <c r="K10" i="1"/>
  <c r="J10" i="1"/>
  <c r="I10" i="1"/>
  <c r="H10" i="1"/>
  <c r="F10" i="1"/>
  <c r="G10" i="1" s="1"/>
  <c r="L9" i="1"/>
  <c r="K9" i="1"/>
  <c r="J9" i="1"/>
  <c r="I9" i="1"/>
  <c r="H9" i="1"/>
  <c r="F9" i="1"/>
  <c r="G9" i="1" s="1"/>
  <c r="L8" i="1"/>
  <c r="K8" i="1"/>
  <c r="J8" i="1"/>
  <c r="I8" i="1"/>
  <c r="H8" i="1"/>
  <c r="F8" i="1"/>
  <c r="G8" i="1" s="1"/>
  <c r="L7" i="1"/>
  <c r="K7" i="1"/>
  <c r="J7" i="1"/>
  <c r="I7" i="1"/>
  <c r="H7" i="1"/>
  <c r="F7" i="1"/>
  <c r="G7" i="1" s="1"/>
  <c r="L6" i="1"/>
  <c r="K6" i="1"/>
  <c r="J6" i="1"/>
  <c r="I6" i="1"/>
  <c r="H6" i="1"/>
  <c r="F6" i="1"/>
  <c r="G6" i="1" s="1"/>
  <c r="L5" i="1"/>
  <c r="K5" i="1"/>
  <c r="J5" i="1"/>
  <c r="I5" i="1"/>
  <c r="H5" i="1"/>
  <c r="F5" i="1"/>
  <c r="G5" i="1" s="1"/>
  <c r="L4" i="1"/>
  <c r="K4" i="1"/>
  <c r="J4" i="1"/>
  <c r="I4" i="1"/>
  <c r="H4" i="1"/>
  <c r="F4" i="1"/>
  <c r="G4" i="1" s="1"/>
  <c r="L3" i="1"/>
  <c r="K3" i="1"/>
  <c r="J3" i="1"/>
  <c r="I3" i="1"/>
  <c r="H3" i="1"/>
  <c r="F3" i="1"/>
  <c r="G3" i="1" s="1"/>
  <c r="L2" i="1"/>
  <c r="K2" i="1"/>
  <c r="J2" i="1"/>
  <c r="I2" i="1"/>
  <c r="H2" i="1"/>
  <c r="F2" i="1"/>
  <c r="G2" i="1" s="1"/>
</calcChain>
</file>

<file path=xl/sharedStrings.xml><?xml version="1.0" encoding="utf-8"?>
<sst xmlns="http://schemas.openxmlformats.org/spreadsheetml/2006/main" count="87" uniqueCount="56">
  <si>
    <t>pub</t>
  </si>
  <si>
    <t>zip</t>
  </si>
  <si>
    <t>rtm</t>
  </si>
  <si>
    <t>short_post</t>
  </si>
  <si>
    <t>rm</t>
  </si>
  <si>
    <t>last_visited2.0</t>
  </si>
  <si>
    <t>last_visited</t>
  </si>
  <si>
    <t>top_volume</t>
  </si>
  <si>
    <t>landlord</t>
  </si>
  <si>
    <t>phone</t>
  </si>
  <si>
    <t>email</t>
  </si>
  <si>
    <t>visit_notes</t>
  </si>
  <si>
    <t>Westgate (Bury St Edmunds)</t>
  </si>
  <si>
    <t>IP33 1QD</t>
  </si>
  <si>
    <t>IP</t>
  </si>
  <si>
    <t>Greene King LT</t>
  </si>
  <si>
    <t>Samantha Wortley</t>
  </si>
  <si>
    <t>Buck Inn (Flixton)</t>
  </si>
  <si>
    <t>NR35 1NZ</t>
  </si>
  <si>
    <t>NR</t>
  </si>
  <si>
    <t>Greene King IFT</t>
  </si>
  <si>
    <t>Rob Brown (kirstu)</t>
  </si>
  <si>
    <t>Tramway Lowestoft</t>
  </si>
  <si>
    <t>NR33 7AA</t>
  </si>
  <si>
    <t>Stonegate</t>
  </si>
  <si>
    <t>Stuart Galloway</t>
  </si>
  <si>
    <t>Ship (Pakefield) (molson coors supplied)</t>
  </si>
  <si>
    <t>NR33 7HW</t>
  </si>
  <si>
    <t>Rob Brown</t>
  </si>
  <si>
    <t>Kessingland Utd WMC(Kessingland)ECI</t>
  </si>
  <si>
    <t>?</t>
  </si>
  <si>
    <t>Ivy House Country Hotel (Oulton Bro</t>
  </si>
  <si>
    <t>NR33 8HY</t>
  </si>
  <si>
    <t>Rob Brown (kirsty)</t>
  </si>
  <si>
    <t>Old Red House Carlton</t>
  </si>
  <si>
    <t>NR33 8JP</t>
  </si>
  <si>
    <t>Quayside Bar &amp; Restaurant (the waterfront probs)</t>
  </si>
  <si>
    <t>Rob Brown (adam moss and co probs)</t>
  </si>
  <si>
    <t>Horse and Groom (Wrentham)</t>
  </si>
  <si>
    <t>NR34 7HJ</t>
  </si>
  <si>
    <t>Bear &amp; Bells Beccles</t>
  </si>
  <si>
    <t>NR34 9AP</t>
  </si>
  <si>
    <t>Waveney Snooker Club (Beccles)</t>
  </si>
  <si>
    <t>NR34 9BB</t>
  </si>
  <si>
    <t>Fox &amp; Hounds (Beccles)(closed probs)</t>
  </si>
  <si>
    <t>NR34 9DX</t>
  </si>
  <si>
    <t>Rob Brown (adam)</t>
  </si>
  <si>
    <t>Beccles Caxton Club (Beccles) ECI</t>
  </si>
  <si>
    <t>NR34 9SJ</t>
  </si>
  <si>
    <t>Three Tuns (Bungay)</t>
  </si>
  <si>
    <t>NR35 1EG</t>
  </si>
  <si>
    <t>Bungay &amp; District Sports Assoc. (Bu</t>
  </si>
  <si>
    <t>NR35 2RU</t>
  </si>
  <si>
    <t>Rob Brown (kirsty smith account manager)</t>
  </si>
  <si>
    <t>nr33</t>
  </si>
  <si>
    <t>nr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</si>
</sst>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Aptos Narrow"/>
      <family val="2"/>
      <scheme val="minor"/>
    </font>
    <font>
      <b/>
      <sz val="11"/>
      <color theme="1"/>
      <name val="Aptos Narrow"/>
      <family val="2"/>
      <scheme val="minor"/>
    </font>
    <font>
      <b/>
      <sz val="10"/>
      <name val="Aptos Narrow"/>
      <family val="2"/>
      <scheme val="minor"/>
    </font>
    <font>
      <b/>
      <sz val="10"/>
      <color rgb="FF000000"/>
      <name val="Aptos Narrow"/>
      <family val="2"/>
      <scheme val="minor"/>
    </font>
    <font>
      <b/>
      <sz val="10"/>
      <color theme="1"/>
      <name val="Aptos Narrow"/>
      <family val="2"/>
      <scheme val="minor"/>
    </font>
    <font>
      <sz val="11"/>
      <color rgb="FF000000"/>
      <name val="Aptos Narrow"/>
      <family val="2"/>
      <scheme val="minor"/>
    </font>
    <font>
      <sz val="10"/>
      <color theme="1"/>
      <name val="Aptos Narrow"/>
      <family val="2"/>
      <scheme val="minor"/>
    </font>
    <font>
      <sz val="10"/>
      <color rgb="FF000000"/>
      <name val="Aptos Narrow"/>
      <family val="2"/>
      <scheme val="minor"/>
    </font>
  </fonts>
  <fills count="4">
    <fill>
      <patternFill patternType="none"/>
    </fill>
    <fill>
      <patternFill patternType="gray125"/>
    </fill>
    <fill>
      <patternFill patternType="solid">
        <fgColor theme="9" tint="0.59999389629810485"/>
        <bgColor rgb="FF000000"/>
      </patternFill>
    </fill>
    <fill>
      <patternFill patternType="solid">
        <fgColor theme="9" tint="0.59999389629810485"/>
        <bgColor indexed="64"/>
      </patternFill>
    </fill>
  </fills>
  <borders count="1">
    <border>
      <left/>
      <right/>
      <top/>
      <bottom/>
      <diagonal/>
    </border>
  </borders>
  <cellStyleXfs count="1">
    <xf numFmtId="0" fontId="0" fillId="0" borderId="0"/>
  </cellStyleXfs>
  <cellXfs count="19">
    <xf numFmtId="0" fontId="0" fillId="0" borderId="0" xfId="0"/>
    <xf numFmtId="0" fontId="2" fillId="2" borderId="0" xfId="0" applyFont="1" applyFill="1" applyAlignment="1">
      <alignment horizontal="center" vertical="center" wrapText="1"/>
    </xf>
    <xf numFmtId="0" fontId="1" fillId="3" borderId="0" xfId="0" applyFont="1" applyFill="1" applyAlignment="1">
      <alignment horizontal="center" vertical="center" wrapText="1"/>
    </xf>
    <xf numFmtId="0" fontId="2" fillId="3" borderId="0" xfId="0" applyFont="1" applyFill="1" applyAlignment="1">
      <alignment horizontal="center" vertical="center" wrapText="1"/>
    </xf>
    <xf numFmtId="14" fontId="3" fillId="2" borderId="0" xfId="0" applyNumberFormat="1" applyFont="1" applyFill="1" applyAlignment="1">
      <alignment horizontal="center" vertical="center" wrapText="1"/>
    </xf>
    <xf numFmtId="49" fontId="3" fillId="2" borderId="0" xfId="0" applyNumberFormat="1" applyFont="1" applyFill="1" applyAlignment="1">
      <alignment horizontal="center" vertical="center" wrapText="1"/>
    </xf>
    <xf numFmtId="0" fontId="4" fillId="3" borderId="0" xfId="0" applyFont="1" applyFill="1" applyAlignment="1">
      <alignment horizontal="center" vertical="center" wrapText="1"/>
    </xf>
    <xf numFmtId="0" fontId="0" fillId="3" borderId="0" xfId="0" applyFill="1" applyAlignment="1">
      <alignment horizontal="center" vertical="center" wrapText="1"/>
    </xf>
    <xf numFmtId="0" fontId="5" fillId="0" borderId="0" xfId="0" applyFont="1" applyAlignment="1">
      <alignment horizontal="left" wrapText="1"/>
    </xf>
    <xf numFmtId="0" fontId="5" fillId="0" borderId="0" xfId="0" applyFont="1" applyAlignment="1">
      <alignment horizontal="center"/>
    </xf>
    <xf numFmtId="0" fontId="0" fillId="0" borderId="0" xfId="0" applyAlignment="1">
      <alignment horizontal="center" wrapText="1"/>
    </xf>
    <xf numFmtId="0" fontId="5" fillId="0" borderId="0" xfId="0" applyFont="1" applyAlignment="1">
      <alignment horizontal="center" wrapText="1"/>
    </xf>
    <xf numFmtId="14" fontId="0" fillId="0" borderId="0" xfId="0" applyNumberFormat="1" applyAlignment="1">
      <alignment horizontal="center" wrapText="1"/>
    </xf>
    <xf numFmtId="0" fontId="6" fillId="0" borderId="0" xfId="0" applyFont="1" applyAlignment="1">
      <alignment horizontal="center"/>
    </xf>
    <xf numFmtId="0" fontId="0" fillId="0" borderId="0" xfId="0" applyAlignment="1">
      <alignment horizontal="center"/>
    </xf>
    <xf numFmtId="0" fontId="6" fillId="0" borderId="0" xfId="0" applyFont="1" applyAlignment="1">
      <alignment horizontal="center" wrapText="1"/>
    </xf>
    <xf numFmtId="0" fontId="0" fillId="0" borderId="0" xfId="0" applyAlignment="1">
      <alignment horizontal="left" vertical="center" wrapText="1"/>
    </xf>
    <xf numFmtId="0" fontId="6" fillId="0" borderId="0" xfId="0" applyFont="1" applyAlignment="1">
      <alignment horizontal="left" wrapText="1"/>
    </xf>
    <xf numFmtId="0" fontId="7" fillId="0" borderId="0" xfId="0" applyFont="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d.docs.live.net/6718527680502480/Coding/Hitlist%20and%20Data%20%20Testers/MASTER%20Houselist.xlsx" TargetMode="External"/><Relationship Id="rId1" Type="http://schemas.openxmlformats.org/officeDocument/2006/relationships/externalLinkPath" Target="/6718527680502480/Coding/Hitlist%20and%20Data%20%20Testers/MASTER%20Houselis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aster jan1"/>
      <sheetName val="Volume"/>
      <sheetName val="Visited"/>
      <sheetName val="Win Tracker"/>
      <sheetName val="VC Tracker"/>
      <sheetName val="RM Info"/>
      <sheetName val="BBG BDM INFO"/>
      <sheetName val="OLDpatchmaster"/>
    </sheetNames>
    <sheetDataSet>
      <sheetData sheetId="0"/>
      <sheetData sheetId="1">
        <row r="2">
          <cell r="B2" t="str">
            <v>CO1 1UW</v>
          </cell>
          <cell r="C2">
            <v>15.523082328599369</v>
          </cell>
        </row>
        <row r="3">
          <cell r="B3" t="str">
            <v>CO1 1NX</v>
          </cell>
          <cell r="C3">
            <v>16.9518278080802</v>
          </cell>
        </row>
        <row r="4">
          <cell r="B4" t="str">
            <v>CO1 1PX</v>
          </cell>
          <cell r="C4">
            <v>17.01729151848</v>
          </cell>
        </row>
        <row r="5">
          <cell r="B5" t="str">
            <v>CO1 1UW</v>
          </cell>
          <cell r="C5">
            <v>17.015082118253471</v>
          </cell>
        </row>
        <row r="6">
          <cell r="B6" t="str">
            <v>CO10 1RE</v>
          </cell>
          <cell r="C6">
            <v>66.278304610785085</v>
          </cell>
        </row>
        <row r="7">
          <cell r="B7" t="str">
            <v>CO10 2EB</v>
          </cell>
          <cell r="C7">
            <v>14.532943708800252</v>
          </cell>
        </row>
        <row r="8">
          <cell r="B8" t="str">
            <v>CO10 2HX</v>
          </cell>
          <cell r="C8">
            <v>23.635672639920109</v>
          </cell>
        </row>
        <row r="9">
          <cell r="B9" t="str">
            <v>CO10 9JA</v>
          </cell>
          <cell r="C9">
            <v>17.724299590799941</v>
          </cell>
        </row>
        <row r="10">
          <cell r="B10" t="str">
            <v>CO10 9QZ</v>
          </cell>
          <cell r="C10">
            <v>28.051199906400335</v>
          </cell>
        </row>
        <row r="11">
          <cell r="B11" t="str">
            <v>CO11 2UZ</v>
          </cell>
          <cell r="C11">
            <v>18.18254556360024</v>
          </cell>
        </row>
        <row r="12">
          <cell r="B12" t="str">
            <v>CO12 4LW</v>
          </cell>
          <cell r="C12">
            <v>41.747013194790107</v>
          </cell>
        </row>
        <row r="13">
          <cell r="B13" t="str">
            <v>CO13 0AZ</v>
          </cell>
          <cell r="C13">
            <v>55.902573875783716</v>
          </cell>
        </row>
        <row r="14">
          <cell r="B14" t="str">
            <v>CO13 9EB</v>
          </cell>
          <cell r="C14">
            <v>15.465801582000221</v>
          </cell>
        </row>
        <row r="15">
          <cell r="B15" t="str">
            <v>CO14 8AP</v>
          </cell>
          <cell r="C15">
            <v>28.496691911820449</v>
          </cell>
        </row>
        <row r="16">
          <cell r="B16" t="str">
            <v>CO15 1NJ</v>
          </cell>
          <cell r="C16">
            <v>23.190519409200217</v>
          </cell>
        </row>
        <row r="17">
          <cell r="B17" t="str">
            <v>CO15 1PR</v>
          </cell>
          <cell r="C17">
            <v>35.825015516400015</v>
          </cell>
        </row>
        <row r="18">
          <cell r="B18" t="str">
            <v>CO16 8SH</v>
          </cell>
          <cell r="C18">
            <v>17.789763301200249</v>
          </cell>
        </row>
        <row r="19">
          <cell r="B19" t="str">
            <v>CO2 8JB</v>
          </cell>
          <cell r="C19">
            <v>24.467061762000288</v>
          </cell>
        </row>
        <row r="20">
          <cell r="B20" t="str">
            <v>CO4 5UP</v>
          </cell>
          <cell r="C20">
            <v>17.691567735600064</v>
          </cell>
        </row>
        <row r="21">
          <cell r="B21" t="str">
            <v>CO6 2PA</v>
          </cell>
          <cell r="C21">
            <v>23.468740178399688</v>
          </cell>
        </row>
        <row r="22">
          <cell r="B22" t="str">
            <v>CO7 0BX</v>
          </cell>
          <cell r="C22">
            <v>41.356699045199946</v>
          </cell>
        </row>
        <row r="23">
          <cell r="B23" t="str">
            <v>CO7 9SR</v>
          </cell>
          <cell r="C23">
            <v>14.99118968159981</v>
          </cell>
        </row>
        <row r="24">
          <cell r="B24" t="str">
            <v>CO9 4HY</v>
          </cell>
          <cell r="C24">
            <v>45.224155781587683</v>
          </cell>
        </row>
        <row r="25">
          <cell r="B25" t="str">
            <v>CO9 2AP</v>
          </cell>
          <cell r="C25">
            <v>14.565675564000301</v>
          </cell>
        </row>
        <row r="26">
          <cell r="B26" t="str">
            <v>CO9 2JG</v>
          </cell>
          <cell r="C26">
            <v>17.724299590800008</v>
          </cell>
        </row>
        <row r="27">
          <cell r="B27" t="str">
            <v>CO9 4HY</v>
          </cell>
          <cell r="C27">
            <v>63.188031440405638</v>
          </cell>
        </row>
        <row r="28">
          <cell r="B28" t="str">
            <v>IP1 1TF</v>
          </cell>
          <cell r="C28">
            <v>19.099037509200009</v>
          </cell>
        </row>
        <row r="29">
          <cell r="B29" t="str">
            <v>IP1 3HD</v>
          </cell>
          <cell r="C29">
            <v>38.967273615599943</v>
          </cell>
        </row>
        <row r="30">
          <cell r="B30" t="str">
            <v>IP11 2EY</v>
          </cell>
          <cell r="C30">
            <v>15.9240475548003</v>
          </cell>
        </row>
        <row r="31">
          <cell r="B31" t="str">
            <v>IP11 7PF</v>
          </cell>
          <cell r="C31">
            <v>19.000841943600083</v>
          </cell>
        </row>
        <row r="32">
          <cell r="B32" t="str">
            <v>IP13 0RP</v>
          </cell>
          <cell r="C32">
            <v>14.991189681600169</v>
          </cell>
        </row>
        <row r="33">
          <cell r="B33" t="str">
            <v>IP13 8DH</v>
          </cell>
          <cell r="C33">
            <v>31.520776557599845</v>
          </cell>
        </row>
        <row r="34">
          <cell r="B34" t="str">
            <v>IP14 1AH</v>
          </cell>
          <cell r="C34">
            <v>53.641105363555241</v>
          </cell>
        </row>
        <row r="35">
          <cell r="B35" t="str">
            <v>IP14 1NF</v>
          </cell>
          <cell r="C35">
            <v>19.00084194359999</v>
          </cell>
        </row>
        <row r="36">
          <cell r="B36" t="str">
            <v>IP14 5AG</v>
          </cell>
          <cell r="C36">
            <v>35.464965109199987</v>
          </cell>
        </row>
        <row r="37">
          <cell r="B37" t="str">
            <v>IP20 0HH</v>
          </cell>
          <cell r="C37">
            <v>25.920233388423377</v>
          </cell>
        </row>
        <row r="38">
          <cell r="B38" t="str">
            <v>IP20 9AD</v>
          </cell>
          <cell r="C38">
            <v>36.021406647599939</v>
          </cell>
        </row>
        <row r="39">
          <cell r="B39" t="str">
            <v>IP21 4DP</v>
          </cell>
          <cell r="C39">
            <v>86.723050352399952</v>
          </cell>
        </row>
        <row r="40">
          <cell r="B40" t="str">
            <v>IP21 4NQ</v>
          </cell>
          <cell r="C40">
            <v>21.010757878083894</v>
          </cell>
        </row>
        <row r="41">
          <cell r="B41" t="str">
            <v>IP24 2DN</v>
          </cell>
          <cell r="C41">
            <v>22.690741589198037</v>
          </cell>
        </row>
        <row r="42">
          <cell r="B42" t="str">
            <v>IP24 3BX</v>
          </cell>
          <cell r="C42">
            <v>16.349561672399979</v>
          </cell>
        </row>
        <row r="43">
          <cell r="B43" t="str">
            <v>IP25 6AG</v>
          </cell>
          <cell r="C43">
            <v>37.019728231199991</v>
          </cell>
        </row>
        <row r="44">
          <cell r="B44" t="str">
            <v>IP26 4BA</v>
          </cell>
          <cell r="C44">
            <v>14.53294370880025</v>
          </cell>
        </row>
        <row r="45">
          <cell r="B45" t="str">
            <v>IP28 7EA</v>
          </cell>
          <cell r="C45">
            <v>77.729269401312749</v>
          </cell>
        </row>
        <row r="46">
          <cell r="B46" t="str">
            <v>IP28 7HG</v>
          </cell>
          <cell r="C46">
            <v>16.791441717600051</v>
          </cell>
        </row>
        <row r="47">
          <cell r="B47" t="str">
            <v>IP3 0PQ</v>
          </cell>
          <cell r="C47">
            <v>16.790207661195609</v>
          </cell>
        </row>
        <row r="48">
          <cell r="B48" t="str">
            <v>IP31 3AA</v>
          </cell>
          <cell r="C48">
            <v>23.632399454400048</v>
          </cell>
        </row>
        <row r="49">
          <cell r="B49" t="str">
            <v>IP33 1XP</v>
          </cell>
          <cell r="C49">
            <v>17.347883256000152</v>
          </cell>
        </row>
        <row r="50">
          <cell r="B50" t="str">
            <v>IP33 1YQ</v>
          </cell>
          <cell r="C50">
            <v>22.715907508800001</v>
          </cell>
        </row>
        <row r="51">
          <cell r="B51" t="str">
            <v>IP4 1HH</v>
          </cell>
          <cell r="C51">
            <v>18.640791536400279</v>
          </cell>
        </row>
        <row r="52">
          <cell r="B52" t="str">
            <v>IP4 4NX</v>
          </cell>
          <cell r="C52">
            <v>32.503959658169805</v>
          </cell>
        </row>
        <row r="53">
          <cell r="B53" t="str">
            <v>IP6 8AA</v>
          </cell>
          <cell r="C53">
            <v>18.182545563600058</v>
          </cell>
        </row>
        <row r="54">
          <cell r="B54" t="str">
            <v>IP9 2PZ</v>
          </cell>
          <cell r="C54">
            <v>14.50021185360017</v>
          </cell>
        </row>
        <row r="55">
          <cell r="B55" t="str">
            <v>NR1 1JE</v>
          </cell>
          <cell r="C55">
            <v>58.508191169999968</v>
          </cell>
        </row>
        <row r="56">
          <cell r="B56" t="str">
            <v>NR1 3RU</v>
          </cell>
          <cell r="C56">
            <v>29.003696892720072</v>
          </cell>
        </row>
        <row r="57">
          <cell r="B57" t="str">
            <v>NR11 7DY</v>
          </cell>
          <cell r="C57">
            <v>17.822495156400461</v>
          </cell>
        </row>
        <row r="58">
          <cell r="B58" t="str">
            <v>NR12 7NJ</v>
          </cell>
          <cell r="C58">
            <v>19.540917554400249</v>
          </cell>
        </row>
        <row r="59">
          <cell r="B59" t="str">
            <v>NR12 8PF</v>
          </cell>
          <cell r="C59">
            <v>24.53907184343991</v>
          </cell>
        </row>
        <row r="60">
          <cell r="B60" t="str">
            <v>NR16 2HB</v>
          </cell>
          <cell r="C60">
            <v>23.190519409199815</v>
          </cell>
        </row>
        <row r="61">
          <cell r="B61" t="str">
            <v>NR19 2DJ</v>
          </cell>
          <cell r="C61">
            <v>17.52790845960007</v>
          </cell>
        </row>
        <row r="62">
          <cell r="B62" t="str">
            <v>NR2 2PE</v>
          </cell>
          <cell r="C62">
            <v>40.01469298200039</v>
          </cell>
        </row>
        <row r="63">
          <cell r="B63" t="str">
            <v>NR2 2DQ</v>
          </cell>
          <cell r="C63">
            <v>30.015111218399962</v>
          </cell>
        </row>
        <row r="64">
          <cell r="B64" t="str">
            <v>NR2 2PE</v>
          </cell>
          <cell r="C64">
            <v>66.007376695314036</v>
          </cell>
        </row>
        <row r="65">
          <cell r="B65" t="str">
            <v>NR2 3HD</v>
          </cell>
          <cell r="C65">
            <v>25.912173169079999</v>
          </cell>
        </row>
        <row r="66">
          <cell r="B66" t="str">
            <v>NR20 4NY</v>
          </cell>
          <cell r="C66">
            <v>25.465383345600017</v>
          </cell>
        </row>
        <row r="67">
          <cell r="B67" t="str">
            <v>NR21 8AD</v>
          </cell>
          <cell r="C67">
            <v>18.558961898400241</v>
          </cell>
        </row>
        <row r="68">
          <cell r="B68" t="str">
            <v>NR21 9BP</v>
          </cell>
          <cell r="C68">
            <v>18.280741129199964</v>
          </cell>
        </row>
        <row r="69">
          <cell r="B69" t="str">
            <v>NR23 1AE</v>
          </cell>
          <cell r="C69">
            <v>35.906845154400017</v>
          </cell>
        </row>
        <row r="70">
          <cell r="B70" t="str">
            <v>NR23 1AJ</v>
          </cell>
          <cell r="C70">
            <v>14.925725971200212</v>
          </cell>
        </row>
        <row r="71">
          <cell r="B71" t="str">
            <v>NR23 1DS</v>
          </cell>
          <cell r="C71">
            <v>18.166179636000003</v>
          </cell>
        </row>
        <row r="72">
          <cell r="B72" t="str">
            <v>NR26 8BQ</v>
          </cell>
          <cell r="C72">
            <v>20.509780468320123</v>
          </cell>
        </row>
        <row r="73">
          <cell r="B73" t="str">
            <v>NR27 9NX</v>
          </cell>
          <cell r="C73">
            <v>16.022243120400159</v>
          </cell>
        </row>
        <row r="74">
          <cell r="B74" t="str">
            <v>NR28 0PS</v>
          </cell>
          <cell r="C74">
            <v>17.282419545599979</v>
          </cell>
        </row>
        <row r="75">
          <cell r="B75" t="str">
            <v>NR28 0RA</v>
          </cell>
          <cell r="C75">
            <v>14.54930963640021</v>
          </cell>
        </row>
        <row r="76">
          <cell r="B76" t="str">
            <v>NR29 3AF</v>
          </cell>
          <cell r="C76">
            <v>14.99118968159997</v>
          </cell>
        </row>
        <row r="77">
          <cell r="B77" t="str">
            <v>NR29 4BN</v>
          </cell>
          <cell r="C77">
            <v>19.982797599599973</v>
          </cell>
        </row>
        <row r="78">
          <cell r="B78" t="str">
            <v>NR29 4HZ</v>
          </cell>
          <cell r="C78">
            <v>16.77507578999985</v>
          </cell>
        </row>
        <row r="79">
          <cell r="B79" t="str">
            <v>NR29 4LT</v>
          </cell>
          <cell r="C79">
            <v>28.149395472000258</v>
          </cell>
        </row>
        <row r="80">
          <cell r="B80" t="str">
            <v>NR29 5HZ</v>
          </cell>
          <cell r="C80">
            <v>28.165761399600111</v>
          </cell>
        </row>
        <row r="81">
          <cell r="B81" t="str">
            <v>NR3 1JD</v>
          </cell>
          <cell r="C81">
            <v>57.608065152000123</v>
          </cell>
        </row>
        <row r="82">
          <cell r="B82" t="str">
            <v>NR3 2SA</v>
          </cell>
          <cell r="C82">
            <v>46.367946076320031</v>
          </cell>
        </row>
        <row r="83">
          <cell r="B83" t="str">
            <v>NR30 5ER</v>
          </cell>
          <cell r="C83">
            <v>28.591275517199911</v>
          </cell>
        </row>
        <row r="84">
          <cell r="B84" t="str">
            <v>NR31 9EP</v>
          </cell>
          <cell r="C84">
            <v>31.013432801999937</v>
          </cell>
        </row>
        <row r="85">
          <cell r="B85" t="str">
            <v>NR31 9EY</v>
          </cell>
          <cell r="C85">
            <v>50.898034836000079</v>
          </cell>
        </row>
        <row r="86">
          <cell r="B86" t="str">
            <v>NR31 9QQ</v>
          </cell>
          <cell r="C86">
            <v>21.83214741839986</v>
          </cell>
        </row>
        <row r="87">
          <cell r="B87" t="str">
            <v>NR32 5HP</v>
          </cell>
          <cell r="C87">
            <v>15.00755560920021</v>
          </cell>
        </row>
        <row r="88">
          <cell r="B88" t="str">
            <v>NR33 8QS</v>
          </cell>
          <cell r="C88">
            <v>35.358586579799919</v>
          </cell>
        </row>
        <row r="89">
          <cell r="B89" t="str">
            <v>NR33 0PR</v>
          </cell>
          <cell r="C89">
            <v>14.860262260800079</v>
          </cell>
        </row>
        <row r="90">
          <cell r="B90" t="str">
            <v>NR33 7HW</v>
          </cell>
          <cell r="C90">
            <v>16.36592760000018</v>
          </cell>
        </row>
        <row r="91">
          <cell r="B91" t="str">
            <v>NR33 8HL</v>
          </cell>
          <cell r="C91">
            <v>40.472938954799986</v>
          </cell>
        </row>
        <row r="92">
          <cell r="B92" t="str">
            <v>NR34 8RL</v>
          </cell>
          <cell r="C92">
            <v>89.145207637199988</v>
          </cell>
        </row>
        <row r="93">
          <cell r="B93" t="str">
            <v>NR4 6LA</v>
          </cell>
          <cell r="C93">
            <v>26.080742223360058</v>
          </cell>
        </row>
        <row r="94">
          <cell r="B94" t="str">
            <v>NR6 5QA</v>
          </cell>
          <cell r="C94">
            <v>39.533534710559856</v>
          </cell>
        </row>
        <row r="95">
          <cell r="B95" t="str">
            <v>NR7 8RY</v>
          </cell>
          <cell r="C95">
            <v>16.840539500400261</v>
          </cell>
        </row>
        <row r="96">
          <cell r="B96" t="str">
            <v>NR9 4AA</v>
          </cell>
          <cell r="C96">
            <v>19.737308685600148</v>
          </cell>
        </row>
      </sheetData>
      <sheetData sheetId="2">
        <row r="1">
          <cell r="B1" t="str">
            <v>Zip Code</v>
          </cell>
          <cell r="C1" t="str">
            <v>Visit Start</v>
          </cell>
          <cell r="D1" t="str">
            <v xml:space="preserve">Name </v>
          </cell>
          <cell r="E1" t="str">
            <v xml:space="preserve">Phone </v>
          </cell>
          <cell r="F1" t="str">
            <v xml:space="preserve">Email </v>
          </cell>
          <cell r="G1" t="str">
            <v xml:space="preserve">Visit notes </v>
          </cell>
        </row>
        <row r="2">
          <cell r="B2" t="str">
            <v>NR3 4DY</v>
          </cell>
          <cell r="C2" t="str">
            <v>1/10/2025 1:44:41 PM</v>
          </cell>
          <cell r="D2" t="str">
            <v>claire</v>
          </cell>
          <cell r="E2" t="str">
            <v>01603441118</v>
          </cell>
          <cell r="F2" t="str">
            <v>contact@thebrickmakers.com</v>
          </cell>
          <cell r="G2" t="str">
            <v>poc closed and opening late today.
the outdoor foodshop guy gave me Claire email to sort</v>
          </cell>
        </row>
        <row r="3">
          <cell r="B3" t="str">
            <v>NR13 4LE</v>
          </cell>
          <cell r="C3" t="str">
            <v>1/10/2025 11:48:55 AM</v>
          </cell>
          <cell r="D3" t="str">
            <v>kevin</v>
          </cell>
          <cell r="E3" t="str">
            <v>0</v>
          </cell>
          <cell r="F3" t="str">
            <v>khogguk@gmail.com</v>
          </cell>
          <cell r="G3" t="str">
            <v>kevin ll, going on holiday to see daughter in florid for a bit, requested follow email for visit next month, reminder set</v>
          </cell>
        </row>
        <row r="4">
          <cell r="B4" t="str">
            <v>NR13 5LP</v>
          </cell>
          <cell r="C4" t="str">
            <v>1/10/2025 12:23:53 PM</v>
          </cell>
          <cell r="D4" t="str">
            <v>x</v>
          </cell>
          <cell r="E4" t="str">
            <v>0</v>
          </cell>
          <cell r="F4" t="str">
            <v>x</v>
          </cell>
          <cell r="G4" t="str">
            <v>lls are leaving, closing for a month and new lls in feb. 
left card to share and emailed rm to get in</v>
          </cell>
        </row>
        <row r="5">
          <cell r="B5" t="str">
            <v>CO9 2AP</v>
          </cell>
          <cell r="C5" t="str">
            <v>1/13/2025 1:24:19 PM</v>
          </cell>
          <cell r="D5" t="str">
            <v>debbie</v>
          </cell>
          <cell r="E5" t="str">
            <v>07850538850</v>
          </cell>
          <cell r="F5" t="str">
            <v>x</v>
          </cell>
          <cell r="G5" t="str">
            <v>moretti top vol by far, stelpa drinkers have more pints though apparently. 
Belhaven not doing good now that they have guinnes. possible target but gk brand- ops for craft in this town, on highstreet, and a wine bar. tbd</v>
          </cell>
        </row>
        <row r="6">
          <cell r="B6" t="str">
            <v>CO9 1LL</v>
          </cell>
          <cell r="C6" t="str">
            <v>1/13/2025 1:46:20 PM</v>
          </cell>
          <cell r="D6" t="str">
            <v>mick</v>
          </cell>
          <cell r="E6" t="str">
            <v>01787472425</v>
          </cell>
          <cell r="F6" t="str">
            <v>x</v>
          </cell>
          <cell r="G6" t="str">
            <v>oval badge , 
pints stella
new tap handle stwlla 
mick LL
32 years leased
Boddington on 30 years
thatchers on but a dummy font.... though he's not keen to put anything else on... thatchers may come back in summer (sweeter and doesn't last as long) but his customers are also 90 ish and stick to core</v>
          </cell>
        </row>
        <row r="7">
          <cell r="B7" t="str">
            <v>CO6 2PA</v>
          </cell>
          <cell r="C7" t="str">
            <v>1/13/2025 11:27:16 AM</v>
          </cell>
          <cell r="D7" t="str">
            <v>joe Edd and laura</v>
          </cell>
          <cell r="E7" t="str">
            <v>0</v>
          </cell>
          <cell r="F7" t="str">
            <v>eddlau@me.com</v>
          </cell>
          <cell r="G7" t="str">
            <v>moving budlught where level head is
replacing level with san mig
£500 listing fee, foc keg, and tnt- reminder for 10 days ish when goes live
spoke om tnt last visit and listing fee
san mig ops and core brands
meet set for today.... but doors locked and not answering comms</v>
          </cell>
        </row>
        <row r="8">
          <cell r="B8" t="str">
            <v>CO6 2NG</v>
          </cell>
          <cell r="C8" t="str">
            <v>1/13/2025 11:55:51 AM</v>
          </cell>
          <cell r="D8" t="str">
            <v>sue</v>
          </cell>
          <cell r="E8" t="str">
            <v>0</v>
          </cell>
          <cell r="F8" t="str">
            <v>info@ecrc.club</v>
          </cell>
          <cell r="G8" t="str">
            <v>met Sue, carlsberg and sort of gk only targetable brands. 
uses bud glasses for san mig, quite lively glasses, mentioned expect new glassware with time.
mentioned tnt, will get a note from nikki with time.</v>
          </cell>
        </row>
        <row r="9">
          <cell r="B9" t="str">
            <v>CO6 2LT</v>
          </cell>
          <cell r="C9" t="str">
            <v>1/13/2025 12:13:34 PM</v>
          </cell>
          <cell r="D9" t="str">
            <v>new mngr coming</v>
          </cell>
          <cell r="E9" t="str">
            <v>0</v>
          </cell>
          <cell r="F9" t="str">
            <v>info@colnevalleygolfclub.co.uk</v>
          </cell>
          <cell r="G9" t="str">
            <v>met tom' passed om email , in-between bar managers but open to discussion
since putting moretti on , san mig has dropped. cider and moretti target
tom- 07764207953
tom@colnevalleygolfclub.co.uk</v>
          </cell>
        </row>
        <row r="10">
          <cell r="B10" t="str">
            <v>CO1 2AS</v>
          </cell>
          <cell r="C10" t="str">
            <v>1/14/2025 2:10:09 PM</v>
          </cell>
          <cell r="D10" t="str">
            <v>ashleigh</v>
          </cell>
          <cell r="E10" t="str">
            <v>0</v>
          </cell>
          <cell r="F10" t="str">
            <v>x</v>
          </cell>
          <cell r="G10" t="str">
            <v>coasters, runners  for san mig and stella. 
Stella tshirts. 
55-60% kop option and pricing. 
hells option for white label bellhaven , royal mort
send email with hells pricing and kop pricing- with listing fee and tnt details</v>
          </cell>
        </row>
        <row r="11">
          <cell r="B11" t="str">
            <v>CO1 2JQ</v>
          </cell>
          <cell r="C11" t="str">
            <v>1/14/2025 3:16:29 PM</v>
          </cell>
          <cell r="D11" t="str">
            <v>jimbo</v>
          </cell>
          <cell r="E11" t="str">
            <v>075977799001</v>
          </cell>
          <cell r="F11" t="str">
            <v>x</v>
          </cell>
          <cell r="G11" t="str">
            <v>bud felt runners x3 
bud pints and halfs
bud neon light approval? - approved if installs kop like he says , has 1 keg left and says will ring hamnah to install then. (told him it's apparently hive there- onto look it- and he has to sort but hannah let's him have free range really)
coasters for bud stella and san mig
nice guy, been in 5 years. Just signed another 5.
nil craft ops, perhaps kopburg on draught (does well in fridge)
he is obsessed with budweiser.  .moretti "is his craft"</v>
          </cell>
        </row>
        <row r="12">
          <cell r="B12" t="str">
            <v>CO2 8LY</v>
          </cell>
          <cell r="C12" t="str">
            <v>1/15/2025 11:56:53 AM</v>
          </cell>
          <cell r="D12" t="str">
            <v>pete and ami</v>
          </cell>
          <cell r="E12" t="str">
            <v>0</v>
          </cell>
          <cell r="F12" t="str">
            <v>thegrapespubcolchester@gmail.com</v>
          </cell>
          <cell r="G12" t="str">
            <v>coasters, and ask about glassware in email.
had meet scheduled, no show....
mention tnt
Stella ops, neckoil target</v>
          </cell>
        </row>
        <row r="13">
          <cell r="B13" t="str">
            <v>CO1 1DN</v>
          </cell>
          <cell r="C13" t="str">
            <v>1/15/2025 12:04:33 PM</v>
          </cell>
          <cell r="D13" t="str">
            <v>alex mngr, charlie owner</v>
          </cell>
          <cell r="E13" t="str">
            <v>0</v>
          </cell>
          <cell r="F13" t="str">
            <v>15grayalexander@gmail.com or charlie@pasinileisure.com</v>
          </cell>
          <cell r="G13" t="str">
            <v>leffe likely for guest line
pale perhaps down the road
hells doing 300+ hl, and best seller next to estrella
asking for pricing for leffe, pale, san mig- with leffe as the install but wanting to apply buttons for if he choses to move around.
sending hells pos
send a board of leffe goes through</v>
          </cell>
        </row>
        <row r="14">
          <cell r="B14" t="str">
            <v>CO1</v>
          </cell>
          <cell r="C14" t="str">
            <v>1/15/2025 12:07:49 PM</v>
          </cell>
          <cell r="D14" t="str">
            <v>paul</v>
          </cell>
          <cell r="E14" t="str">
            <v>07304055797</v>
          </cell>
          <cell r="F14" t="str">
            <v>x</v>
          </cell>
          <cell r="G14" t="str">
            <v>prospecting visit, in bbg contract 90% of bar, 5 months left. leaving with wam</v>
          </cell>
        </row>
        <row r="15">
          <cell r="B15" t="str">
            <v>IP4 1AD</v>
          </cell>
          <cell r="C15" t="str">
            <v>1/16/2025 1:02:15 PM</v>
          </cell>
          <cell r="D15" t="str">
            <v>ally</v>
          </cell>
          <cell r="E15" t="str">
            <v>0</v>
          </cell>
          <cell r="F15" t="str">
            <v>x</v>
          </cell>
          <cell r="G15" t="str">
            <v>gk ift prospecting
san mig on, and hells
ho apparently agreed to take out san mig for cruz in their managed sites
unable to move forward anywhere</v>
          </cell>
        </row>
        <row r="16">
          <cell r="B16" t="str">
            <v>IP1 1AY</v>
          </cell>
          <cell r="C16" t="str">
            <v>1/16/2025 1:32:41 PM</v>
          </cell>
          <cell r="D16" t="str">
            <v>kiernan mng</v>
          </cell>
          <cell r="E16" t="str">
            <v>0</v>
          </cell>
          <cell r="F16" t="str">
            <v>x</v>
          </cell>
          <cell r="G16" t="str">
            <v>all revolution goes through Mathew Clark, no ops to influence, desicions at Ho level and don't see it changing</v>
          </cell>
        </row>
        <row r="17">
          <cell r="B17" t="str">
            <v>IP2 8HW</v>
          </cell>
          <cell r="C17" t="str">
            <v>1/16/2025 11:53:57 AM</v>
          </cell>
          <cell r="D17" t="str">
            <v>andy</v>
          </cell>
          <cell r="E17" t="str">
            <v>0</v>
          </cell>
          <cell r="F17" t="str">
            <v>x</v>
          </cell>
          <cell r="G17" t="str">
            <v>pints, half, coaster, runner, for san mig (sending to geoff)
buys his beers from all over. says contract not going forward with lacons and bbg visit from last... wants to avoid having to agree % of the bar. 
gave a brief run down for gk (struggles getting pos and badges for brands and small in there), not expecting a ring back but one to check in over the next few months</v>
          </cell>
        </row>
        <row r="18">
          <cell r="B18" t="str">
            <v>IP4 1AS</v>
          </cell>
          <cell r="C18" t="str">
            <v>1/16/2025 12:19:48 PM</v>
          </cell>
          <cell r="D18" t="str">
            <v>jerry mngr</v>
          </cell>
          <cell r="E18" t="str">
            <v>0</v>
          </cell>
          <cell r="F18" t="str">
            <v>x</v>
          </cell>
          <cell r="G18" t="str">
            <v>jerry mngr took my card and said she'd have to pass on, and can't share bosses email.
no bbg, jv trading rtm, up I'm July she recons but that's all she can share</v>
          </cell>
        </row>
        <row r="19">
          <cell r="B19" t="str">
            <v>IP4 1JZ</v>
          </cell>
          <cell r="C19" t="str">
            <v>1/16/2025 12:41:32 PM</v>
          </cell>
          <cell r="D19" t="str">
            <v>Joe(Jay?)  mngr</v>
          </cell>
          <cell r="E19" t="str">
            <v>0</v>
          </cell>
          <cell r="F19" t="str">
            <v>x</v>
          </cell>
          <cell r="G19" t="str">
            <v>hard to understand whether it was joe or jay, I think jay... he's the manager but doesn't make bar changes. wouldn't pass bosses email but took my card.
doesn't have to purchase through adnams, still have the sign out front and adnams heavy but allowed to purchase elsewhere</v>
          </cell>
        </row>
        <row r="20">
          <cell r="B20" t="str">
            <v>IP1 3HD</v>
          </cell>
          <cell r="C20" t="str">
            <v>1/16/2025 2:53:40 PM</v>
          </cell>
          <cell r="D20" t="str">
            <v>chris gm holly mngr</v>
          </cell>
          <cell r="E20" t="str">
            <v>0</v>
          </cell>
          <cell r="F20" t="str">
            <v>chris@twmipswich.com</v>
          </cell>
          <cell r="G20" t="str">
            <v>chris just stepped out but talked with Holly. open to proper discussion, emailed</v>
          </cell>
        </row>
        <row r="21">
          <cell r="B21" t="str">
            <v>IP1 3BY</v>
          </cell>
          <cell r="C21" t="str">
            <v>1/16/2025 3:01:16 PM</v>
          </cell>
          <cell r="D21" t="str">
            <v>philip</v>
          </cell>
          <cell r="E21" t="str">
            <v>0</v>
          </cell>
          <cell r="F21" t="str">
            <v>x</v>
          </cell>
          <cell r="G21" t="str">
            <v>gk ift prospecting, narstons managed, nothing going forward</v>
          </cell>
        </row>
        <row r="22">
          <cell r="B22" t="str">
            <v>IP1 3QL</v>
          </cell>
          <cell r="C22" t="str">
            <v>1/16/2025 3:19:39 PM</v>
          </cell>
          <cell r="D22" t="str">
            <v>georgie</v>
          </cell>
          <cell r="E22" t="str">
            <v>0</v>
          </cell>
          <cell r="F22" t="str">
            <v>arborhouseipswich@gmail.com</v>
          </cell>
          <cell r="G22" t="str">
            <v>lacon aspall to gk
lacon madri for abk 
agreed with Kate at gk and adding leffe through cmbc (cheaper with gk but offered a retro)
urdenger 101 30l for leffe cmbc- gk 30l cheaper
distilled republic- wine bar - camden stout ops (rotational tap, asahi wolf stout and open to camden) - Tim.distilled@gmail.com
agreement with estrella. aspalls hells ops
(sending to ift wam
personal siggestions
noodle bar opposite wine shop- 
the wallow norwich- wine bar</v>
          </cell>
        </row>
        <row r="23">
          <cell r="B23" t="str">
            <v>NR19 1DZ</v>
          </cell>
          <cell r="C23" t="str">
            <v>1/20/2025 1:11:11 PM</v>
          </cell>
          <cell r="D23" t="str">
            <v>nigel owner, Alex mngr</v>
          </cell>
          <cell r="E23" t="str">
            <v>0</v>
          </cell>
          <cell r="F23" t="str">
            <v>bull.dereham@gmail.com</v>
          </cell>
          <cell r="G23" t="str">
            <v>carling,carlsberg target, don't need both
double soanish with madri and camp, perhaps san mig or a non lager filler , strong df covered, ops for kop sl?
alex is open to all the above suggestions- sending an email to him now to share with boss</v>
          </cell>
        </row>
        <row r="24">
          <cell r="B24" t="str">
            <v>NR19 2DJ</v>
          </cell>
          <cell r="C24" t="str">
            <v>1/20/2025 1:26:51 PM</v>
          </cell>
          <cell r="D24" t="str">
            <v>katey?</v>
          </cell>
          <cell r="E24" t="str">
            <v>07851637938</v>
          </cell>
          <cell r="F24" t="str">
            <v>x</v>
          </cell>
          <cell r="G24" t="str">
            <v>just in this week. Stella new on and doing well 
proper boozer, learned she is craft union vs stonegate- told her I can't influence but reach put if she needs pos help</v>
          </cell>
        </row>
        <row r="25">
          <cell r="B25" t="str">
            <v>NR19 2AZ</v>
          </cell>
          <cell r="C25" t="str">
            <v>1/20/2025 12:46:43 PM</v>
          </cell>
          <cell r="D25" t="str">
            <v>oliver</v>
          </cell>
          <cell r="E25" t="str">
            <v>0</v>
          </cell>
          <cell r="F25" t="str">
            <v>thegeorgehoteldereham@gmail.com</v>
          </cell>
          <cell r="G25" t="str">
            <v>Oliver is usually in but just went on holiday and coming back tomorrow.
she says certainly not buying from gk but unsure of whom.
nice busy hotel for lunch time monday. san mig pouring. likely hard sell for craft, but perhaps stella or kop</v>
          </cell>
        </row>
        <row r="26">
          <cell r="B26" t="str">
            <v>IP33 1SN</v>
          </cell>
          <cell r="C26" t="str">
            <v>1/22/2025 1:09:52 PM</v>
          </cell>
          <cell r="D26" t="str">
            <v>greg</v>
          </cell>
          <cell r="E26" t="str">
            <v>0</v>
          </cell>
          <cell r="F26" t="str">
            <v>x</v>
          </cell>
          <cell r="G26" t="str">
            <v>ift prospecting,  managed tho no influence able</v>
          </cell>
        </row>
        <row r="27">
          <cell r="B27" t="str">
            <v>IP33 1EA</v>
          </cell>
          <cell r="C27" t="str">
            <v>1/22/2025 1:23:27 PM</v>
          </cell>
          <cell r="D27" t="str">
            <v>tomy mngr</v>
          </cell>
          <cell r="E27" t="str">
            <v>0</v>
          </cell>
          <cell r="F27" t="str">
            <v>x</v>
          </cell>
          <cell r="G27" t="str">
            <v>pints, coasters, runners, half pint</v>
          </cell>
        </row>
        <row r="28">
          <cell r="B28" t="str">
            <v>IP33 1SD</v>
          </cell>
          <cell r="C28" t="str">
            <v>1/22/2025 1:27:56 PM</v>
          </cell>
          <cell r="D28" t="str">
            <v>Georgia and ginny</v>
          </cell>
          <cell r="E28" t="str">
            <v>0</v>
          </cell>
          <cell r="F28" t="str">
            <v>x</v>
          </cell>
          <cell r="G28" t="str">
            <v>ignored me pm the stella side and went for cruz. "best guinnes in bury award" 
nice upgrade, one to hound
fiest time stoppi g by
sorting stella ipo huk
where known for worst guinnes before opening. turned around but stout ops
calling next week to checkout pricing. desperate to remove Heineken... keen om stella high ros 
meeting with rm next week, calling Wednesday
nice crafty option but not removing guinnes any more... didn't push hard enough before opening</v>
          </cell>
        </row>
        <row r="29">
          <cell r="B29" t="str">
            <v>IP33 3PH</v>
          </cell>
          <cell r="C29" t="str">
            <v>1/22/2025 1:38:51 PM</v>
          </cell>
          <cell r="D29" t="str">
            <v>x</v>
          </cell>
          <cell r="E29" t="str">
            <v>0</v>
          </cell>
          <cell r="F29" t="str">
            <v>x</v>
          </cell>
          <cell r="G29" t="str">
            <v>no influence
import exports their own beer and sells out</v>
          </cell>
        </row>
        <row r="30">
          <cell r="B30" t="str">
            <v>NR27 9HG</v>
          </cell>
          <cell r="C30" t="str">
            <v>1/22/2025 10:34:50 AM</v>
          </cell>
          <cell r="D30" t="str">
            <v>grant LL. or Steven mngr</v>
          </cell>
          <cell r="E30" t="str">
            <v>0</v>
          </cell>
          <cell r="F30" t="str">
            <v>x</v>
          </cell>
          <cell r="G30" t="str">
            <v>07720937364 mngr. 
book survey for san mig font
wednesday-</v>
          </cell>
        </row>
        <row r="31">
          <cell r="B31" t="str">
            <v>NR27 9ES</v>
          </cell>
          <cell r="C31" t="str">
            <v>1/22/2025 10:36:37 AM</v>
          </cell>
          <cell r="D31" t="str">
            <v>zena</v>
          </cell>
          <cell r="E31" t="str">
            <v>01263513640</v>
          </cell>
          <cell r="F31" t="str">
            <v>x</v>
          </cell>
          <cell r="G31" t="str">
            <v>madri and coors top seller. zena in for 7 years
tender not much for talk, no email on line or willing to give. try again down the road</v>
          </cell>
        </row>
        <row r="32">
          <cell r="B32" t="str">
            <v>NR27 9NX</v>
          </cell>
          <cell r="C32" t="str">
            <v>1/22/2025 10:47:35 AM</v>
          </cell>
          <cell r="D32" t="str">
            <v>sue</v>
          </cell>
          <cell r="E32" t="str">
            <v>01263519070</v>
          </cell>
          <cell r="F32" t="str">
            <v>x</v>
          </cell>
          <cell r="G32" t="str">
            <v>sending pints
no email to share
said sue is out for the next month, reminder to ring again Feb 20</v>
          </cell>
        </row>
        <row r="33">
          <cell r="B33" t="str">
            <v>IP33 3PH</v>
          </cell>
          <cell r="C33" t="str">
            <v>1/22/2025 12:00:26 PM</v>
          </cell>
          <cell r="D33" t="str">
            <v>rob</v>
          </cell>
          <cell r="E33" t="str">
            <v>0</v>
          </cell>
          <cell r="F33" t="str">
            <v>venue hire.oakesbarn@gmail.com</v>
          </cell>
          <cell r="G33" t="str">
            <v>buys kegs through gk, not on houselist I recon because no bbg.</v>
          </cell>
        </row>
        <row r="34">
          <cell r="B34" t="str">
            <v>IP33 1LB</v>
          </cell>
          <cell r="C34" t="str">
            <v>1/22/2025 12:14:14 PM</v>
          </cell>
          <cell r="D34" t="str">
            <v>Lucy bullars</v>
          </cell>
          <cell r="E34" t="str">
            <v>0</v>
          </cell>
          <cell r="F34" t="str">
            <v>info@damsonandwilde</v>
          </cell>
          <cell r="G34" t="str">
            <v>brews their own keg, purchase bottles thru lacons, was pretty clear no luck but passing my email and emailed lucy</v>
          </cell>
        </row>
        <row r="35">
          <cell r="B35" t="str">
            <v>IP33 1UZ</v>
          </cell>
          <cell r="C35" t="str">
            <v>1/22/2025 12:23:38 PM</v>
          </cell>
          <cell r="D35" t="str">
            <v>dave marjoram</v>
          </cell>
          <cell r="E35" t="str">
            <v>0</v>
          </cell>
          <cell r="F35" t="str">
            <v>david@gustoprontoltd.co.uk</v>
          </cell>
          <cell r="G35" t="str">
            <v>met the bar mngrs and got the owners email. target for calvors hells (though no mahou on gk ift... may leave tbd, reaching out to fraser</v>
          </cell>
        </row>
        <row r="36">
          <cell r="B36" t="str">
            <v>IP33 1DY</v>
          </cell>
          <cell r="C36" t="str">
            <v>1/22/2025 12:41:05 PM</v>
          </cell>
          <cell r="D36" t="str">
            <v>na</v>
          </cell>
          <cell r="E36" t="str">
            <v>0</v>
          </cell>
          <cell r="F36" t="str">
            <v>na</v>
          </cell>
          <cell r="G36" t="str">
            <v>in contract with huk via mat clark. all sites sell the same and would be a commity sort of Aprvl no luck</v>
          </cell>
        </row>
        <row r="37">
          <cell r="B37" t="str">
            <v>IP33 1XX</v>
          </cell>
          <cell r="C37" t="str">
            <v>1/22/2025 12:56:17 PM</v>
          </cell>
          <cell r="D37" t="str">
            <v>adam</v>
          </cell>
          <cell r="E37" t="str">
            <v>0</v>
          </cell>
          <cell r="F37" t="str">
            <v>1071@greeneking.co.uk</v>
          </cell>
          <cell r="G37" t="str">
            <v>prospecting day for gk ift, turns out this is managed nil ops</v>
          </cell>
        </row>
        <row r="38">
          <cell r="B38" t="str">
            <v>CO10 9JQ</v>
          </cell>
          <cell r="C38" t="str">
            <v>1/23/2025 1:17:01 PM</v>
          </cell>
          <cell r="D38" t="str">
            <v>ashley and gary</v>
          </cell>
          <cell r="E38" t="str">
            <v>07969306726</v>
          </cell>
          <cell r="F38" t="str">
            <v>x</v>
          </cell>
          <cell r="G38" t="str">
            <v>mo, Swan is new acquired, also owns white horse 8 min away in sudbury. stonegate site.
bud on at white horse- dropped slightly.
wants peroni off,  only a few gents drink it... but they have £500 tabs and don't want to tick them off, thinking of getting just bottles.  
amstel and madri top two. ( won't move madri now but fairly open to san mig come summer)
want ice breaker off at white horse, for hells. ash was way excited about that hut her husband doesn't think it's new enough and everyone has it... but cruz is new and no one has it ? told me to try again in a few months
bud at the Swan isn't doing the best , wants to wait to summer and think about putting stella on- hash neckoil ipo pale being better margin then too
Ashley 07969306726
gary 07769348603
put bud on because it works at the other pub, in sudbury (white horse)
but meh here, amstel cheapest and Bud 10p more... neckoil at 6.20... pale ops and replace bud with stella or hells thought 
emailed for a meet</v>
          </cell>
        </row>
        <row r="39">
          <cell r="B39" t="str">
            <v>CO10 2AG</v>
          </cell>
          <cell r="C39" t="str">
            <v>1/23/2025 12:21:31 PM</v>
          </cell>
          <cell r="D39" t="str">
            <v>tracy</v>
          </cell>
          <cell r="E39" t="str">
            <v>0</v>
          </cell>
          <cell r="F39" t="str">
            <v>x</v>
          </cell>
          <cell r="G39" t="str">
            <v>meet with Tracy on neckoil ops, no show ill
Cafe style less than a pub cells a keg a week. Very opens to change , but not high volume. Coronaziro win
Ask me to call her Regional manager, She can't see her deals page</v>
          </cell>
        </row>
        <row r="40">
          <cell r="B40" t="str">
            <v>CO10 2EA</v>
          </cell>
          <cell r="C40" t="str">
            <v>1/23/2025 12:29:24 PM</v>
          </cell>
          <cell r="D40" t="str">
            <v>carl</v>
          </cell>
          <cell r="E40" t="str">
            <v>0753164033</v>
          </cell>
          <cell r="F40" t="str">
            <v>ladyelizabeth10@gmail.com</v>
          </cell>
          <cell r="G40" t="str">
            <v>coasters and runners for san mig, lanyards and bar blade 
little ops for install now but one to nurture, happy for a convo
ended up taking madri off, realising san mig. sells way better and he likes it personally, the non Spanish part helped there
just took over after working here for a while in January. Carl's happy that everything sells, but says if anything comes off, it's sagel.Or madri . He's opened to camden in place of madri Set to check in again in a month. Mention t n t again and Free of charge keg.
Call reginald manager sam now he needs Glassware for san miguel</v>
          </cell>
        </row>
        <row r="41">
          <cell r="B41" t="str">
            <v>CO10 2HX</v>
          </cell>
          <cell r="C41" t="str">
            <v>1/23/2025 12:52:22 PM</v>
          </cell>
          <cell r="D41" t="str">
            <v>donna mng (michael ll)</v>
          </cell>
          <cell r="E41" t="str">
            <v>07566274583</v>
          </cell>
          <cell r="F41" t="str">
            <v>x</v>
          </cell>
          <cell r="G41" t="str">
            <v>san mig half,  pint, Coasters and runners..
whatsapp</v>
          </cell>
        </row>
        <row r="42">
          <cell r="B42" t="str">
            <v>NR2 1AG</v>
          </cell>
          <cell r="C42" t="str">
            <v>1/24/2024 1:03:54 PM</v>
          </cell>
        </row>
        <row r="43">
          <cell r="B43" t="str">
            <v>NR3 1BA</v>
          </cell>
          <cell r="C43" t="str">
            <v>1/24/2024 12:45:25 PM</v>
          </cell>
        </row>
        <row r="44">
          <cell r="B44" t="str">
            <v>NR2 2SL</v>
          </cell>
          <cell r="C44" t="str">
            <v>1/24/2024 2:29:53 PM</v>
          </cell>
        </row>
        <row r="45">
          <cell r="B45" t="str">
            <v>NR2 2AT</v>
          </cell>
          <cell r="C45" t="str">
            <v>1/24/2024 3:43:00 PM</v>
          </cell>
        </row>
        <row r="46">
          <cell r="B46" t="str">
            <v>CO10 2TP</v>
          </cell>
          <cell r="C46" t="str">
            <v>1/24/2025 1:57:53 PM</v>
          </cell>
          <cell r="D46" t="str">
            <v>x</v>
          </cell>
          <cell r="E46" t="str">
            <v>0</v>
          </cell>
          <cell r="F46" t="str">
            <v>x</v>
          </cell>
          <cell r="G46" t="str">
            <v>spoke with tender. they use their own rtm maldon and lacons for packaged... all theor pubs stay with same rtm and said I won't have any luck. left card but na om next step</v>
          </cell>
        </row>
        <row r="47">
          <cell r="B47" t="str">
            <v>IP1 2EF</v>
          </cell>
          <cell r="C47" t="str">
            <v>1/25/2024 3:52:25 PM</v>
          </cell>
        </row>
        <row r="48">
          <cell r="B48" t="str">
            <v>NR11 6EH</v>
          </cell>
          <cell r="C48" t="str">
            <v>1/27/2025 3:13:27 PM</v>
          </cell>
          <cell r="D48" t="str">
            <v>Mathew Miller</v>
          </cell>
          <cell r="E48" t="str">
            <v>0</v>
          </cell>
          <cell r="F48" t="str">
            <v>admin@blackboyshotel.co.uk</v>
          </cell>
          <cell r="G48" t="str">
            <v>tender to busy to chat. passed on Mathew's email to sort proper meet... he's away for 10 days after this week.</v>
          </cell>
        </row>
        <row r="49">
          <cell r="B49" t="str">
            <v>NR11 6AA</v>
          </cell>
          <cell r="C49" t="str">
            <v>1/27/2025 3:15:39 PM</v>
          </cell>
          <cell r="D49" t="str">
            <v>dan brown</v>
          </cell>
          <cell r="E49" t="str">
            <v>07780797994</v>
          </cell>
          <cell r="F49" t="str">
            <v>x</v>
          </cell>
          <cell r="G49" t="str">
            <v>san mig coaster,  bar blades. tshirts lrg, md, xl
reminder to meet with sdm, review in April, under £4 (won't work for upwards)</v>
          </cell>
        </row>
        <row r="50">
          <cell r="B50" t="str">
            <v>NR3 1DD</v>
          </cell>
          <cell r="C50" t="str">
            <v>1/28/2025 12:45:54 PM</v>
          </cell>
          <cell r="D50" t="str">
            <v>ieva</v>
          </cell>
          <cell r="E50" t="str">
            <v>01603632447</v>
          </cell>
          <cell r="F50" t="str">
            <v>hello@goldenstarnorwich.co.uk</v>
          </cell>
          <cell r="G50" t="str">
            <v>meeting with lee next week. on the 5th.
 Tuesdays and wednesdays 12-2 better.</v>
          </cell>
        </row>
        <row r="51">
          <cell r="B51" t="str">
            <v>NR1 1LT</v>
          </cell>
          <cell r="C51" t="str">
            <v>1/28/2025 2:44:25 PM</v>
          </cell>
          <cell r="D51" t="str">
            <v>aiden owner</v>
          </cell>
          <cell r="E51" t="str">
            <v>01603614077</v>
          </cell>
          <cell r="F51" t="str">
            <v>info@poguemahons.com</v>
          </cell>
          <cell r="G51" t="str">
            <v>tender shouted that prior life should come off...
 perhaps the white label pm probably... but unsure on the white labels. 
Irish pub, guinnes heavy,</v>
          </cell>
        </row>
        <row r="52">
          <cell r="B52" t="str">
            <v>NR14 8ST</v>
          </cell>
          <cell r="C52" t="str">
            <v>1/28/2025 3:25:58 PM</v>
          </cell>
          <cell r="D52" t="str">
            <v>andy</v>
          </cell>
          <cell r="E52" t="str">
            <v>0</v>
          </cell>
          <cell r="F52" t="str">
            <v>hello@whitehorsetrowce.co.uk</v>
          </cell>
          <cell r="G52" t="str">
            <v>Andy busy to chat now, but does want to change up... adnams specifically and annoyed with Heineken. looking for 5% area.
getting booked in meet sorted</v>
          </cell>
        </row>
        <row r="53">
          <cell r="B53" t="str">
            <v>NR14 8RN</v>
          </cell>
          <cell r="C53" t="str">
            <v>1/28/2025 3:35:20 PM</v>
          </cell>
          <cell r="D53" t="str">
            <v>alex</v>
          </cell>
          <cell r="E53" t="str">
            <v>07707076287</v>
          </cell>
          <cell r="F53" t="str">
            <v>x</v>
          </cell>
          <cell r="G53" t="str">
            <v>Stanley punch - dan helps run both
reminder for pre spring meeting- wanting fruity and quirky</v>
          </cell>
        </row>
        <row r="54">
          <cell r="B54" t="str">
            <v>IP2 0QG</v>
          </cell>
          <cell r="C54" t="str">
            <v>1/30/2024 1:12:11 PM</v>
          </cell>
        </row>
        <row r="55">
          <cell r="B55" t="str">
            <v>CO14 8AR</v>
          </cell>
          <cell r="C55" t="str">
            <v>1/31/2025 5:33:53 PM</v>
          </cell>
          <cell r="D55" t="str">
            <v>Emma and mark</v>
          </cell>
          <cell r="E55" t="str">
            <v>0</v>
          </cell>
          <cell r="F55" t="str">
            <v>x</v>
          </cell>
          <cell r="G55" t="str">
            <v>third visit with customer. dit with Ryan, got her very close to fully agreeing stella ipo her poor performing madri. she hates change, wants stella herself bit wants to talk to her rm first. leaving with her. says she'll each lut to me (knowing her rm is slow to respond). 
keep on radar 
with time, pale ipo neckoil ops. it sales well but she's baffled by the price and admits she makes nothing on it,  and is open to pale (likely too unsure to change too much ay once.) (had san mig already, no go)</v>
          </cell>
        </row>
        <row r="56">
          <cell r="B56" t="str">
            <v>CO15 2PJ</v>
          </cell>
          <cell r="C56" t="str">
            <v>1/31/2025 5:52:41 PM</v>
          </cell>
          <cell r="D56" t="str">
            <v>adrian</v>
          </cell>
          <cell r="E56" t="str">
            <v>0</v>
          </cell>
          <cell r="F56" t="str">
            <v>07977413933</v>
          </cell>
          <cell r="G56" t="str">
            <v>all new pub refurb 
unhappy with Heineken line, agreed to swap for stella. agreed on new spare line corona branded font (likes the flashy). sending rfw, logging survey for same day of install.
sorting tnt x2 brand discount. 
keep eye on it, he kept flopping om stella being more expensive than huk,  made it clear it likely will but for ros, brand awareness, customers requesting and up to £3k tnt savings I think made him think it's worth it
November  got a refit by huk
not stoked about brands but gonna let them go through Xmas. meet set for 2nd week Jan. after reurb and roof refit. 
excited about san mig/steppa. open to pale ipo js. and corona/kop. make a good proposal here, niche little spot and busy mid day Tuesday on the sea
getting casks replaced, all old and apparently gk are in charge of, curious. told me how he gets on and I can probably sory</v>
          </cell>
        </row>
        <row r="57">
          <cell r="B57" t="str">
            <v>CO15 4AR</v>
          </cell>
          <cell r="C57" t="str">
            <v>1/31/2025 6:08:37 PM</v>
          </cell>
          <cell r="D57" t="str">
            <v>Katie (Lorraine daughter at the plough punch)</v>
          </cell>
          <cell r="E57" t="str">
            <v>07255475889</v>
          </cell>
          <cell r="F57" t="str">
            <v>x</v>
          </cell>
          <cell r="G57" t="str">
            <v>first meet with Kate. wants stella but basically can't get stella... but just got it down the road at the plough (punch)... doesn't ring a bell, checking on it. 
learned from ryan om this same day dit thay he just met with punch and was told don't sell in his pubs (until their tender) except for stout.
(I think  I might have slipped up and automatically said she could get stella, by routine ) tbd
fairly against Stella on the bar, her core brands are all doing her well
moretti best seller 
neckoil hit and miss - thinking to change up
curious about Camden stout along side of guiness</v>
          </cell>
        </row>
        <row r="58">
          <cell r="B58" t="str">
            <v>CO15 4DA</v>
          </cell>
          <cell r="C58" t="str">
            <v>1/31/2025 6:13:06 PM</v>
          </cell>
          <cell r="D58" t="str">
            <v>Lorraine ll daughter of ll ship across the street</v>
          </cell>
          <cell r="E58" t="str">
            <v>0</v>
          </cell>
          <cell r="F58" t="str">
            <v>x</v>
          </cell>
          <cell r="G58" t="str">
            <v>mom at the ship Said stout would be good at her other pub. came to see Lorraine, not in. left card.
fear mom was just trying to get rid of me nicely again, along with interest on stout here last visit. as this pub is tier 4 and likely wouldn't merit both stouts or solus. tbd, on radar</v>
          </cell>
        </row>
        <row r="59">
          <cell r="B59" t="str">
            <v>CO15 5UT</v>
          </cell>
          <cell r="C59" t="str">
            <v>1/31/2025 6:22:10 PM</v>
          </cell>
          <cell r="D59" t="str">
            <v>lauren</v>
          </cell>
          <cell r="E59" t="str">
            <v>01255813804</v>
          </cell>
          <cell r="F59" t="str">
            <v>x</v>
          </cell>
          <cell r="G59" t="str">
            <v>doesn't want to change anything. beer sales down vastly, all core £5 brands 
email her the shpeel  and revisit summer 
Stella will work with time, prebook!</v>
          </cell>
        </row>
        <row r="60">
          <cell r="B60" t="str">
            <v>NR35 1NZ</v>
          </cell>
          <cell r="C60" t="str">
            <v>1/8/2025 1:26:46 PM</v>
          </cell>
          <cell r="D60" t="str">
            <v>Linda</v>
          </cell>
          <cell r="E60" t="str">
            <v>01986896883</v>
          </cell>
          <cell r="F60" t="str">
            <v>info@thebuckinn.co.uk</v>
          </cell>
          <cell r="G60" t="str">
            <v>Thursday best
1664 surprisingly does best, driven by the farm boys after work.
told you target the moongazer lager and yes ipa</v>
          </cell>
        </row>
        <row r="61">
          <cell r="B61" t="str">
            <v>NR35 1AX</v>
          </cell>
          <cell r="C61" t="str">
            <v>1/8/2025 1:49:54 PM</v>
          </cell>
          <cell r="D61" t="str">
            <v>chloe and graham</v>
          </cell>
          <cell r="E61" t="str">
            <v>0</v>
          </cell>
          <cell r="F61" t="str">
            <v>thefleeceinnbungay@outlook.com</v>
          </cell>
          <cell r="G61" t="str">
            <v>Graham in hospital, asked to email and will get back after he settles
has x2 hells lagers and ops for the local.</v>
          </cell>
        </row>
        <row r="62">
          <cell r="B62" t="str">
            <v>IP20 0ET</v>
          </cell>
          <cell r="C62" t="str">
            <v>1/8/2025 12:56:59 PM</v>
          </cell>
          <cell r="D62" t="str">
            <v>tony</v>
          </cell>
          <cell r="E62" t="str">
            <v>0</v>
          </cell>
          <cell r="F62" t="str">
            <v>tony-eaves@hotmail.com</v>
          </cell>
          <cell r="G62" t="str">
            <v>double corona tap, ones blank and looking at guinnes- customers are being asked for it.
sells a local stout om cask and doesn't sell well. asked if he'd be open to another of our brands since he knows his current stout isn't selling-  he's fairly firm on guiness and that it the brand. 
also removing Henry west for aspal. went down in abv and took it off a while ago, but customers are asking for it back.
sending a not of current promos and kop note. reminder to come back in a couple months to check if prior life is still doing poor and ops for +1
somehow corona is doing him well here and no worry for churn</v>
          </cell>
        </row>
        <row r="63">
          <cell r="B63" t="str">
            <v>NR34 9PL</v>
          </cell>
          <cell r="C63" t="str">
            <v>1/8/2025 2:27:20 PM</v>
          </cell>
          <cell r="D63" t="str">
            <v>lisa</v>
          </cell>
          <cell r="E63" t="str">
            <v>01502712270</v>
          </cell>
          <cell r="F63" t="str">
            <v>enquiries@wavenyhousehotel.co.uk</v>
          </cell>
          <cell r="G63" t="str">
            <v>closed for maintained 1 week each year, but shared bar line up and her email to sort a proper meey</v>
          </cell>
        </row>
        <row r="64">
          <cell r="B64" t="str">
            <v>NR34 0LD</v>
          </cell>
          <cell r="C64" t="str">
            <v>1/8/2025 2:41:22 PM</v>
          </cell>
          <cell r="D64" t="str">
            <v>chris</v>
          </cell>
          <cell r="E64" t="str">
            <v>0</v>
          </cell>
          <cell r="F64" t="str">
            <v>x</v>
          </cell>
          <cell r="G64" t="str">
            <v>prospecting. bbg brands agreed recently for 2 years for lacons</v>
          </cell>
        </row>
        <row r="65">
          <cell r="B65" t="str">
            <v>NR12 8RX</v>
          </cell>
          <cell r="C65" t="str">
            <v>1/8/2025 8:57:46 AM</v>
          </cell>
          <cell r="D65" t="str">
            <v>mario</v>
          </cell>
          <cell r="E65" t="str">
            <v>01603782337</v>
          </cell>
          <cell r="F65" t="str">
            <v>x</v>
          </cell>
          <cell r="G65" t="str">
            <v>had san mig last month, took off as 5 taps are too many for selling as little beer in this season.
moretti top performer. open to swaoig inches for kop apple if released by summer.
open to proper convo spring.
lovely location on the water , summer business.</v>
          </cell>
        </row>
        <row r="66">
          <cell r="B66" t="str">
            <v>NR12 7EA</v>
          </cell>
          <cell r="C66" t="str">
            <v>1/8/2025 9:03:03 AM</v>
          </cell>
          <cell r="D66" t="str">
            <v>andy</v>
          </cell>
          <cell r="E66" t="str">
            <v>01603737440</v>
          </cell>
          <cell r="F66" t="str">
            <v>manager@risingsuncoltishall.co.uk</v>
          </cell>
          <cell r="G66" t="str">
            <v>ran into the adnams rep here.
recieved new tbars from huk for line up, contract over and open to taking off madri and amstwl
has 3 other pubs, black boy leased is one</v>
          </cell>
        </row>
        <row r="67">
          <cell r="B67" t="str">
            <v>NR12 7EA</v>
          </cell>
          <cell r="C67" t="str">
            <v>1/8/2025 9:10:25 AM</v>
          </cell>
          <cell r="D67" t="str">
            <v>ian?</v>
          </cell>
          <cell r="E67" t="str">
            <v>01603737426</v>
          </cell>
          <cell r="F67" t="str">
            <v>contact@kingsheadcoltishall.co.uk</v>
          </cell>
          <cell r="G67" t="str">
            <v>shelly bartender
gk leased but says free outside
tender passed card</v>
          </cell>
        </row>
        <row r="68">
          <cell r="B68" t="str">
            <v>NR12 8QU</v>
          </cell>
          <cell r="C68" t="str">
            <v>1/8/2025 9:12:17 AM</v>
          </cell>
          <cell r="D68" t="str">
            <v>lacons dit</v>
          </cell>
          <cell r="E68" t="str">
            <v>0</v>
          </cell>
          <cell r="F68" t="str">
            <v>x</v>
          </cell>
          <cell r="G68" t="str">
            <v>lacons dit</v>
          </cell>
        </row>
        <row r="69">
          <cell r="B69" t="str">
            <v>NR12 7DN</v>
          </cell>
          <cell r="C69" t="str">
            <v>1/8/2025 9:14:04 AM</v>
          </cell>
          <cell r="D69" t="str">
            <v>lacons dit</v>
          </cell>
          <cell r="E69" t="str">
            <v>0</v>
          </cell>
          <cell r="F69" t="str">
            <v>x</v>
          </cell>
          <cell r="G69" t="str">
            <v>lacons dit</v>
          </cell>
        </row>
        <row r="70">
          <cell r="B70" t="str">
            <v>NR12 7BD</v>
          </cell>
          <cell r="C70" t="str">
            <v>1/8/2025 9:17:07 AM</v>
          </cell>
          <cell r="D70" t="str">
            <v>mike- michael</v>
          </cell>
          <cell r="E70" t="str">
            <v>01603737560</v>
          </cell>
          <cell r="F70" t="str">
            <v>hello@thewhitehorsecristwick.co.uk</v>
          </cell>
          <cell r="G70" t="str">
            <v>met mom and daughter, just missed Mike
are huk lead because of pb work agreed, had a brief convo on how we could also sort this. asked to reach back out in spring once the brands have been pouring for a bit and open to change up . great ops here for volume and craft</v>
          </cell>
        </row>
        <row r="71">
          <cell r="B71" t="str">
            <v>NR12 8UR</v>
          </cell>
          <cell r="C71" t="str">
            <v>1/8/2025 9:25:57 AM</v>
          </cell>
          <cell r="D71" t="str">
            <v>ian?</v>
          </cell>
          <cell r="E71" t="str">
            <v>0</v>
          </cell>
          <cell r="F71" t="str">
            <v>m6924@greeneking.co.uk</v>
          </cell>
          <cell r="G71" t="str">
            <v>met Carla am
ian? is gm.
no bbg but quite open to discussion. sadly realised it's hive after some chat and unable to do anything here</v>
          </cell>
        </row>
        <row r="72">
          <cell r="B72" t="str">
            <v>NR12 8AA</v>
          </cell>
          <cell r="C72" t="str">
            <v>1/8/2025 9:28:13 AM</v>
          </cell>
          <cell r="D72" t="str">
            <v>Emma?</v>
          </cell>
          <cell r="E72" t="str">
            <v>01692630316</v>
          </cell>
          <cell r="F72" t="str">
            <v>swannorfolk@vintageinn.co.uk</v>
          </cell>
          <cell r="G72" t="str">
            <v>Mitchell and butler</v>
          </cell>
        </row>
        <row r="73">
          <cell r="B73" t="str">
            <v>CO7 0BX</v>
          </cell>
          <cell r="C73" t="str">
            <v>12/30/2024 2:00:56 PM</v>
          </cell>
          <cell r="D73" t="str">
            <v>julie</v>
          </cell>
          <cell r="E73">
            <v>0</v>
          </cell>
          <cell r="F73" t="str">
            <v>brewersarms73@</v>
          </cell>
          <cell r="G73" t="str">
            <v>met julie, quite ill for a proper sit down.</v>
          </cell>
        </row>
        <row r="74">
          <cell r="B74" t="str">
            <v>CO13 9EB</v>
          </cell>
          <cell r="C74" t="str">
            <v>12/30/2024 1:04:46 PM</v>
          </cell>
          <cell r="D74" t="str">
            <v>joe mngr (deputy mngr</v>
          </cell>
          <cell r="E74">
            <v>7970853731</v>
          </cell>
          <cell r="F74" t="str">
            <v>z</v>
          </cell>
          <cell r="G74" t="str">
            <v>Stella best sell</v>
          </cell>
        </row>
        <row r="75">
          <cell r="B75" t="str">
            <v>CO14 8PA</v>
          </cell>
          <cell r="C75" t="str">
            <v>12/30/2024 12:33:54 PM</v>
          </cell>
          <cell r="D75" t="str">
            <v>james-Lee scoot</v>
          </cell>
          <cell r="E75">
            <v>7538709443</v>
          </cell>
          <cell r="F75" t="str">
            <v>x</v>
          </cell>
          <cell r="G75" t="str">
            <v>san mig 3rd</v>
          </cell>
        </row>
        <row r="76">
          <cell r="B76" t="str">
            <v>CO10 9QZ</v>
          </cell>
          <cell r="C76" t="str">
            <v>12/17/2024 4:03:08 PM</v>
          </cell>
          <cell r="D76" t="str">
            <v>John ll , Oscar mngr</v>
          </cell>
          <cell r="E76">
            <v>7940594559</v>
          </cell>
          <cell r="F76" t="str">
            <v>x</v>
          </cell>
          <cell r="G76" t="str">
            <v>Carl's 2nd</v>
          </cell>
        </row>
        <row r="77">
          <cell r="B77" t="str">
            <v>CO10 9JA</v>
          </cell>
          <cell r="C77" t="str">
            <v>12/17/2024 3:54:46 PM</v>
          </cell>
          <cell r="D77" t="str">
            <v>charlie</v>
          </cell>
          <cell r="E77">
            <v>7943907550</v>
          </cell>
          <cell r="F77" t="str">
            <v>ukcharlie@gmail.com</v>
          </cell>
        </row>
        <row r="78">
          <cell r="B78" t="str">
            <v>CO8 5BS</v>
          </cell>
          <cell r="C78" t="str">
            <v>12/17/2024 1:13:02 PM</v>
          </cell>
          <cell r="D78" t="str">
            <v>Patricia (pat)</v>
          </cell>
          <cell r="E78">
            <v>0</v>
          </cell>
          <cell r="F78" t="str">
            <v>patmulca@icloud.com</v>
          </cell>
          <cell r="G78" t="str">
            <v>cruz not up there for volume but she says all are doing good. expects to see niki 3rd week Jan for review. sending ops</v>
          </cell>
        </row>
        <row r="79">
          <cell r="B79" t="str">
            <v>CO6 2PA</v>
          </cell>
          <cell r="C79" t="str">
            <v>12/17/2024 12:35:46 PM</v>
          </cell>
          <cell r="D79" t="str">
            <v>joe and ed and  laura</v>
          </cell>
          <cell r="E79">
            <v>0</v>
          </cell>
          <cell r="F79" t="str">
            <v>eddlau@me.com</v>
          </cell>
          <cell r="G79" t="str">
            <v>2 carlsberg and 2 guinnes taps</v>
          </cell>
        </row>
        <row r="80">
          <cell r="B80" t="str">
            <v>IP2 8PG</v>
          </cell>
          <cell r="C80" t="str">
            <v>12/16/2024 3:24:02 PM</v>
          </cell>
          <cell r="D80" t="str">
            <v>penny,</v>
          </cell>
          <cell r="E80">
            <v>0</v>
          </cell>
          <cell r="F80" t="str">
            <v>thesmockpublichouse@gmail.com</v>
          </cell>
          <cell r="G80" t="str">
            <v>3.80 for entry</v>
          </cell>
        </row>
        <row r="81">
          <cell r="B81" t="str">
            <v>IP1 1TF</v>
          </cell>
          <cell r="C81" t="str">
            <v>12/16/2024 1:32:13 PM</v>
          </cell>
          <cell r="D81" t="str">
            <v>kim</v>
          </cell>
          <cell r="E81">
            <v>7378866679</v>
          </cell>
          <cell r="F81" t="str">
            <v>k.mortimer666@gmail.com</v>
          </cell>
          <cell r="G81" t="str">
            <v>4.30 for san and stella</v>
          </cell>
        </row>
        <row r="82">
          <cell r="B82" t="str">
            <v>IP4 1HH</v>
          </cell>
          <cell r="C82" t="str">
            <v>12/16/2024 12:53:50 PM</v>
          </cell>
          <cell r="D82" t="str">
            <v>Lisa hall</v>
          </cell>
          <cell r="E82">
            <v>7484206200</v>
          </cell>
          <cell r="F82" t="str">
            <v>x</v>
          </cell>
        </row>
        <row r="83">
          <cell r="B83" t="str">
            <v>IP2 0ER</v>
          </cell>
          <cell r="C83" t="str">
            <v>12/16/2024 12:07:44 PM</v>
          </cell>
          <cell r="D83" t="str">
            <v>shaun</v>
          </cell>
          <cell r="E83">
            <v>7742518007</v>
          </cell>
          <cell r="F83" t="str">
            <v>shaun</v>
          </cell>
          <cell r="G83" t="str">
            <v>joe makes decisions- sent a note, met bartender deputy mngr</v>
          </cell>
        </row>
        <row r="84">
          <cell r="B84" t="str">
            <v>IP28 7HG</v>
          </cell>
          <cell r="C84" t="str">
            <v>12/13/2024 2:16:52 PM</v>
          </cell>
          <cell r="D84" t="str">
            <v>gavin</v>
          </cell>
          <cell r="F84" t="str">
            <v>mtfcclubhous@outlook.com</v>
          </cell>
          <cell r="G84" t="str">
            <v>huk</v>
          </cell>
        </row>
        <row r="85">
          <cell r="B85" t="str">
            <v>IP26 4AY</v>
          </cell>
          <cell r="C85" t="str">
            <v>12/13/2024 12:45:59 PM</v>
          </cell>
          <cell r="D85" t="str">
            <v>jo</v>
          </cell>
          <cell r="E85">
            <v>0</v>
          </cell>
          <cell r="F85" t="str">
            <v>feltwellgolfclub@btconnect.com</v>
          </cell>
          <cell r="G85" t="str">
            <v>meeting niki new year</v>
          </cell>
        </row>
        <row r="86">
          <cell r="B86" t="str">
            <v>SG12 8AA</v>
          </cell>
          <cell r="C86" t="str">
            <v>12/13/2024 10:20:44 AM</v>
          </cell>
          <cell r="D86" t="str">
            <v>martin</v>
          </cell>
          <cell r="E86">
            <v>0</v>
          </cell>
          <cell r="F86" t="str">
            <v>x</v>
          </cell>
          <cell r="G86" t="str">
            <v>send promo, stella not doing good</v>
          </cell>
        </row>
        <row r="87">
          <cell r="B87" t="str">
            <v>CM20 2NB</v>
          </cell>
          <cell r="C87" t="str">
            <v>12/13/2024 10:18:44 AM</v>
          </cell>
          <cell r="D87" t="str">
            <v>rachel</v>
          </cell>
          <cell r="E87">
            <v>7837471313</v>
          </cell>
          <cell r="F87" t="str">
            <v>x</v>
          </cell>
          <cell r="G87" t="str">
            <v>leffe or pale/hells</v>
          </cell>
        </row>
        <row r="88">
          <cell r="B88" t="str">
            <v>SG12 8AG</v>
          </cell>
          <cell r="C88" t="str">
            <v>12/13/2024 10:17:29 AM</v>
          </cell>
          <cell r="D88" t="str">
            <v>chloe mngr Jim ll</v>
          </cell>
          <cell r="E88">
            <v>0</v>
          </cell>
          <cell r="F88" t="str">
            <v>x</v>
          </cell>
          <cell r="G88" t="str">
            <v>0% coming off Jan ish. get in</v>
          </cell>
        </row>
        <row r="89">
          <cell r="B89" t="str">
            <v>SG14 1HH</v>
          </cell>
          <cell r="C89" t="str">
            <v>12/13/2024 10:15:19 AM</v>
          </cell>
          <cell r="D89" t="str">
            <v>roy</v>
          </cell>
          <cell r="E89">
            <v>7949026786</v>
          </cell>
          <cell r="F89" t="str">
            <v>x</v>
          </cell>
        </row>
        <row r="90">
          <cell r="B90" t="str">
            <v>NR33 8HJ</v>
          </cell>
          <cell r="C90">
            <v>45638.625358796293</v>
          </cell>
          <cell r="D90" t="str">
            <v>kay king</v>
          </cell>
          <cell r="E90">
            <v>1502509190</v>
          </cell>
          <cell r="F90" t="str">
            <v>rookeryevents@gmail.com</v>
          </cell>
          <cell r="G90" t="str">
            <v>not much to chat</v>
          </cell>
        </row>
        <row r="91">
          <cell r="B91" t="str">
            <v>NR30 5ER</v>
          </cell>
          <cell r="C91">
            <v>45638.57476851852</v>
          </cell>
          <cell r="D91" t="str">
            <v>ian</v>
          </cell>
          <cell r="E91">
            <v>0</v>
          </cell>
          <cell r="F91" t="str">
            <v>saundersian710@gmail.com</v>
          </cell>
          <cell r="G91" t="str">
            <v>hazy doing less than good</v>
          </cell>
        </row>
        <row r="92">
          <cell r="B92" t="str">
            <v>NR11 8BN</v>
          </cell>
          <cell r="C92">
            <v>45638.534155092595</v>
          </cell>
          <cell r="D92" t="str">
            <v>kenny</v>
          </cell>
          <cell r="E92">
            <v>0</v>
          </cell>
          <cell r="F92" t="str">
            <v>kenny@royal-hotel-mundesley.co.uk</v>
          </cell>
          <cell r="G92" t="str">
            <v>not open to movement yet</v>
          </cell>
        </row>
        <row r="93">
          <cell r="B93" t="str">
            <v>SG12 7AQ</v>
          </cell>
          <cell r="C93">
            <v>45608.613518518519</v>
          </cell>
          <cell r="D93" t="str">
            <v>nigel angelware</v>
          </cell>
          <cell r="E93">
            <v>7772135212</v>
          </cell>
          <cell r="F93" t="str">
            <v>x</v>
          </cell>
          <cell r="G93" t="str">
            <v>check back in spring</v>
          </cell>
        </row>
        <row r="94">
          <cell r="B94" t="str">
            <v>PE6 0TJ</v>
          </cell>
          <cell r="C94">
            <v>45577.577187499999</v>
          </cell>
          <cell r="D94" t="str">
            <v>x</v>
          </cell>
          <cell r="E94">
            <v>0</v>
          </cell>
          <cell r="F94" t="str">
            <v>alisonmurrell@outlook.com</v>
          </cell>
          <cell r="G94" t="str">
            <v>monday</v>
          </cell>
        </row>
        <row r="95">
          <cell r="B95" t="str">
            <v>PE15 0SP</v>
          </cell>
          <cell r="C95">
            <v>45577.516481481478</v>
          </cell>
          <cell r="D95" t="str">
            <v>rob and Tina</v>
          </cell>
          <cell r="E95">
            <v>1354279593</v>
          </cell>
          <cell r="F95" t="str">
            <v>thethreetuns@email.com</v>
          </cell>
          <cell r="G95" t="str">
            <v>tnt</v>
          </cell>
        </row>
        <row r="96">
          <cell r="B96" t="str">
            <v>PE28 5ST</v>
          </cell>
          <cell r="C96">
            <v>45547.668726851851</v>
          </cell>
          <cell r="D96" t="str">
            <v>jimmy</v>
          </cell>
          <cell r="E96">
            <v>7398886758</v>
          </cell>
          <cell r="F96" t="str">
            <v>x</v>
          </cell>
          <cell r="G96" t="str">
            <v>level head  estrella target</v>
          </cell>
        </row>
        <row r="97">
          <cell r="B97" t="str">
            <v>PE7 3RA</v>
          </cell>
          <cell r="C97">
            <v>45547.647152777776</v>
          </cell>
          <cell r="D97" t="str">
            <v>terry</v>
          </cell>
          <cell r="E97">
            <v>7756778154</v>
          </cell>
          <cell r="F97" t="str">
            <v>x</v>
          </cell>
          <cell r="G97" t="str">
            <v>bud light poor but never coming off ish</v>
          </cell>
        </row>
        <row r="98">
          <cell r="B98" t="str">
            <v>PE7 3NA</v>
          </cell>
          <cell r="C98">
            <v>45547.628923611112</v>
          </cell>
          <cell r="D98" t="str">
            <v>david</v>
          </cell>
          <cell r="E98">
            <v>7539102420</v>
          </cell>
          <cell r="F98" t="str">
            <v>x</v>
          </cell>
          <cell r="G98" t="str">
            <v>offer becks</v>
          </cell>
        </row>
        <row r="99">
          <cell r="B99" t="str">
            <v>IP33 1JR</v>
          </cell>
          <cell r="C99">
            <v>45424.682754629626</v>
          </cell>
          <cell r="D99" t="str">
            <v>max bell</v>
          </cell>
          <cell r="E99">
            <v>7535034584</v>
          </cell>
          <cell r="F99" t="str">
            <v>info@oldcannonbrewery.co.uk</v>
          </cell>
          <cell r="G99" t="str">
            <v>tnt reminder start discount. 38£ for stella £80 san mig + bbg</v>
          </cell>
        </row>
        <row r="100">
          <cell r="B100" t="str">
            <v>IP33 1YQ</v>
          </cell>
          <cell r="C100">
            <v>45424.64534722222</v>
          </cell>
          <cell r="D100" t="str">
            <v>x</v>
          </cell>
          <cell r="E100">
            <v>0</v>
          </cell>
          <cell r="F100" t="str">
            <v>x</v>
          </cell>
          <cell r="G100" t="str">
            <v>cruzcampo ops, x2 Spanish on</v>
          </cell>
        </row>
        <row r="101">
          <cell r="B101" t="str">
            <v>IP14 1HF</v>
          </cell>
          <cell r="C101">
            <v>45424.61446759259</v>
          </cell>
          <cell r="D101" t="str">
            <v>allen</v>
          </cell>
          <cell r="E101">
            <v>7941996757</v>
          </cell>
          <cell r="F101" t="str">
            <v>x</v>
          </cell>
          <cell r="G101" t="str">
            <v>send Stella pints, coasters and runners</v>
          </cell>
        </row>
        <row r="102">
          <cell r="B102" t="str">
            <v>CO4 5YX</v>
          </cell>
          <cell r="C102">
            <v>45394.637916666667</v>
          </cell>
          <cell r="D102" t="str">
            <v>dave</v>
          </cell>
          <cell r="E102">
            <v>0</v>
          </cell>
          <cell r="F102" t="str">
            <v>dpettman@gmail.com</v>
          </cell>
          <cell r="G102" t="str">
            <v>2 box of Stella</v>
          </cell>
        </row>
        <row r="103">
          <cell r="B103" t="str">
            <v>CO1 1UW</v>
          </cell>
          <cell r="C103">
            <v>45394.607881944445</v>
          </cell>
          <cell r="D103" t="str">
            <v>holly</v>
          </cell>
          <cell r="E103">
            <v>0</v>
          </cell>
          <cell r="F103" t="str">
            <v>i</v>
          </cell>
          <cell r="G103" t="str">
            <v>coasters</v>
          </cell>
        </row>
        <row r="104">
          <cell r="B104" t="str">
            <v>CO1 1DN</v>
          </cell>
          <cell r="C104">
            <v>45394.604004629633</v>
          </cell>
          <cell r="D104" t="str">
            <v>Charlie dm (Alex mngr)</v>
          </cell>
          <cell r="E104">
            <v>0</v>
          </cell>
          <cell r="F104" t="str">
            <v>charlie@pasinileisure.com</v>
          </cell>
        </row>
        <row r="105">
          <cell r="B105" t="str">
            <v>CO2 8JB</v>
          </cell>
          <cell r="C105">
            <v>45394.572453703702</v>
          </cell>
          <cell r="D105" t="str">
            <v>rod</v>
          </cell>
          <cell r="E105">
            <v>0</v>
          </cell>
          <cell r="F105" t="str">
            <v>rodbis@icloud.com</v>
          </cell>
          <cell r="G105" t="str">
            <v>very promising Intro, happy for convo in new year</v>
          </cell>
        </row>
        <row r="106">
          <cell r="B106" t="str">
            <v>CO11 2UZ</v>
          </cell>
          <cell r="C106">
            <v>45394.53197916667</v>
          </cell>
          <cell r="D106" t="str">
            <v>tony</v>
          </cell>
          <cell r="E106">
            <v>0</v>
          </cell>
          <cell r="F106" t="str">
            <v>x</v>
          </cell>
          <cell r="G106" t="str">
            <v xml:space="preserve"> emailing now to book in</v>
          </cell>
        </row>
        <row r="107">
          <cell r="B107" t="str">
            <v>CO16 8SH</v>
          </cell>
          <cell r="C107">
            <v>45363.638865740744</v>
          </cell>
          <cell r="D107" t="str">
            <v>rene (ren- ee)</v>
          </cell>
          <cell r="E107">
            <v>7973655844</v>
          </cell>
          <cell r="F107" t="str">
            <v>rene@hiamusements.co.uk</v>
          </cell>
          <cell r="G107" t="str">
            <v>byd felt runners x8</v>
          </cell>
        </row>
        <row r="108">
          <cell r="B108" t="str">
            <v>CO16 8SH</v>
          </cell>
          <cell r="C108">
            <v>45363.63177083333</v>
          </cell>
          <cell r="D108" t="str">
            <v>Tracy mngr</v>
          </cell>
          <cell r="E108">
            <v>0</v>
          </cell>
          <cell r="F108" t="str">
            <v>tilsontracy@yahoo.co.uk</v>
          </cell>
          <cell r="G108" t="str">
            <v>Stella pints and coasters</v>
          </cell>
        </row>
        <row r="109">
          <cell r="B109" t="str">
            <v>CO15 2EH</v>
          </cell>
          <cell r="C109">
            <v>45363.574374999997</v>
          </cell>
          <cell r="D109" t="str">
            <v>Kishor owner (Lorraine bartender)</v>
          </cell>
          <cell r="E109">
            <v>0</v>
          </cell>
          <cell r="F109" t="str">
            <v>o</v>
          </cell>
        </row>
        <row r="110">
          <cell r="B110" t="str">
            <v>CO15 1PR</v>
          </cell>
          <cell r="C110">
            <v>45363.546875</v>
          </cell>
          <cell r="D110" t="str">
            <v>carol</v>
          </cell>
          <cell r="E110">
            <v>1255475550</v>
          </cell>
          <cell r="F110" t="str">
            <v>x</v>
          </cell>
          <cell r="G110" t="str">
            <v>been in 6 years,  varlsberg and cider targets, perhaps gk</v>
          </cell>
        </row>
        <row r="111">
          <cell r="B111" t="str">
            <v>CO15 3LT</v>
          </cell>
          <cell r="C111">
            <v>45363.525057870371</v>
          </cell>
          <cell r="D111" t="str">
            <v>Peter Needham and zina (mngr)</v>
          </cell>
          <cell r="E111">
            <v>1255422561</v>
          </cell>
          <cell r="F111" t="str">
            <v>x</v>
          </cell>
          <cell r="G111" t="str">
            <v>nice building inner Ipswich, walking traffic</v>
          </cell>
        </row>
        <row r="112">
          <cell r="B112" t="str">
            <v>IP24 2DN</v>
          </cell>
          <cell r="C112">
            <v>45334.568773148145</v>
          </cell>
          <cell r="D112" t="str">
            <v>Shawn or Lawrence is manager</v>
          </cell>
          <cell r="E112">
            <v>7488272883</v>
          </cell>
          <cell r="F112" t="str">
            <v>x</v>
          </cell>
          <cell r="G112" t="str">
            <v>walked into shauns yearl financial.meeting</v>
          </cell>
        </row>
        <row r="113">
          <cell r="B113" t="str">
            <v>IP24 1AH</v>
          </cell>
          <cell r="C113">
            <v>45334.567777777775</v>
          </cell>
          <cell r="D113" t="str">
            <v>Trevor</v>
          </cell>
          <cell r="E113">
            <v>7747625874</v>
          </cell>
          <cell r="F113" t="str">
            <v>x</v>
          </cell>
          <cell r="G113" t="str">
            <v>swapped cards</v>
          </cell>
        </row>
        <row r="114">
          <cell r="B114" t="str">
            <v>IP21 4DP</v>
          </cell>
          <cell r="C114">
            <v>45334.521365740744</v>
          </cell>
          <cell r="D114" t="str">
            <v>huw</v>
          </cell>
          <cell r="E114">
            <v>0</v>
          </cell>
          <cell r="F114" t="str">
            <v>x</v>
          </cell>
          <cell r="G114" t="str">
            <v>carling or carlsberg target and cruz</v>
          </cell>
        </row>
        <row r="115">
          <cell r="B115" t="str">
            <v>NR1 1JE</v>
          </cell>
          <cell r="C115" t="str">
            <v>11/25/2024 5:06:26 PM</v>
          </cell>
          <cell r="D115" t="str">
            <v>x</v>
          </cell>
          <cell r="E115">
            <v>0</v>
          </cell>
          <cell r="F115" t="str">
            <v>x</v>
          </cell>
          <cell r="G115" t="str">
            <v>magners glasses left in stock?</v>
          </cell>
        </row>
        <row r="116">
          <cell r="B116" t="str">
            <v>CM24 8HD</v>
          </cell>
          <cell r="C116" t="str">
            <v>11/22/2024 2:13:33 PM</v>
          </cell>
          <cell r="D116" t="str">
            <v>x</v>
          </cell>
          <cell r="E116">
            <v>0</v>
          </cell>
          <cell r="F116" t="str">
            <v>x</v>
          </cell>
          <cell r="G116" t="str">
            <v>open to both kopp in new year</v>
          </cell>
        </row>
        <row r="117">
          <cell r="B117" t="str">
            <v>NR31 9QQ</v>
          </cell>
          <cell r="C117" t="str">
            <v>11/21/2024 11:28:32 AM</v>
          </cell>
          <cell r="D117" t="str">
            <v>adam and mell</v>
          </cell>
          <cell r="E117">
            <v>7393107010</v>
          </cell>
          <cell r="F117" t="str">
            <v>x</v>
          </cell>
          <cell r="G117" t="str">
            <v>brewdog most expensive at 4.80</v>
          </cell>
        </row>
        <row r="118">
          <cell r="B118" t="str">
            <v>PE21 6NP</v>
          </cell>
          <cell r="C118" t="str">
            <v>11/20/2024 2:17:14 PM</v>
          </cell>
          <cell r="D118" t="str">
            <v>Anthony and Julia (Allison manger)</v>
          </cell>
          <cell r="E118">
            <v>7766078080</v>
          </cell>
          <cell r="F118" t="str">
            <v>Allison.gott@btinternet.com</v>
          </cell>
          <cell r="G118" t="str">
            <v>Ruby bartender</v>
          </cell>
        </row>
        <row r="119">
          <cell r="B119" t="str">
            <v>PE21 7JE</v>
          </cell>
          <cell r="C119" t="str">
            <v>11/20/2024 1:26:27 PM</v>
          </cell>
          <cell r="D119" t="str">
            <v>gemma</v>
          </cell>
          <cell r="E119">
            <v>0</v>
          </cell>
          <cell r="F119" t="str">
            <v>x</v>
          </cell>
        </row>
        <row r="120">
          <cell r="B120" t="str">
            <v>PE20 1JE</v>
          </cell>
          <cell r="C120" t="str">
            <v>11/20/2024 1:09:16 PM</v>
          </cell>
          <cell r="D120" t="str">
            <v>Antony (dianne mngr)</v>
          </cell>
          <cell r="E120">
            <v>0</v>
          </cell>
          <cell r="F120" t="str">
            <v>antonyluto@bt.com</v>
          </cell>
          <cell r="G120" t="str">
            <v>wherry, ader cyder, volt ipa, thatchers, guiness</v>
          </cell>
        </row>
        <row r="121">
          <cell r="B121" t="str">
            <v>PE4 6QE</v>
          </cell>
          <cell r="C121" t="str">
            <v>11/19/2024 3:08:58 PM</v>
          </cell>
          <cell r="D121" t="str">
            <v>simone</v>
          </cell>
          <cell r="E121">
            <v>0</v>
          </cell>
          <cell r="F121" t="str">
            <v>x</v>
          </cell>
        </row>
        <row r="122">
          <cell r="B122" t="str">
            <v>PE27 5AH</v>
          </cell>
          <cell r="C122" t="str">
            <v>11/18/2024 2:01:25 PM</v>
          </cell>
          <cell r="D122" t="str">
            <v>phill and Holly?</v>
          </cell>
          <cell r="E122">
            <v>0</v>
          </cell>
          <cell r="F122" t="str">
            <v>x</v>
          </cell>
          <cell r="G122" t="str">
            <v>bhdkigt and hells on this year, ops for pale? attacjed to the American airbase... Jo baci in 6 weeks times</v>
          </cell>
        </row>
        <row r="123">
          <cell r="B123" t="str">
            <v>IP14 4AG</v>
          </cell>
          <cell r="C123" t="str">
            <v>11/15/2024 2:27:56 PM</v>
          </cell>
          <cell r="D123" t="str">
            <v>arisara</v>
          </cell>
          <cell r="E123">
            <v>0</v>
          </cell>
          <cell r="F123" t="str">
            <v>eiw11223@icloud.com</v>
          </cell>
          <cell r="G123" t="str">
            <v>met with martin on dit with tizzie</v>
          </cell>
        </row>
        <row r="124">
          <cell r="B124" t="str">
            <v>IP14 1HF</v>
          </cell>
          <cell r="C124" t="str">
            <v>11/15/2024 2:00:25 PM</v>
          </cell>
          <cell r="D124" t="str">
            <v>allen</v>
          </cell>
          <cell r="E124">
            <v>7941996757</v>
          </cell>
          <cell r="F124" t="str">
            <v>x</v>
          </cell>
          <cell r="G124" t="str">
            <v>co.plained about guinness suplyissues, very open to Camden stout for permanent position . has spare lines. suggested ipo for best odds but tbd on sample fu next week</v>
          </cell>
        </row>
        <row r="125">
          <cell r="B125" t="str">
            <v>IP14 5AG</v>
          </cell>
          <cell r="C125" t="str">
            <v>11/15/2024 1:06:40 PM</v>
          </cell>
          <cell r="D125" t="str">
            <v>pete owner, maxine manger and dm</v>
          </cell>
          <cell r="E125">
            <v>7789860837</v>
          </cell>
          <cell r="F125" t="str">
            <v>x</v>
          </cell>
        </row>
        <row r="126">
          <cell r="B126" t="str">
            <v>IP6 8AA</v>
          </cell>
          <cell r="C126" t="str">
            <v>11/15/2024 12:27:25 PM</v>
          </cell>
          <cell r="D126" t="str">
            <v>Ashley</v>
          </cell>
          <cell r="E126">
            <v>7368860495</v>
          </cell>
          <cell r="F126" t="str">
            <v>x</v>
          </cell>
        </row>
        <row r="127">
          <cell r="B127" t="str">
            <v>NR19 1AH</v>
          </cell>
          <cell r="C127" t="str">
            <v>11/14/2024 2:50:59 PM</v>
          </cell>
          <cell r="D127" t="str">
            <v>sandra</v>
          </cell>
          <cell r="E127">
            <v>7736521013</v>
          </cell>
          <cell r="F127" t="str">
            <v>info@toftwoodsocialclub.co.uk</v>
          </cell>
          <cell r="G127" t="str">
            <v>Martin ll of 14 months</v>
          </cell>
        </row>
        <row r="128">
          <cell r="B128" t="str">
            <v>NR19 2DS</v>
          </cell>
          <cell r="C128" t="str">
            <v>11/14/2024 1:43:53 PM</v>
          </cell>
          <cell r="D128" t="str">
            <v>becky</v>
          </cell>
          <cell r="E128">
            <v>0</v>
          </cell>
          <cell r="F128" t="str">
            <v>office@derehamgolfclub.com</v>
          </cell>
          <cell r="G128">
            <v>7793200111</v>
          </cell>
        </row>
        <row r="129">
          <cell r="B129" t="str">
            <v>NR20 3EA</v>
          </cell>
          <cell r="C129" t="str">
            <v>11/14/2024 1:23:32 PM</v>
          </cell>
          <cell r="D129" t="str">
            <v>Colin kennedy</v>
          </cell>
          <cell r="E129">
            <v>7930370272</v>
          </cell>
          <cell r="F129" t="str">
            <v>x</v>
          </cell>
          <cell r="G129" t="str">
            <v>martin@theredlion.net</v>
          </cell>
        </row>
        <row r="130">
          <cell r="B130" t="str">
            <v>IP13 8DH</v>
          </cell>
          <cell r="C130" t="str">
            <v>11/13/2024 3:01:48 PM</v>
          </cell>
          <cell r="D130" t="str">
            <v>x</v>
          </cell>
          <cell r="E130">
            <v>0</v>
          </cell>
          <cell r="F130" t="str">
            <v>x</v>
          </cell>
        </row>
        <row r="131">
          <cell r="B131" t="str">
            <v>IP19 9HT</v>
          </cell>
          <cell r="C131" t="str">
            <v>11/13/2024 1:43:35 PM</v>
          </cell>
          <cell r="D131" t="str">
            <v>kev and Kate wood</v>
          </cell>
          <cell r="E131">
            <v>198678214</v>
          </cell>
          <cell r="F131" t="str">
            <v>info@thequeensheadbramfield.co.uk</v>
          </cell>
          <cell r="G131" t="str">
            <v>check on bar runners and perfect serve -ooo</v>
          </cell>
        </row>
        <row r="132">
          <cell r="B132" t="str">
            <v>IP19 9HF</v>
          </cell>
          <cell r="C132" t="str">
            <v>11/13/2024 1:17:11 PM</v>
          </cell>
          <cell r="D132" t="str">
            <v>carl</v>
          </cell>
          <cell r="E132">
            <v>0</v>
          </cell>
          <cell r="F132" t="str">
            <v>carl@wenhastonstar.co.uk</v>
          </cell>
          <cell r="G132" t="str">
            <v>send parasols - boost sales, only a couple a week</v>
          </cell>
        </row>
        <row r="133">
          <cell r="B133" t="str">
            <v>NR34 8RL</v>
          </cell>
          <cell r="C133" t="str">
            <v>11/13/2024 1:05:49 PM</v>
          </cell>
          <cell r="D133" t="str">
            <v>amelia and eliza</v>
          </cell>
          <cell r="E133">
            <v>7701077295</v>
          </cell>
          <cell r="F133" t="str">
            <v>x</v>
          </cell>
          <cell r="G133" t="str">
            <v>check on wind barrier - no option in staci but maybe the team?</v>
          </cell>
        </row>
        <row r="134">
          <cell r="B134" t="str">
            <v>PE6 8EA</v>
          </cell>
          <cell r="C134">
            <v>45637.597939814812</v>
          </cell>
          <cell r="D134" t="str">
            <v>Micheal mngr , allen ll - gale</v>
          </cell>
          <cell r="E134">
            <v>7565043427</v>
          </cell>
          <cell r="F134" t="str">
            <v>Gail@blackhorse-baston.co.uk</v>
          </cell>
        </row>
        <row r="135">
          <cell r="B135" t="str">
            <v>PE6 8EA</v>
          </cell>
          <cell r="C135">
            <v>45637.584999999999</v>
          </cell>
          <cell r="D135" t="str">
            <v>allen ll, harry mngr</v>
          </cell>
          <cell r="E135">
            <v>0</v>
          </cell>
          <cell r="F135" t="str">
            <v>x</v>
          </cell>
          <cell r="G135" t="str">
            <v>sending a tech to replace tap handle</v>
          </cell>
        </row>
        <row r="136">
          <cell r="B136" t="str">
            <v>PE19 8EL</v>
          </cell>
          <cell r="C136">
            <v>45607.612500000003</v>
          </cell>
          <cell r="D136" t="str">
            <v>Johnny and ben</v>
          </cell>
          <cell r="E136">
            <v>7724586966</v>
          </cell>
          <cell r="F136" t="str">
            <v>x</v>
          </cell>
          <cell r="G136" t="str">
            <v>dit with tizzie</v>
          </cell>
        </row>
        <row r="137">
          <cell r="B137" t="str">
            <v>NR21 9BP</v>
          </cell>
          <cell r="C137">
            <v>45484.656053240738</v>
          </cell>
          <cell r="D137" t="str">
            <v>ally owner (Tanya bar mngr)</v>
          </cell>
          <cell r="E137">
            <v>0</v>
          </cell>
          <cell r="F137" t="str">
            <v>x</v>
          </cell>
          <cell r="G137" t="str">
            <v>tried to get rachel over the board. sending tnt deets and foc hells keg ipo madri, tiz aproved.</v>
          </cell>
        </row>
        <row r="138">
          <cell r="B138" t="str">
            <v>NR21 8AD</v>
          </cell>
          <cell r="C138">
            <v>45484.628229166665</v>
          </cell>
          <cell r="D138" t="str">
            <v>jimmy</v>
          </cell>
          <cell r="E138">
            <v>7500068007</v>
          </cell>
          <cell r="F138" t="str">
            <v>jimmhood1964@gmail.com</v>
          </cell>
        </row>
        <row r="139">
          <cell r="B139" t="str">
            <v>NR25 7NQ</v>
          </cell>
          <cell r="C139">
            <v>45484.593854166669</v>
          </cell>
          <cell r="D139" t="str">
            <v>nick davies</v>
          </cell>
          <cell r="E139">
            <v>1263740341</v>
          </cell>
          <cell r="F139" t="str">
            <v>x</v>
          </cell>
          <cell r="G139" t="str">
            <v>Rachel not in</v>
          </cell>
        </row>
        <row r="140">
          <cell r="B140" t="str">
            <v>NR23 1AJ</v>
          </cell>
          <cell r="C140">
            <v>45484.573587962965</v>
          </cell>
          <cell r="D140" t="str">
            <v>josh</v>
          </cell>
          <cell r="E140">
            <v>7930333053</v>
          </cell>
          <cell r="F140" t="str">
            <v>x</v>
          </cell>
          <cell r="G140" t="str">
            <v>looking meek on the hells install</v>
          </cell>
        </row>
        <row r="141">
          <cell r="B141" t="str">
            <v>NR23 1AE</v>
          </cell>
          <cell r="C141">
            <v>45484.545081018521</v>
          </cell>
          <cell r="D141" t="str">
            <v>x</v>
          </cell>
          <cell r="E141">
            <v>0</v>
          </cell>
          <cell r="F141" t="str">
            <v>x</v>
          </cell>
          <cell r="G141" t="str">
            <v>madri not doing good still, sent her a note for tnt and hells reminder</v>
          </cell>
        </row>
        <row r="142">
          <cell r="B142" t="str">
            <v>NR32 5HP</v>
          </cell>
          <cell r="C142">
            <v>45454.666307870371</v>
          </cell>
          <cell r="D142" t="str">
            <v>lisa and steve</v>
          </cell>
          <cell r="E142">
            <v>1502733037</v>
          </cell>
          <cell r="F142" t="str">
            <v>x</v>
          </cell>
        </row>
        <row r="143">
          <cell r="B143" t="str">
            <v>NR31 9BX</v>
          </cell>
          <cell r="C143">
            <v>45454.659675925926</v>
          </cell>
          <cell r="D143" t="str">
            <v>Ian bar mng (sarah mngr)</v>
          </cell>
          <cell r="E143">
            <v>0</v>
          </cell>
          <cell r="F143" t="str">
            <v>x</v>
          </cell>
          <cell r="G143" t="str">
            <v>rachel not in, chatted with tender, op going over well. stella never coming off</v>
          </cell>
        </row>
        <row r="144">
          <cell r="B144" t="str">
            <v>NR31 6DA</v>
          </cell>
          <cell r="C144">
            <v>45454.637962962966</v>
          </cell>
          <cell r="D144" t="str">
            <v>gary</v>
          </cell>
          <cell r="E144">
            <v>0</v>
          </cell>
          <cell r="F144" t="str">
            <v>x</v>
          </cell>
        </row>
        <row r="145">
          <cell r="B145" t="str">
            <v>NR31 9AA</v>
          </cell>
          <cell r="C145">
            <v>45454.622708333336</v>
          </cell>
          <cell r="D145" t="str">
            <v>nicola and adam</v>
          </cell>
          <cell r="E145">
            <v>1493780286</v>
          </cell>
          <cell r="F145" t="str">
            <v>x</v>
          </cell>
        </row>
        <row r="146">
          <cell r="B146" t="str">
            <v>NR31 9EY</v>
          </cell>
          <cell r="C146">
            <v>45454.599340277775</v>
          </cell>
          <cell r="D146" t="str">
            <v>gary</v>
          </cell>
          <cell r="E146">
            <v>1493543147</v>
          </cell>
          <cell r="F146" t="str">
            <v>barn1caldecott@icloud.com</v>
          </cell>
          <cell r="G146" t="str">
            <v>happy with op swap</v>
          </cell>
        </row>
        <row r="147">
          <cell r="B147" t="str">
            <v>NR31 9QQ</v>
          </cell>
          <cell r="C147">
            <v>45454.564212962963</v>
          </cell>
          <cell r="D147" t="str">
            <v>adam</v>
          </cell>
          <cell r="E147">
            <v>7393107010</v>
          </cell>
          <cell r="F147" t="str">
            <v>x</v>
          </cell>
          <cell r="G147" t="str">
            <v>not movi g forward with unfiltered dual with stella</v>
          </cell>
        </row>
        <row r="148">
          <cell r="B148" t="str">
            <v>NR29 5HZ</v>
          </cell>
          <cell r="C148">
            <v>45423.671030092592</v>
          </cell>
          <cell r="D148" t="str">
            <v>Shawn</v>
          </cell>
          <cell r="E148">
            <v>7507775175</v>
          </cell>
          <cell r="F148" t="str">
            <v>x</v>
          </cell>
          <cell r="G148" t="str">
            <v>but madri is dumbing down with new stella install, mentioned hells... repinging in a month eith foc keg</v>
          </cell>
        </row>
        <row r="149">
          <cell r="B149" t="str">
            <v>NR29 4BN</v>
          </cell>
          <cell r="C149">
            <v>45423.599583333336</v>
          </cell>
          <cell r="D149" t="str">
            <v>darrin owner , chris mnger</v>
          </cell>
          <cell r="E149">
            <v>1493393305</v>
          </cell>
          <cell r="F149" t="str">
            <v>enquiries@fishermansreturn.com</v>
          </cell>
        </row>
        <row r="150">
          <cell r="B150" t="str">
            <v>NR29 4HZ</v>
          </cell>
          <cell r="C150">
            <v>45423.578101851854</v>
          </cell>
          <cell r="D150" t="str">
            <v>james sutcliffe</v>
          </cell>
          <cell r="E150">
            <v>1493731164</v>
          </cell>
          <cell r="F150" t="str">
            <v>james@thefamilyparksgroup.co.uk</v>
          </cell>
        </row>
        <row r="151">
          <cell r="B151" t="str">
            <v>NR13 4AZ</v>
          </cell>
          <cell r="C151">
            <v>45423.535046296296</v>
          </cell>
          <cell r="D151" t="str">
            <v>terry</v>
          </cell>
          <cell r="E151">
            <v>0</v>
          </cell>
          <cell r="F151" t="str">
            <v>x</v>
          </cell>
        </row>
        <row r="152">
          <cell r="B152" t="str">
            <v>NR33 0AG</v>
          </cell>
          <cell r="C152">
            <v>45393.614884259259</v>
          </cell>
          <cell r="D152" t="str">
            <v>david owner (Ashley and Isaacs mngrs)</v>
          </cell>
          <cell r="E152">
            <v>1502576890</v>
          </cell>
          <cell r="F152" t="str">
            <v>theharbour@mossandcotrading.co.uk</v>
          </cell>
          <cell r="G152" t="str">
            <v>swapping strongbow with op - send request</v>
          </cell>
        </row>
        <row r="153">
          <cell r="B153" t="str">
            <v>NR33 0JS</v>
          </cell>
          <cell r="C153">
            <v>45393.589571759258</v>
          </cell>
          <cell r="D153" t="str">
            <v>david moss owner (adam ops mngr, sarah mngr)</v>
          </cell>
          <cell r="E153">
            <v>1502531418</v>
          </cell>
          <cell r="F153" t="str">
            <v>thejollysailors@mossandcotrading.co.uk</v>
          </cell>
          <cell r="G153" t="str">
            <v>ops for unfiltered</v>
          </cell>
        </row>
        <row r="154">
          <cell r="B154" t="str">
            <v>NR33 8JR</v>
          </cell>
          <cell r="C154">
            <v>45393.559861111113</v>
          </cell>
          <cell r="D154" t="str">
            <v>david owner (Harly gm, Bailey am)</v>
          </cell>
          <cell r="E154">
            <v>7858896927</v>
          </cell>
          <cell r="F154" t="str">
            <v>thebellinn@mossandcotrading.co.uk</v>
          </cell>
        </row>
        <row r="155">
          <cell r="B155" t="str">
            <v>NR33 8HL</v>
          </cell>
          <cell r="C155">
            <v>45393.531354166669</v>
          </cell>
          <cell r="D155" t="str">
            <v>derrik</v>
          </cell>
          <cell r="E155">
            <v>7795262622</v>
          </cell>
          <cell r="F155" t="str">
            <v>x</v>
          </cell>
          <cell r="G155" t="str">
            <v>dropped samps- Orsett dog and partridge visited</v>
          </cell>
        </row>
        <row r="156">
          <cell r="B156" t="str">
            <v>IP28 7HN</v>
          </cell>
          <cell r="C156">
            <v>45393.394166666665</v>
          </cell>
          <cell r="D156" t="str">
            <v>scott</v>
          </cell>
          <cell r="E156">
            <v>7748255552</v>
          </cell>
          <cell r="F156" t="str">
            <v>x</v>
          </cell>
          <cell r="G156" t="str">
            <v>spoke with Lauren today. partial install happen on Monday (we used a third party and they mucked up the planning side bad... and I typed a 4 out instead of 5 out tbar. messy one but smoothed out vibes with LL and RM both surprisingly happy. install happening 17th</v>
          </cell>
        </row>
        <row r="157">
          <cell r="B157" t="str">
            <v>SG19 1AW</v>
          </cell>
          <cell r="C157">
            <v>45302.418356481481</v>
          </cell>
          <cell r="D157" t="str">
            <v>hannah</v>
          </cell>
          <cell r="E157">
            <v>73053999825</v>
          </cell>
          <cell r="F157">
            <v>7305399825</v>
          </cell>
        </row>
        <row r="158">
          <cell r="B158" t="str">
            <v>SG19 1HA</v>
          </cell>
          <cell r="C158">
            <v>45302.416828703703</v>
          </cell>
          <cell r="D158" t="str">
            <v>Barry and darraugh(dare-a)  (rod mngr)</v>
          </cell>
          <cell r="E158">
            <v>0</v>
          </cell>
          <cell r="F158" t="str">
            <v>x</v>
          </cell>
        </row>
        <row r="159">
          <cell r="B159" t="str">
            <v>SG2 7PA</v>
          </cell>
          <cell r="C159" t="str">
            <v>10/31/2024 12:35:27 PM</v>
          </cell>
          <cell r="D159" t="str">
            <v>kerry</v>
          </cell>
          <cell r="E159">
            <v>0</v>
          </cell>
          <cell r="F159" t="str">
            <v>x</v>
          </cell>
          <cell r="G159" t="str">
            <v>Jim bad on the phone</v>
          </cell>
        </row>
        <row r="160">
          <cell r="B160" t="str">
            <v>NR2 2DQ</v>
          </cell>
          <cell r="C160" t="str">
            <v>10/30/2024 3:08:01 PM</v>
          </cell>
          <cell r="D160" t="str">
            <v>Philip dm , amanda gm</v>
          </cell>
          <cell r="E160">
            <v>0</v>
          </cell>
          <cell r="F160" t="str">
            <v>Philip.birchall@ntl.com</v>
          </cell>
          <cell r="G160" t="str">
            <v>ring chloe, whe decides sort of but needs Aprvl</v>
          </cell>
        </row>
        <row r="161">
          <cell r="B161" t="str">
            <v>NR3 1JD</v>
          </cell>
          <cell r="C161" t="str">
            <v>10/30/2024 2:32:00 PM</v>
          </cell>
          <cell r="D161" t="str">
            <v>x</v>
          </cell>
          <cell r="E161">
            <v>0</v>
          </cell>
          <cell r="F161" t="str">
            <v>hello@epic-tv.com</v>
          </cell>
          <cell r="G161" t="str">
            <v>just missed our tech doing the survey</v>
          </cell>
        </row>
        <row r="162">
          <cell r="B162" t="str">
            <v>NR3 1HR</v>
          </cell>
          <cell r="C162" t="str">
            <v>10/30/2024 2:28:29 PM</v>
          </cell>
          <cell r="D162" t="str">
            <v>louisa</v>
          </cell>
          <cell r="E162">
            <v>1603763099</v>
          </cell>
          <cell r="F162">
            <v>0</v>
          </cell>
          <cell r="G162" t="str">
            <v>hells and pale coming on</v>
          </cell>
        </row>
        <row r="163">
          <cell r="B163" t="str">
            <v>NR3 1HF</v>
          </cell>
          <cell r="C163" t="str">
            <v>10/30/2024 2:15:01 PM</v>
          </cell>
          <cell r="D163" t="str">
            <v>rachel and rick</v>
          </cell>
          <cell r="E163">
            <v>0</v>
          </cell>
          <cell r="F163" t="str">
            <v>x</v>
          </cell>
          <cell r="G163" t="str">
            <v>op not doing the best, but nor are bottle cider</v>
          </cell>
        </row>
        <row r="164">
          <cell r="B164" t="str">
            <v>NR12 7NJ</v>
          </cell>
          <cell r="C164" t="str">
            <v>10/30/2024 12:42:21 PM</v>
          </cell>
          <cell r="D164" t="str">
            <v>sam</v>
          </cell>
          <cell r="E164">
            <v>0</v>
          </cell>
          <cell r="F164" t="str">
            <v>coxhall@aol.com</v>
          </cell>
          <cell r="G164" t="str">
            <v>talked about getting rid of that and doing the trio</v>
          </cell>
        </row>
        <row r="165">
          <cell r="B165" t="str">
            <v>IP31 1NG</v>
          </cell>
          <cell r="C165">
            <v>45483.664710648147</v>
          </cell>
          <cell r="D165" t="str">
            <v>x</v>
          </cell>
          <cell r="E165">
            <v>0</v>
          </cell>
          <cell r="F165" t="str">
            <v>x</v>
          </cell>
          <cell r="G165" t="str">
            <v>or ridding of Guinness out right as it doesn't sell well</v>
          </cell>
        </row>
        <row r="166">
          <cell r="B166" t="str">
            <v>IP31 3AA</v>
          </cell>
          <cell r="C166">
            <v>45483.626238425924</v>
          </cell>
          <cell r="D166" t="str">
            <v>becky</v>
          </cell>
          <cell r="E166">
            <v>0</v>
          </cell>
          <cell r="F166" t="str">
            <v>becky.drewitt@outlook.com</v>
          </cell>
          <cell r="G166" t="str">
            <v>sorting tnt</v>
          </cell>
        </row>
        <row r="167">
          <cell r="B167" t="str">
            <v>IP31 2HJ</v>
          </cell>
          <cell r="C167">
            <v>45483.55232638889</v>
          </cell>
          <cell r="D167" t="str">
            <v>colin</v>
          </cell>
          <cell r="E167">
            <v>1359230887</v>
          </cell>
          <cell r="F167" t="str">
            <v>x</v>
          </cell>
          <cell r="G167" t="str">
            <v>Sophie bartender</v>
          </cell>
        </row>
        <row r="168">
          <cell r="B168" t="str">
            <v>CB2 9HZ</v>
          </cell>
          <cell r="C168">
            <v>45392.630208333336</v>
          </cell>
          <cell r="D168" t="str">
            <v>linda</v>
          </cell>
          <cell r="E168">
            <v>7903073771</v>
          </cell>
          <cell r="F168" t="str">
            <v>x</v>
          </cell>
          <cell r="G168" t="str">
            <v>fullers co version</v>
          </cell>
        </row>
        <row r="169">
          <cell r="B169" t="str">
            <v>CB21 4HS</v>
          </cell>
          <cell r="C169">
            <v>45392.541608796295</v>
          </cell>
          <cell r="D169" t="str">
            <v>sam and julie</v>
          </cell>
          <cell r="E169">
            <v>7932993433</v>
          </cell>
          <cell r="F169" t="str">
            <v>x</v>
          </cell>
          <cell r="G169" t="str">
            <v>changed pubs 3 times this year</v>
          </cell>
        </row>
        <row r="170">
          <cell r="B170" t="str">
            <v>SG12 8AG</v>
          </cell>
          <cell r="C170">
            <v>45332.627893518518</v>
          </cell>
          <cell r="D170" t="str">
            <v>chloe mngr Jim ll</v>
          </cell>
          <cell r="E170">
            <v>0</v>
          </cell>
          <cell r="F170" t="str">
            <v>x</v>
          </cell>
          <cell r="G170" t="str">
            <v>pale came off</v>
          </cell>
        </row>
        <row r="171">
          <cell r="B171" t="str">
            <v>CM20 2NB</v>
          </cell>
          <cell r="C171">
            <v>45332.551365740743</v>
          </cell>
          <cell r="D171" t="str">
            <v>rachel</v>
          </cell>
          <cell r="E171">
            <v>7837471313</v>
          </cell>
          <cell r="F171" t="str">
            <v>x</v>
          </cell>
          <cell r="G171" t="str">
            <v>bartender said it sold well back when it was on... ops to put it back</v>
          </cell>
        </row>
        <row r="172">
          <cell r="B172" t="str">
            <v>SG19 1AW</v>
          </cell>
          <cell r="C172">
            <v>45301.569699074076</v>
          </cell>
          <cell r="D172" t="str">
            <v>hannah</v>
          </cell>
          <cell r="E172">
            <v>73053999825</v>
          </cell>
          <cell r="F172" t="str">
            <v>x</v>
          </cell>
          <cell r="G172" t="str">
            <v>one to reach out</v>
          </cell>
        </row>
        <row r="173">
          <cell r="B173" t="str">
            <v>SG18 9AA</v>
          </cell>
          <cell r="C173">
            <v>45301.542754629627</v>
          </cell>
          <cell r="D173" t="str">
            <v>Adrian and marian</v>
          </cell>
          <cell r="E173">
            <v>0</v>
          </cell>
          <cell r="F173" t="str">
            <v>x</v>
          </cell>
          <cell r="G173" t="str">
            <v>golf course, really nice bar area</v>
          </cell>
        </row>
        <row r="174">
          <cell r="B174" t="str">
            <v>SG1 5DZ</v>
          </cell>
          <cell r="C174" t="str">
            <v>9/27/2024 2:52:10 PM</v>
          </cell>
          <cell r="D174" t="str">
            <v>tony</v>
          </cell>
          <cell r="E174">
            <v>7426782578</v>
          </cell>
          <cell r="F174" t="str">
            <v>x</v>
          </cell>
          <cell r="G174" t="str">
            <v>caroßberg target, walked into set up for employee party, emailing for new year meet with kay</v>
          </cell>
        </row>
        <row r="175">
          <cell r="B175" t="str">
            <v>SS3 0HZ</v>
          </cell>
          <cell r="C175" t="str">
            <v>9/26/2024 3:21:04 PM</v>
          </cell>
          <cell r="D175" t="str">
            <v>Paul (mngr)</v>
          </cell>
          <cell r="E175">
            <v>0</v>
          </cell>
          <cell r="F175" t="str">
            <v>x</v>
          </cell>
          <cell r="G175" t="str">
            <v>mid holiday party, met ian, passed his email to sort something after new year</v>
          </cell>
        </row>
        <row r="176">
          <cell r="B176" t="str">
            <v>SS1 1PQ</v>
          </cell>
          <cell r="C176" t="str">
            <v>9/26/2024 2:11:59 PM</v>
          </cell>
          <cell r="D176" t="str">
            <v>nikki</v>
          </cell>
          <cell r="E176">
            <v>7413888830</v>
          </cell>
          <cell r="F176" t="str">
            <v>x</v>
          </cell>
          <cell r="G176" t="str">
            <v>heavily older clientel, perhaps san mig</v>
          </cell>
        </row>
        <row r="177">
          <cell r="B177" t="str">
            <v>SS1 2EJ</v>
          </cell>
          <cell r="C177" t="str">
            <v>9/26/2024 12:37:27 PM</v>
          </cell>
          <cell r="D177" t="str">
            <v>nikki (daughter dm)</v>
          </cell>
          <cell r="E177">
            <v>0</v>
          </cell>
          <cell r="F177" t="str">
            <v>x</v>
          </cell>
          <cell r="G177" t="str">
            <v>happy to put on hells ipo possibly level head (not selling after 8 months)</v>
          </cell>
        </row>
        <row r="178">
          <cell r="B178" t="str">
            <v>SG1 3DB</v>
          </cell>
          <cell r="C178" t="str">
            <v>9/25/2024 3:57:06 PM</v>
          </cell>
          <cell r="D178" t="str">
            <v>jackie (passed away)</v>
          </cell>
          <cell r="E178">
            <v>0</v>
          </cell>
          <cell r="F178" t="str">
            <v>x</v>
          </cell>
          <cell r="G178" t="str">
            <v>£500 listing fee offered, won't do till after Xmas,  reader set to reach out week 1 Jan.</v>
          </cell>
        </row>
        <row r="179">
          <cell r="B179" t="str">
            <v>SG1 3RA</v>
          </cell>
          <cell r="C179" t="str">
            <v>9/25/2024 2:58:09 PM</v>
          </cell>
          <cell r="D179" t="str">
            <v>Karl (they own 4 pubs and Karl manages this one but doesn't have final say) staci is phone.</v>
          </cell>
          <cell r="E179">
            <v>7402571485</v>
          </cell>
          <cell r="F179" t="str">
            <v>x</v>
          </cell>
          <cell r="G179" t="str">
            <v>Stella bet seller and budligt doing top2</v>
          </cell>
        </row>
        <row r="180">
          <cell r="B180" t="str">
            <v>SG4 7LE</v>
          </cell>
          <cell r="C180" t="str">
            <v>9/25/2024 1:01:15 PM</v>
          </cell>
          <cell r="D180" t="str">
            <v>kerry mngr</v>
          </cell>
          <cell r="E180">
            <v>7854076854</v>
          </cell>
          <cell r="F180" t="str">
            <v>x</v>
          </cell>
        </row>
        <row r="181">
          <cell r="B181" t="str">
            <v>NR15 2DE</v>
          </cell>
          <cell r="C181" t="str">
            <v>9/23/2024 3:54:37 PM</v>
          </cell>
          <cell r="D181" t="str">
            <v>victoria and Jan (mngr)</v>
          </cell>
          <cell r="E181">
            <v>0</v>
          </cell>
          <cell r="F181" t="str">
            <v>x</v>
          </cell>
          <cell r="G181" t="str">
            <v>older clientel generally but mixture as a hotel.</v>
          </cell>
        </row>
        <row r="182">
          <cell r="B182" t="str">
            <v>IP21 4SU</v>
          </cell>
          <cell r="C182" t="str">
            <v>9/23/2024 3:14:31 PM</v>
          </cell>
          <cell r="D182" t="str">
            <v>steve</v>
          </cell>
          <cell r="E182">
            <v>0</v>
          </cell>
          <cell r="F182" t="str">
            <v>x</v>
          </cell>
          <cell r="G182" t="str">
            <v>-Stella ipo amstel- rifle volunteer (jim) gk andy turner</v>
          </cell>
        </row>
        <row r="183">
          <cell r="B183" t="str">
            <v>CB25 9PB</v>
          </cell>
          <cell r="C183" t="str">
            <v>9/20/2024 2:12:52 PM</v>
          </cell>
          <cell r="D183" t="str">
            <v>suki a rakish (ally mngr and cell)</v>
          </cell>
          <cell r="E183">
            <v>7872038200</v>
          </cell>
          <cell r="F183" t="str">
            <v>x</v>
          </cell>
        </row>
        <row r="184">
          <cell r="B184" t="str">
            <v>CB25 9HR</v>
          </cell>
          <cell r="C184" t="str">
            <v>9/20/2024 1:37:43 PM</v>
          </cell>
          <cell r="D184" t="str">
            <v>helen</v>
          </cell>
          <cell r="E184">
            <v>7799863223</v>
          </cell>
          <cell r="F184" t="str">
            <v>x</v>
          </cell>
          <cell r="G184" t="str">
            <v>-stela ipo madri in this, sam davey</v>
          </cell>
        </row>
        <row r="185">
          <cell r="B185" t="str">
            <v>SG17 5LX</v>
          </cell>
          <cell r="C185" t="str">
            <v>9/19/2024 3:14:08 PM</v>
          </cell>
          <cell r="D185" t="str">
            <v>doug</v>
          </cell>
          <cell r="E185">
            <v>7761742747</v>
          </cell>
          <cell r="F185" t="str">
            <v>managment@thesugarloafpub.co.uk</v>
          </cell>
          <cell r="G185" t="str">
            <v>tnt at both</v>
          </cell>
        </row>
        <row r="186">
          <cell r="B186" t="str">
            <v>SG17 5ES</v>
          </cell>
          <cell r="C186" t="str">
            <v>9/19/2024 2:01:46 PM</v>
          </cell>
          <cell r="D186" t="str">
            <v>dan</v>
          </cell>
          <cell r="E186">
            <v>0</v>
          </cell>
          <cell r="F186" t="str">
            <v>info@goldenlionclifton.co.uk</v>
          </cell>
        </row>
        <row r="187">
          <cell r="B187" t="str">
            <v>CM24 8UQ</v>
          </cell>
          <cell r="C187" t="str">
            <v>9/18/2024 2:11:39 PM</v>
          </cell>
          <cell r="D187" t="str">
            <v>tommy</v>
          </cell>
          <cell r="E187">
            <v>7769713826</v>
          </cell>
          <cell r="F187" t="str">
            <v>x</v>
          </cell>
        </row>
        <row r="188">
          <cell r="B188" t="str">
            <v>CM21 9AJ</v>
          </cell>
          <cell r="C188" t="str">
            <v>9/18/2024 12:58:59 PM</v>
          </cell>
          <cell r="D188" t="str">
            <v>richard</v>
          </cell>
          <cell r="E188">
            <v>7973752081</v>
          </cell>
          <cell r="F188" t="str">
            <v>x</v>
          </cell>
          <cell r="G188" t="str">
            <v xml:space="preserve">rifle volunteer. </v>
          </cell>
        </row>
        <row r="189">
          <cell r="B189" t="str">
            <v>CM21 9AT</v>
          </cell>
          <cell r="C189" t="str">
            <v>9/18/2024 12:45:16 PM</v>
          </cell>
          <cell r="D189" t="str">
            <v>dawn</v>
          </cell>
          <cell r="E189">
            <v>7891186819</v>
          </cell>
          <cell r="F189" t="str">
            <v>x</v>
          </cell>
          <cell r="G189" t="str">
            <v>Newcastle red well in...</v>
          </cell>
        </row>
        <row r="190">
          <cell r="B190" t="str">
            <v>SS0 9LA</v>
          </cell>
          <cell r="C190" t="str">
            <v>9/17/2024 2:59:16 PM</v>
          </cell>
          <cell r="D190" t="str">
            <v>gemma</v>
          </cell>
          <cell r="E190">
            <v>0</v>
          </cell>
          <cell r="F190" t="str">
            <v>x</v>
          </cell>
          <cell r="G190" t="str">
            <v>all leased gk stonegate and punch</v>
          </cell>
        </row>
        <row r="191">
          <cell r="B191" t="str">
            <v>SS1 2EN</v>
          </cell>
          <cell r="C191" t="str">
            <v>9/17/2024 1:23:39 PM</v>
          </cell>
          <cell r="D191" t="str">
            <v>kessi</v>
          </cell>
          <cell r="E191">
            <v>0</v>
          </cell>
          <cell r="F191" t="str">
            <v>x</v>
          </cell>
        </row>
        <row r="192">
          <cell r="B192" t="str">
            <v>SS1 1PQ</v>
          </cell>
          <cell r="C192" t="str">
            <v>9/17/2024 12:20:35 PM</v>
          </cell>
          <cell r="D192" t="str">
            <v>nikki</v>
          </cell>
          <cell r="E192">
            <v>7413888830</v>
          </cell>
          <cell r="F192" t="str">
            <v>x</v>
          </cell>
          <cell r="G192" t="str">
            <v>stout on for a few months and their giving it away, just not selling with guinness still on.</v>
          </cell>
        </row>
        <row r="193">
          <cell r="B193" t="str">
            <v>SS1 2NL</v>
          </cell>
          <cell r="C193" t="str">
            <v>9/17/2024 12:06:34 PM</v>
          </cell>
          <cell r="D193" t="str">
            <v>dan and hollie</v>
          </cell>
          <cell r="E193">
            <v>7568052623</v>
          </cell>
          <cell r="F193" t="str">
            <v>x</v>
          </cell>
          <cell r="G193" t="str">
            <v>they have it priced 10p more than guinnes and have a meeting tomorrow with the regional manager... likely coming off.</v>
          </cell>
        </row>
        <row r="194">
          <cell r="B194" t="str">
            <v>SS1 2EJ</v>
          </cell>
          <cell r="C194" t="str">
            <v>9/17/2024 11:23:42 AM</v>
          </cell>
          <cell r="D194" t="str">
            <v>nikki (daughter dm)</v>
          </cell>
          <cell r="E194">
            <v>0</v>
          </cell>
          <cell r="F194" t="str">
            <v>x</v>
          </cell>
          <cell r="G194" t="str">
            <v>nigel isn't interested in pos or social assets. mentioned a sampling sesh, not interested, likely coming off</v>
          </cell>
        </row>
        <row r="195">
          <cell r="B195" t="str">
            <v>SG4 8NU</v>
          </cell>
          <cell r="C195">
            <v>45574.623182870368</v>
          </cell>
          <cell r="D195" t="str">
            <v>David and David ll</v>
          </cell>
          <cell r="E195">
            <v>7730406358</v>
          </cell>
          <cell r="F195" t="str">
            <v>x</v>
          </cell>
        </row>
        <row r="196">
          <cell r="B196" t="str">
            <v>SG12 0ST</v>
          </cell>
          <cell r="C196">
            <v>45574.622546296298</v>
          </cell>
          <cell r="D196" t="str">
            <v>ali</v>
          </cell>
          <cell r="E196">
            <v>1920464020</v>
          </cell>
          <cell r="F196" t="str">
            <v>x</v>
          </cell>
        </row>
        <row r="197">
          <cell r="B197" t="str">
            <v>SG12 9AD</v>
          </cell>
          <cell r="C197">
            <v>45574.609560185185</v>
          </cell>
          <cell r="D197" t="str">
            <v>Kelly john</v>
          </cell>
          <cell r="E197">
            <v>1920468549</v>
          </cell>
          <cell r="F197" t="str">
            <v>x</v>
          </cell>
          <cell r="G197" t="str">
            <v>madri sales have died since cruzcampo coming on last month,  mentioned stella as part of his Convo tomorrow</v>
          </cell>
        </row>
        <row r="198">
          <cell r="B198" t="str">
            <v>SG7 6BZ</v>
          </cell>
          <cell r="C198">
            <v>45544.672824074078</v>
          </cell>
          <cell r="D198" t="str">
            <v>tally</v>
          </cell>
          <cell r="E198">
            <v>7802363567</v>
          </cell>
          <cell r="F198" t="str">
            <v>x</v>
          </cell>
          <cell r="G198" t="str">
            <v>Allison gave her email, unsure if dm</v>
          </cell>
        </row>
        <row r="199">
          <cell r="B199" t="str">
            <v>SG4 0JH</v>
          </cell>
          <cell r="C199">
            <v>45544.635601851849</v>
          </cell>
          <cell r="D199" t="str">
            <v>Thomas gone (closing for 6 month in oct)</v>
          </cell>
          <cell r="E199">
            <v>0</v>
          </cell>
          <cell r="F199" t="str">
            <v>x</v>
          </cell>
          <cell r="G199" t="str">
            <v>very busy Xmas service on a Tuesday</v>
          </cell>
        </row>
        <row r="200">
          <cell r="B200" t="str">
            <v>IP14 3NT</v>
          </cell>
          <cell r="C200">
            <v>45452.601238425923</v>
          </cell>
          <cell r="D200" t="str">
            <v>paul</v>
          </cell>
          <cell r="E200">
            <v>7541829292</v>
          </cell>
          <cell r="F200" t="str">
            <v>x</v>
          </cell>
          <cell r="G200" t="str">
            <v>one to revisit</v>
          </cell>
        </row>
        <row r="201">
          <cell r="B201" t="str">
            <v>IP30 9HD</v>
          </cell>
          <cell r="C201">
            <v>45452.556620370371</v>
          </cell>
          <cell r="D201" t="str">
            <v>jimmy</v>
          </cell>
          <cell r="E201">
            <v>0</v>
          </cell>
          <cell r="F201" t="str">
            <v>jimmyuddin6@gmail.com</v>
          </cell>
          <cell r="G201" t="str">
            <v>multi of our brands</v>
          </cell>
        </row>
        <row r="202">
          <cell r="B202" t="str">
            <v>IP12 1DZ</v>
          </cell>
          <cell r="C202">
            <v>45421.648078703707</v>
          </cell>
          <cell r="D202" t="str">
            <v>matt</v>
          </cell>
          <cell r="E202">
            <v>0</v>
          </cell>
          <cell r="F202" t="str">
            <v>x</v>
          </cell>
          <cell r="G202" t="str">
            <v>carlbserg target- becks?</v>
          </cell>
        </row>
        <row r="203">
          <cell r="B203" t="str">
            <v>IP11 9NF</v>
          </cell>
          <cell r="C203">
            <v>45421.557395833333</v>
          </cell>
          <cell r="D203" t="str">
            <v>carol</v>
          </cell>
          <cell r="E203">
            <v>0</v>
          </cell>
          <cell r="F203" t="str">
            <v>x</v>
          </cell>
          <cell r="G203" t="str">
            <v>bud already on</v>
          </cell>
        </row>
        <row r="204">
          <cell r="B204" t="str">
            <v>IP11 9DS</v>
          </cell>
          <cell r="C204">
            <v>45421.53597222222</v>
          </cell>
          <cell r="D204" t="str">
            <v>tina</v>
          </cell>
          <cell r="E204">
            <v>0</v>
          </cell>
          <cell r="F204" t="str">
            <v>x</v>
          </cell>
          <cell r="G204" t="str">
            <v>target thatchers orig, with kop apple in new year</v>
          </cell>
        </row>
        <row r="205">
          <cell r="B205" t="str">
            <v>CO4 0NE</v>
          </cell>
          <cell r="C205">
            <v>45391.669803240744</v>
          </cell>
          <cell r="D205" t="str">
            <v>debbie</v>
          </cell>
          <cell r="E205">
            <v>7958590412</v>
          </cell>
          <cell r="F205" t="str">
            <v>x</v>
          </cell>
        </row>
        <row r="206">
          <cell r="B206" t="str">
            <v>CO1 2QW</v>
          </cell>
          <cell r="C206">
            <v>45391.655277777776</v>
          </cell>
          <cell r="D206" t="str">
            <v>bahar (female)</v>
          </cell>
          <cell r="E206">
            <v>7404533451</v>
          </cell>
          <cell r="F206" t="str">
            <v>x</v>
          </cell>
          <cell r="G206" t="str">
            <v>three other thatchers.</v>
          </cell>
        </row>
        <row r="207">
          <cell r="B207" t="str">
            <v>CO3 3AA</v>
          </cell>
          <cell r="C207">
            <v>45391.633229166669</v>
          </cell>
          <cell r="D207" t="str">
            <v>lee</v>
          </cell>
          <cell r="E207">
            <v>0</v>
          </cell>
          <cell r="F207" t="str">
            <v>holeinthewallcolchester@gmail.com</v>
          </cell>
          <cell r="G207" t="str">
            <v>cruz replaced rona, no sales and better £</v>
          </cell>
        </row>
        <row r="208">
          <cell r="B208" t="str">
            <v>CM8 2JL</v>
          </cell>
          <cell r="C208">
            <v>45391.572905092595</v>
          </cell>
          <cell r="D208" t="str">
            <v>carl</v>
          </cell>
          <cell r="E208">
            <v>1621740276</v>
          </cell>
          <cell r="F208" t="str">
            <v>x</v>
          </cell>
          <cell r="G208" t="str">
            <v>gk replaced goose, rogue</v>
          </cell>
        </row>
        <row r="209">
          <cell r="B209" t="str">
            <v>CM9 8PX</v>
          </cell>
          <cell r="C209">
            <v>45391.551157407404</v>
          </cell>
          <cell r="D209" t="str">
            <v>johm and Claire (can't remember her partners name)</v>
          </cell>
          <cell r="E209">
            <v>0</v>
          </cell>
          <cell r="F209" t="str">
            <v>x</v>
          </cell>
          <cell r="G209" t="str">
            <v>Stella top 2 vol , under cruz.</v>
          </cell>
        </row>
        <row r="210">
          <cell r="B210" t="str">
            <v>CM9 8AS</v>
          </cell>
          <cell r="C210">
            <v>45391.537175925929</v>
          </cell>
          <cell r="D210" t="str">
            <v>Dominic</v>
          </cell>
          <cell r="E210">
            <v>7976897775</v>
          </cell>
          <cell r="F210" t="str">
            <v>x</v>
          </cell>
          <cell r="G210" t="str">
            <v>ops for madri, possible as second spanksh.... tho he "is happy with new line up for now"</v>
          </cell>
        </row>
        <row r="211">
          <cell r="B211" t="str">
            <v>PE34 4LZ</v>
          </cell>
          <cell r="C211">
            <v>45360.655115740738</v>
          </cell>
          <cell r="D211" t="str">
            <v>heather</v>
          </cell>
          <cell r="E211">
            <v>0</v>
          </cell>
          <cell r="F211" t="str">
            <v>x</v>
          </cell>
          <cell r="G211" t="str">
            <v>fu in spring ish</v>
          </cell>
        </row>
        <row r="212">
          <cell r="B212" t="str">
            <v>PE25 3ND</v>
          </cell>
          <cell r="C212">
            <v>45360.573472222219</v>
          </cell>
          <cell r="D212" t="str">
            <v>jade (phone number daigter of ll) and tia</v>
          </cell>
          <cell r="E212">
            <v>7836790096</v>
          </cell>
          <cell r="F212" t="str">
            <v>x</v>
          </cell>
          <cell r="G212" t="str">
            <v>terry good chat, pale on for 3 kegs a week, surprised for location but one to support, possible hells plus one... open to discussion pre opening without customers.</v>
          </cell>
        </row>
        <row r="213">
          <cell r="B213" t="str">
            <v>PE25 2LJ</v>
          </cell>
          <cell r="C213">
            <v>45360.559548611112</v>
          </cell>
          <cell r="D213" t="str">
            <v>jade and tia</v>
          </cell>
          <cell r="E213">
            <v>0</v>
          </cell>
          <cell r="F213" t="str">
            <v>x</v>
          </cell>
          <cell r="G213" t="str">
            <v>Stella top vol.</v>
          </cell>
        </row>
        <row r="214">
          <cell r="B214" t="str">
            <v>PE25 1JP</v>
          </cell>
          <cell r="C214">
            <v>45360.539733796293</v>
          </cell>
          <cell r="D214" t="str">
            <v>Bethany (soster)  amd courtney (ll)</v>
          </cell>
          <cell r="E214">
            <v>7467547441</v>
          </cell>
          <cell r="F214" t="str">
            <v>x</v>
          </cell>
          <cell r="G214" t="str">
            <v>buys mostly gk ift,</v>
          </cell>
        </row>
        <row r="215">
          <cell r="B215" t="str">
            <v>PE25 1NU</v>
          </cell>
          <cell r="C215">
            <v>45360.521678240744</v>
          </cell>
          <cell r="D215" t="str">
            <v>mark</v>
          </cell>
          <cell r="E215">
            <v>0</v>
          </cell>
          <cell r="F215" t="str">
            <v>lennoxmark152@gmail.com</v>
          </cell>
          <cell r="G215" t="str">
            <v>Stella is the 5.2% buying elsewhere</v>
          </cell>
        </row>
        <row r="216">
          <cell r="B216" t="str">
            <v>NR21 8BS</v>
          </cell>
          <cell r="C216">
            <v>45331.644444444442</v>
          </cell>
          <cell r="D216" t="str">
            <v>katherine</v>
          </cell>
          <cell r="E216">
            <v>0</v>
          </cell>
          <cell r="F216" t="str">
            <v>x</v>
          </cell>
        </row>
        <row r="217">
          <cell r="B217" t="str">
            <v>NR21 9QG</v>
          </cell>
          <cell r="C217">
            <v>45331.63212962963</v>
          </cell>
          <cell r="D217" t="str">
            <v>caitriona (katrina) and siobhan (shoban)</v>
          </cell>
          <cell r="E217">
            <v>0</v>
          </cell>
          <cell r="F217" t="str">
            <v>caitriona@sculthorpemill.co.uk</v>
          </cell>
          <cell r="G217" t="str">
            <v>incheses getting a possible boot for hells/pale. setting reminder for end of next week ring</v>
          </cell>
        </row>
        <row r="218">
          <cell r="B218" t="str">
            <v>NR27 9DS</v>
          </cell>
          <cell r="C218">
            <v>45331.573692129627</v>
          </cell>
          <cell r="D218" t="str">
            <v>jay and kelly</v>
          </cell>
          <cell r="E218">
            <v>7566240174</v>
          </cell>
          <cell r="F218" t="str">
            <v>x</v>
          </cell>
        </row>
        <row r="219">
          <cell r="B219" t="str">
            <v>PE29 2AQ</v>
          </cell>
          <cell r="C219" t="str">
            <v>8/30/2024 3:18:01 PM</v>
          </cell>
          <cell r="D219" t="str">
            <v>jezz</v>
          </cell>
          <cell r="E219">
            <v>0</v>
          </cell>
          <cell r="F219" t="str">
            <v>x</v>
          </cell>
          <cell r="G219" t="str">
            <v>stout in another rtm? fu</v>
          </cell>
        </row>
        <row r="220">
          <cell r="B220" t="str">
            <v>PE29 7LB</v>
          </cell>
          <cell r="C220" t="str">
            <v>8/30/2024 3:12:31 PM</v>
          </cell>
          <cell r="D220" t="str">
            <v>damo</v>
          </cell>
          <cell r="E220">
            <v>0</v>
          </cell>
          <cell r="F220" t="str">
            <v>x</v>
          </cell>
          <cell r="G220" t="str">
            <v>4 kegs a week of madri, stella 3ish</v>
          </cell>
        </row>
        <row r="221">
          <cell r="B221" t="str">
            <v>PE9 2PA</v>
          </cell>
          <cell r="C221" t="str">
            <v>8/30/2024 1:41:30 PM</v>
          </cell>
          <cell r="D221" t="str">
            <v>andrew</v>
          </cell>
          <cell r="E221">
            <v>0</v>
          </cell>
          <cell r="F221" t="str">
            <v>x</v>
          </cell>
          <cell r="G221" t="str">
            <v>rusty gun kitchen</v>
          </cell>
        </row>
        <row r="222">
          <cell r="B222" t="str">
            <v>PE3 8JT</v>
          </cell>
          <cell r="C222" t="str">
            <v>8/30/2024 1:40:18 PM</v>
          </cell>
          <cell r="D222" t="str">
            <v>mandy</v>
          </cell>
          <cell r="E222">
            <v>7775387057</v>
          </cell>
          <cell r="F222" t="str">
            <v>x</v>
          </cell>
          <cell r="G222" t="str">
            <v>Broadway hotel wellingsrden city</v>
          </cell>
        </row>
        <row r="223">
          <cell r="B223" t="str">
            <v>CO14 8AR</v>
          </cell>
          <cell r="C223" t="str">
            <v>8/30/2024 10:04:41 AM</v>
          </cell>
          <cell r="D223" t="str">
            <v>Emma and mark</v>
          </cell>
          <cell r="E223">
            <v>0</v>
          </cell>
          <cell r="F223" t="str">
            <v>x</v>
          </cell>
          <cell r="G223" t="str">
            <v>d'arrys wine bar</v>
          </cell>
        </row>
        <row r="224">
          <cell r="B224" t="str">
            <v>CO14 8AD</v>
          </cell>
          <cell r="C224" t="str">
            <v>8/30/2024 10:01:50 AM</v>
          </cell>
          <cell r="D224" t="str">
            <v>jane</v>
          </cell>
          <cell r="E224">
            <v>0</v>
          </cell>
          <cell r="F224" t="str">
            <v>x</v>
          </cell>
        </row>
        <row r="225">
          <cell r="B225" t="str">
            <v>CO12 4LW</v>
          </cell>
          <cell r="C225" t="str">
            <v>8/30/2024 9:59:39 AM</v>
          </cell>
          <cell r="D225" t="str">
            <v>joe</v>
          </cell>
          <cell r="E225">
            <v>0</v>
          </cell>
          <cell r="F225" t="str">
            <v>x</v>
          </cell>
          <cell r="G225" t="str">
            <v>met max, just got inheritance and probably leaving in a few months. real free spirit</v>
          </cell>
        </row>
        <row r="226">
          <cell r="B226" t="str">
            <v>CO7 0JF</v>
          </cell>
          <cell r="C226" t="str">
            <v>8/29/2024 1:25:00 PM</v>
          </cell>
          <cell r="D226" t="str">
            <v>x</v>
          </cell>
          <cell r="E226">
            <v>0</v>
          </cell>
          <cell r="F226" t="str">
            <v>o</v>
          </cell>
        </row>
        <row r="227">
          <cell r="B227" t="str">
            <v>CO15 4DA</v>
          </cell>
          <cell r="C227" t="str">
            <v>8/29/2024 12:57:26 PM</v>
          </cell>
          <cell r="D227" t="str">
            <v>mo (morine)</v>
          </cell>
          <cell r="E227">
            <v>7507937146</v>
          </cell>
          <cell r="F227" t="str">
            <v>x</v>
          </cell>
          <cell r="G227" t="str">
            <v>abk on, proud of the age of the brand but possible ops, along with cider and blue moon</v>
          </cell>
        </row>
        <row r="228">
          <cell r="B228" t="str">
            <v>RM3 9PP</v>
          </cell>
          <cell r="C228" t="str">
            <v>8/28/2024 2:50:35 PM</v>
          </cell>
          <cell r="D228" t="str">
            <v>jane</v>
          </cell>
          <cell r="E228">
            <v>7982671910</v>
          </cell>
          <cell r="F228" t="str">
            <v>x</v>
          </cell>
        </row>
        <row r="229">
          <cell r="B229" t="str">
            <v>RM14 2TD</v>
          </cell>
          <cell r="C229" t="str">
            <v>8/28/2024 1:49:11 PM</v>
          </cell>
          <cell r="D229" t="str">
            <v>stout trial</v>
          </cell>
          <cell r="E229">
            <v>0</v>
          </cell>
          <cell r="F229" t="str">
            <v>x</v>
          </cell>
          <cell r="G229" t="str">
            <v>makes loads of their own casks</v>
          </cell>
        </row>
        <row r="230">
          <cell r="B230" t="str">
            <v>RM13 9RY</v>
          </cell>
          <cell r="C230" t="str">
            <v>8/28/2024 12:58:05 PM</v>
          </cell>
          <cell r="D230" t="str">
            <v>Michael</v>
          </cell>
          <cell r="E230">
            <v>0</v>
          </cell>
          <cell r="F230" t="str">
            <v>x</v>
          </cell>
          <cell r="G230" t="str">
            <v>no changes till new year. sorting meet reminder</v>
          </cell>
        </row>
        <row r="231">
          <cell r="B231" t="str">
            <v>RM8 3LJ</v>
          </cell>
          <cell r="C231" t="str">
            <v>8/28/2024 12:56:36 PM</v>
          </cell>
          <cell r="D231" t="str">
            <v>ray (dm)</v>
          </cell>
          <cell r="E231">
            <v>7813097922</v>
          </cell>
          <cell r="F231" t="str">
            <v>x</v>
          </cell>
          <cell r="G231" t="str">
            <v>owner not in "but on his way" left a card as she wouldn't lass email</v>
          </cell>
        </row>
        <row r="232">
          <cell r="B232" t="str">
            <v>RM10 9HP</v>
          </cell>
          <cell r="C232" t="str">
            <v>8/28/2024 12:15:37 PM</v>
          </cell>
          <cell r="D232" t="str">
            <v>cathy</v>
          </cell>
          <cell r="E232">
            <v>0</v>
          </cell>
          <cell r="F232" t="str">
            <v>x</v>
          </cell>
        </row>
        <row r="233">
          <cell r="B233" t="str">
            <v>SS13 2AN</v>
          </cell>
          <cell r="C233" t="str">
            <v>8/27/2024 5:35:12 PM</v>
          </cell>
          <cell r="D233" t="str">
            <v>laura</v>
          </cell>
          <cell r="E233">
            <v>0</v>
          </cell>
          <cell r="F233" t="str">
            <v>x</v>
          </cell>
          <cell r="G233" t="str">
            <v>sport center of sorts, bowling attached and many sport business In the little strip, pool club in this spot.</v>
          </cell>
        </row>
        <row r="234">
          <cell r="B234" t="str">
            <v>SS16 5DF</v>
          </cell>
          <cell r="C234" t="str">
            <v>8/27/2024 3:36:35 PM</v>
          </cell>
          <cell r="D234" t="str">
            <v>louis</v>
          </cell>
          <cell r="E234">
            <v>7732894244</v>
          </cell>
          <cell r="F234" t="str">
            <v>x</v>
          </cell>
          <cell r="G234" t="str">
            <v>Stella on and gk brands, target carlsberg and cider</v>
          </cell>
        </row>
        <row r="235">
          <cell r="B235" t="str">
            <v>SS16 5RZ</v>
          </cell>
          <cell r="C235" t="str">
            <v>8/27/2024 2:56:50 PM</v>
          </cell>
          <cell r="D235" t="str">
            <v>Kelly</v>
          </cell>
          <cell r="E235">
            <v>7814393407</v>
          </cell>
          <cell r="F235" t="str">
            <v>x</v>
          </cell>
          <cell r="G235" t="str">
            <v>axident chekc in, just was here last month and didnt get checkeed of top 80 list</v>
          </cell>
        </row>
        <row r="236">
          <cell r="B236" t="str">
            <v>SS15 5HG</v>
          </cell>
          <cell r="C236" t="str">
            <v>8/27/2024 2:12:18 PM</v>
          </cell>
          <cell r="D236" t="str">
            <v>jacqui</v>
          </cell>
          <cell r="E236">
            <v>0</v>
          </cell>
          <cell r="F236" t="str">
            <v>x</v>
          </cell>
          <cell r="G236" t="str">
            <v>allen is in hospital and ollie? is interim boss man.</v>
          </cell>
        </row>
        <row r="237">
          <cell r="B237" t="str">
            <v>RM16 3ER</v>
          </cell>
          <cell r="C237" t="str">
            <v>8/27/2024 1:23:32 PM</v>
          </cell>
          <cell r="D237" t="str">
            <v>Charlotte (DM) (Keighley ll)</v>
          </cell>
          <cell r="E237">
            <v>0</v>
          </cell>
          <cell r="F237">
            <v>0</v>
          </cell>
          <cell r="G237" t="str">
            <v>sent allen a getwell soon text.</v>
          </cell>
        </row>
        <row r="238">
          <cell r="B238" t="str">
            <v>RM20 4AR</v>
          </cell>
          <cell r="C238" t="str">
            <v>8/27/2024 12:59:05 PM</v>
          </cell>
          <cell r="D238" t="str">
            <v>Cheryl and mark (jacquie mom)</v>
          </cell>
          <cell r="E238">
            <v>0</v>
          </cell>
          <cell r="F238" t="str">
            <v>x</v>
          </cell>
        </row>
        <row r="239">
          <cell r="B239" t="str">
            <v>PE29 3NF</v>
          </cell>
          <cell r="C239" t="str">
            <v>8/23/2024 2:18:41 PM</v>
          </cell>
          <cell r="D239" t="str">
            <v>Crawford broke his ribs and went to the hospital. sent him a note for a later meet</v>
          </cell>
          <cell r="E239">
            <v>7768066615</v>
          </cell>
          <cell r="F239">
            <v>7708066615</v>
          </cell>
        </row>
        <row r="240">
          <cell r="B240" t="str">
            <v>PE29 2HA</v>
          </cell>
          <cell r="F240" t="str">
            <v>x</v>
          </cell>
          <cell r="G240" t="str">
            <v>volumes doing stead across the board... doesn't really switch up lest there us a dip. open to conversation in new year tho, a good chat</v>
          </cell>
        </row>
        <row r="241">
          <cell r="B241" t="str">
            <v>PE29 2HZ</v>
          </cell>
          <cell r="F241" t="str">
            <v>x</v>
          </cell>
          <cell r="G241" t="str">
            <v>sending bud felt runners</v>
          </cell>
        </row>
        <row r="242">
          <cell r="B242" t="str">
            <v>CM20 2NB</v>
          </cell>
          <cell r="D242" t="str">
            <v>Crawford also owns the legion down the road (not l&amp;t)</v>
          </cell>
          <cell r="F242" t="str">
            <v>x</v>
          </cell>
          <cell r="G242" t="str">
            <v>Claire is dm but dave will liase as the bar mngr</v>
          </cell>
        </row>
        <row r="243">
          <cell r="B243" t="str">
            <v>CM18 6EN</v>
          </cell>
          <cell r="D243" t="str">
            <v>bartender says they have hells and stout down there doing great. moving away from guiness. been in trade 20+ years. fairwarned me he's a grumpy Scott's man , bring chotskies</v>
          </cell>
          <cell r="F243" t="str">
            <v>x</v>
          </cell>
          <cell r="G243" t="str">
            <v>hells bud and san mig on</v>
          </cell>
        </row>
        <row r="244">
          <cell r="B244" t="str">
            <v>CM18 6PN</v>
          </cell>
          <cell r="C244" t="str">
            <v>8/23/2024 1:40:04 PM</v>
          </cell>
          <cell r="D244" t="str">
            <v>mark</v>
          </cell>
          <cell r="E244">
            <v>7512020813</v>
          </cell>
          <cell r="F244" t="str">
            <v>x</v>
          </cell>
          <cell r="G244" t="str">
            <v>happy with all</v>
          </cell>
        </row>
        <row r="245">
          <cell r="B245" t="str">
            <v>CM18 7PS</v>
          </cell>
          <cell r="C245" t="str">
            <v>8/23/2024 1:18:28 PM</v>
          </cell>
          <cell r="D245" t="str">
            <v>paul</v>
          </cell>
          <cell r="E245">
            <v>0</v>
          </cell>
          <cell r="F245" t="str">
            <v>x</v>
          </cell>
          <cell r="G245" t="str">
            <v>had pale om and icebreaker outdid it so replaced with hazy day.</v>
          </cell>
        </row>
        <row r="246">
          <cell r="B246" t="str">
            <v>CM6 1NT</v>
          </cell>
          <cell r="C246" t="str">
            <v>8/22/2024 2:21:26 PM</v>
          </cell>
          <cell r="D246" t="str">
            <v>rachel</v>
          </cell>
          <cell r="E246">
            <v>7837471313</v>
          </cell>
          <cell r="F246">
            <v>0</v>
          </cell>
          <cell r="G246" t="str">
            <v>emailing him and sdm for meet</v>
          </cell>
        </row>
        <row r="247">
          <cell r="B247" t="str">
            <v>SG7 6AL</v>
          </cell>
          <cell r="C247" t="str">
            <v>8/22/2024 2:08:42 PM</v>
          </cell>
          <cell r="D247" t="str">
            <v>andy and leanne</v>
          </cell>
          <cell r="E247">
            <v>0</v>
          </cell>
          <cell r="F247" t="str">
            <v>x</v>
          </cell>
        </row>
        <row r="248">
          <cell r="B248" t="str">
            <v>SG19 3JJ</v>
          </cell>
          <cell r="C248" t="str">
            <v>8/22/2024 1:48:42 PM</v>
          </cell>
          <cell r="D248" t="str">
            <v>Paula ( phone) and dave</v>
          </cell>
          <cell r="E248">
            <v>7805195954</v>
          </cell>
          <cell r="F248" t="str">
            <v>lornabarcock@hotmail.co.uk</v>
          </cell>
          <cell r="G248" t="str">
            <v>rugby club but also events is 50% of ££</v>
          </cell>
        </row>
        <row r="249">
          <cell r="B249" t="str">
            <v>SG18 0LS</v>
          </cell>
          <cell r="C249" t="str">
            <v>8/22/2024 1:25:45 PM</v>
          </cell>
          <cell r="D249" t="str">
            <v>charlotte</v>
          </cell>
          <cell r="E249">
            <v>7311966759</v>
          </cell>
          <cell r="F249" t="str">
            <v>x</v>
          </cell>
          <cell r="G249" t="str">
            <v>Holly not around. checking in om hells/pale. pb here with little taps. but city center Colchester. camden umbrellas not out this season it seems</v>
          </cell>
        </row>
        <row r="250">
          <cell r="B250" t="str">
            <v>SG19 1HA</v>
          </cell>
          <cell r="C250" t="str">
            <v>8/22/2024 12:43:43 PM</v>
          </cell>
          <cell r="D250" t="str">
            <v>John ll, courtney mngr</v>
          </cell>
          <cell r="E250">
            <v>7930371082</v>
          </cell>
          <cell r="F250" t="str">
            <v>x</v>
          </cell>
          <cell r="G250" t="str">
            <v>15grayalexander@gmail.com</v>
          </cell>
        </row>
        <row r="251">
          <cell r="B251" t="str">
            <v>PE19 2AP</v>
          </cell>
          <cell r="C251" t="str">
            <v>8/21/2024 4:19:35 PM</v>
          </cell>
          <cell r="D251" t="str">
            <v>yosseff</v>
          </cell>
          <cell r="E251">
            <v>7515354349</v>
          </cell>
          <cell r="F251" t="str">
            <v>x</v>
          </cell>
        </row>
        <row r="252">
          <cell r="B252" t="str">
            <v>PE19 2TX</v>
          </cell>
          <cell r="C252" t="str">
            <v>8/21/2024 3:38:19 PM</v>
          </cell>
          <cell r="D252" t="str">
            <v>Deryck and lorna</v>
          </cell>
          <cell r="E252">
            <v>0</v>
          </cell>
          <cell r="F252" t="str">
            <v>Franklin.37@hotmail.co.uk</v>
          </cell>
          <cell r="G252" t="str">
            <v>hells om and great seller.</v>
          </cell>
        </row>
        <row r="253">
          <cell r="B253" t="str">
            <v>NR30 4LU</v>
          </cell>
          <cell r="C253" t="str">
            <v>8/21/2024 2:23:15 PM</v>
          </cell>
          <cell r="D253" t="str">
            <v>Kate O'connoll</v>
          </cell>
          <cell r="E253">
            <v>7761392040</v>
          </cell>
          <cell r="F253" t="str">
            <v>x</v>
          </cell>
          <cell r="G253" t="str">
            <v>gk bought products are 50% agreed om the bar. they consider these core and wknt remove them.</v>
          </cell>
        </row>
        <row r="254">
          <cell r="B254" t="str">
            <v>NR32 3DQ</v>
          </cell>
          <cell r="C254" t="str">
            <v>8/21/2024 2:08:43 PM</v>
          </cell>
          <cell r="D254" t="str">
            <v>Barry and darraugh (rod mngr)</v>
          </cell>
          <cell r="E254">
            <v>0</v>
          </cell>
          <cell r="F254" t="str">
            <v>x</v>
          </cell>
          <cell r="G254" t="str">
            <v>the rest are guest lines and transition (including their own brands- brewery attached to pub)</v>
          </cell>
        </row>
        <row r="255">
          <cell r="B255" t="str">
            <v>NR32 4HP</v>
          </cell>
          <cell r="C255" t="str">
            <v>8/21/2024 1:25:22 PM</v>
          </cell>
          <cell r="D255" t="str">
            <v>adrian</v>
          </cell>
          <cell r="E255">
            <v>0</v>
          </cell>
          <cell r="F255" t="str">
            <v>x</v>
          </cell>
        </row>
        <row r="256">
          <cell r="B256" t="str">
            <v>NR33 9JT</v>
          </cell>
          <cell r="C256" t="str">
            <v>8/21/2024 1:01:14 PM</v>
          </cell>
          <cell r="D256" t="str">
            <v>Franklin</v>
          </cell>
          <cell r="E256">
            <v>0</v>
          </cell>
          <cell r="F256" t="str">
            <v>manager@theladyofthelakeob.co.uk</v>
          </cell>
          <cell r="G256" t="str">
            <v>open to put pale om next to hells</v>
          </cell>
        </row>
        <row r="257">
          <cell r="B257" t="str">
            <v>NR33 8QS</v>
          </cell>
          <cell r="C257" t="str">
            <v>8/20/2024 3:32:17 PM</v>
          </cell>
          <cell r="D257" t="str">
            <v>chris</v>
          </cell>
          <cell r="E257">
            <v>0</v>
          </cell>
          <cell r="F257" t="str">
            <v>x</v>
          </cell>
          <cell r="G257" t="str">
            <v>and keen for leffe. met alex and was told to email his boss and him. get something booked in</v>
          </cell>
        </row>
        <row r="258">
          <cell r="B258" t="str">
            <v>CB21 4DZ</v>
          </cell>
          <cell r="C258" t="str">
            <v>8/20/2024 2:45:32 PM</v>
          </cell>
          <cell r="D258" t="str">
            <v>Glenn and richie</v>
          </cell>
          <cell r="E258">
            <v>7881555287</v>
          </cell>
          <cell r="F258" t="str">
            <v>taylor-mary@sky.com</v>
          </cell>
          <cell r="G258" t="str">
            <v>kop burg ops I'm new year</v>
          </cell>
        </row>
        <row r="259">
          <cell r="B259" t="str">
            <v>CB21 4QF</v>
          </cell>
          <cell r="C259" t="str">
            <v>8/20/2024 2:02:52 PM</v>
          </cell>
          <cell r="D259" t="str">
            <v>carry and dionne</v>
          </cell>
          <cell r="E259">
            <v>7957769680</v>
          </cell>
          <cell r="F259" t="str">
            <v>x</v>
          </cell>
          <cell r="G259" t="str">
            <v>9 taps, likely one open and space for font.</v>
          </cell>
        </row>
        <row r="260">
          <cell r="B260" t="str">
            <v>CO10 8NY</v>
          </cell>
          <cell r="C260" t="str">
            <v>8/20/2024 1:13:26 PM</v>
          </cell>
          <cell r="D260" t="str">
            <v>steve</v>
          </cell>
          <cell r="E260">
            <v>1502464008</v>
          </cell>
          <cell r="F260" t="str">
            <v>x</v>
          </cell>
          <cell r="G260" t="str">
            <v>robs here but busy. got email to sort proper time</v>
          </cell>
        </row>
        <row r="261">
          <cell r="B261" t="str">
            <v>CO10 9JQ</v>
          </cell>
          <cell r="C261" t="str">
            <v>8/20/2024 12:48:15 PM</v>
          </cell>
          <cell r="D261" t="str">
            <v>chris</v>
          </cell>
          <cell r="E261">
            <v>0</v>
          </cell>
          <cell r="F261" t="str">
            <v>info@longnelfordswan.co.uk</v>
          </cell>
          <cell r="G261" t="str">
            <v>tony out at end of Jan</v>
          </cell>
        </row>
        <row r="262">
          <cell r="B262" t="str">
            <v>IP28 8LB</v>
          </cell>
          <cell r="C262" t="str">
            <v>8/19/2024 3:43:35 PM</v>
          </cell>
          <cell r="D262" t="str">
            <v>Phil Cole</v>
          </cell>
          <cell r="E262">
            <v>0</v>
          </cell>
          <cell r="F262" t="str">
            <v>x</v>
          </cell>
          <cell r="G262" t="str">
            <v>new owner is the guy he rents it from.</v>
          </cell>
        </row>
        <row r="263">
          <cell r="B263" t="str">
            <v>IP24 1AH</v>
          </cell>
          <cell r="C263" t="str">
            <v>8/19/2024 3:01:05 PM</v>
          </cell>
          <cell r="D263" t="str">
            <v>emily</v>
          </cell>
          <cell r="E263">
            <v>0</v>
          </cell>
          <cell r="F263" t="str">
            <v>x</v>
          </cell>
          <cell r="G263" t="str">
            <v>Stella has had a happy boost since abv went down.</v>
          </cell>
        </row>
        <row r="264">
          <cell r="B264" t="str">
            <v>IP28 7EA</v>
          </cell>
          <cell r="C264" t="str">
            <v>8/19/2024 2:22:09 PM</v>
          </cell>
          <cell r="D264" t="str">
            <v>nick</v>
          </cell>
          <cell r="E264">
            <v>7536025211</v>
          </cell>
          <cell r="F264" t="str">
            <v>x</v>
          </cell>
          <cell r="G264" t="str">
            <v>says come back mid Feb</v>
          </cell>
        </row>
        <row r="265">
          <cell r="B265" t="str">
            <v>IP6 0AR</v>
          </cell>
          <cell r="C265" t="str">
            <v>8/19/2024 12:16:24 PM</v>
          </cell>
          <cell r="D265" t="str">
            <v>Ashley and gary (sarah mngr)</v>
          </cell>
          <cell r="E265">
            <v>796930726</v>
          </cell>
          <cell r="F265" t="str">
            <v>x</v>
          </cell>
          <cell r="G265" t="str">
            <v>texting niki,sdm to help protect stella/add on new</v>
          </cell>
        </row>
        <row r="266">
          <cell r="B266" t="str">
            <v>IP5 1AA</v>
          </cell>
          <cell r="C266" t="str">
            <v>8/16/2024 4:02:04 PM</v>
          </cell>
          <cell r="D266" t="str">
            <v>casey and corrine</v>
          </cell>
          <cell r="E266">
            <v>0</v>
          </cell>
          <cell r="F266" t="str">
            <v>x</v>
          </cell>
          <cell r="G266" t="str">
            <v>rene is doing s training and can't do much of a talk, got his contact info and will chat about bar after xmas</v>
          </cell>
        </row>
        <row r="267">
          <cell r="B267" t="str">
            <v>IP3 0PQ</v>
          </cell>
          <cell r="C267" t="str">
            <v>8/16/2024 3:00:40 PM</v>
          </cell>
          <cell r="D267" t="str">
            <v>Trevor</v>
          </cell>
          <cell r="E267">
            <v>7747625874</v>
          </cell>
          <cell r="F267" t="str">
            <v>x</v>
          </cell>
          <cell r="G267" t="str">
            <v>Stella on for q year and very happy.</v>
          </cell>
        </row>
        <row r="268">
          <cell r="B268" t="str">
            <v>IP4 5ND</v>
          </cell>
          <cell r="C268" t="str">
            <v>8/16/2024 12:46:30 PM</v>
          </cell>
          <cell r="D268" t="str">
            <v>Kim and mike</v>
          </cell>
          <cell r="E268">
            <v>0</v>
          </cell>
          <cell r="F268" t="str">
            <v>x</v>
          </cell>
          <cell r="G268" t="str">
            <v>san mi losing vol to cruz camp but never coming off. as out of season trailer owners drink this.</v>
          </cell>
        </row>
        <row r="269">
          <cell r="B269" t="str">
            <v>IP4 4NX</v>
          </cell>
          <cell r="C269" t="str">
            <v>8/15/2024 3:39:53 PM</v>
          </cell>
          <cell r="D269" t="str">
            <v>rachel</v>
          </cell>
          <cell r="E269">
            <v>1473832547</v>
          </cell>
          <cell r="F269" t="str">
            <v>x</v>
          </cell>
          <cell r="G269" t="str">
            <v>season opens may, reminder late march to set apt for corona/vamden ops</v>
          </cell>
        </row>
        <row r="270">
          <cell r="B270" t="str">
            <v>PE9 1AL</v>
          </cell>
          <cell r="C270" t="str">
            <v>8/15/2024 2:35:35 PM</v>
          </cell>
          <cell r="D270" t="str">
            <v>sam and deb</v>
          </cell>
          <cell r="E270">
            <v>0</v>
          </cell>
          <cell r="F270" t="str">
            <v>x</v>
          </cell>
          <cell r="G270" t="str">
            <v>kishor not in</v>
          </cell>
        </row>
        <row r="271">
          <cell r="B271" t="str">
            <v>PE9 2SX</v>
          </cell>
          <cell r="C271" t="str">
            <v>8/15/2024 1:56:46 PM</v>
          </cell>
          <cell r="D271" t="str">
            <v>shona</v>
          </cell>
          <cell r="E271">
            <v>0</v>
          </cell>
          <cell r="F271" t="str">
            <v>x</v>
          </cell>
          <cell r="G271" t="str">
            <v>Lorraine isn't comfy passing his email</v>
          </cell>
        </row>
        <row r="272">
          <cell r="B272" t="str">
            <v>CB8 8HF</v>
          </cell>
          <cell r="C272" t="str">
            <v>8/15/2024 1:30:44 PM</v>
          </cell>
          <cell r="D272" t="str">
            <v>nicolle</v>
          </cell>
          <cell r="E272">
            <v>7756747766</v>
          </cell>
          <cell r="F272" t="str">
            <v>x</v>
          </cell>
          <cell r="G272" t="str">
            <v>passed mine</v>
          </cell>
        </row>
        <row r="273">
          <cell r="B273" t="str">
            <v>CO9 4HY</v>
          </cell>
          <cell r="C273" t="str">
            <v>8/15/2024 12:52:32 PM</v>
          </cell>
          <cell r="D273" t="str">
            <v>Greig and rosie</v>
          </cell>
          <cell r="E273">
            <v>7378472427</v>
          </cell>
          <cell r="F273" t="str">
            <v>x</v>
          </cell>
          <cell r="G273" t="str">
            <v>has lots of opportunities location and venue wise... but trash everywhere and boozer led</v>
          </cell>
        </row>
        <row r="274">
          <cell r="B274" t="str">
            <v>CO9 3EX</v>
          </cell>
          <cell r="C274" t="str">
            <v>8/14/2024 3:26:42 PM</v>
          </cell>
          <cell r="D274" t="str">
            <v>liam and pat</v>
          </cell>
          <cell r="E274">
            <v>0</v>
          </cell>
          <cell r="F274" t="str">
            <v>x</v>
          </cell>
          <cell r="G274" t="str">
            <v>boooooozer. hasn't swapped beers in a log time. says they are of a certain aged clientel and don't want all that craft</v>
          </cell>
        </row>
        <row r="275">
          <cell r="B275" t="str">
            <v>CM3 1NR</v>
          </cell>
          <cell r="C275" t="str">
            <v>8/14/2024 12:32:12 PM</v>
          </cell>
          <cell r="D275" t="str">
            <v>chris</v>
          </cell>
          <cell r="E275">
            <v>0</v>
          </cell>
          <cell r="F275" t="str">
            <v>x</v>
          </cell>
          <cell r="G275" t="str">
            <v>Stella top vol</v>
          </cell>
        </row>
        <row r="276">
          <cell r="B276" t="str">
            <v>CM7 9ER</v>
          </cell>
          <cell r="C276" t="str">
            <v>8/13/2024 4:22:26 PM</v>
          </cell>
          <cell r="D276" t="str">
            <v>ginny</v>
          </cell>
          <cell r="E276">
            <v>0</v>
          </cell>
          <cell r="F276" t="str">
            <v>braintreeeagle@gmail.com</v>
          </cell>
          <cell r="G276" t="str">
            <v>bud does fine, carlsberg beets it at 20p cheaper</v>
          </cell>
        </row>
        <row r="277">
          <cell r="B277" t="str">
            <v>CM7 1UL</v>
          </cell>
          <cell r="C277">
            <v>45634.643738425926</v>
          </cell>
          <cell r="D277" t="str">
            <v>kevin</v>
          </cell>
          <cell r="E277">
            <v>0</v>
          </cell>
          <cell r="F277" t="str">
            <v>x</v>
          </cell>
          <cell r="G277" t="str">
            <v>little ops for +1</v>
          </cell>
        </row>
        <row r="278">
          <cell r="B278" t="str">
            <v>PE4 6QE</v>
          </cell>
          <cell r="C278">
            <v>45634.642881944441</v>
          </cell>
          <cell r="D278" t="str">
            <v>martin</v>
          </cell>
          <cell r="E278">
            <v>0</v>
          </cell>
          <cell r="F278" t="str">
            <v>x</v>
          </cell>
          <cell r="G278" t="str">
            <v>call on Friday after llam</v>
          </cell>
        </row>
        <row r="279">
          <cell r="B279" t="str">
            <v>PE6 8EA</v>
          </cell>
          <cell r="C279">
            <v>45634.607199074075</v>
          </cell>
          <cell r="D279" t="str">
            <v>bob</v>
          </cell>
          <cell r="E279" t="str">
            <v>07983 801960</v>
          </cell>
          <cell r="F279" t="str">
            <v>x</v>
          </cell>
        </row>
        <row r="280">
          <cell r="B280" t="str">
            <v>PE6 8EA</v>
          </cell>
          <cell r="C280">
            <v>45634.584444444445</v>
          </cell>
          <cell r="D280" t="str">
            <v>jaqui mngr</v>
          </cell>
          <cell r="E280">
            <v>0</v>
          </cell>
          <cell r="F280" t="str">
            <v>x</v>
          </cell>
          <cell r="G280" t="str">
            <v>Kelly passed name and time</v>
          </cell>
        </row>
        <row r="281">
          <cell r="B281" t="str">
            <v>CO1 1UW</v>
          </cell>
          <cell r="C281">
            <v>45634.533773148149</v>
          </cell>
          <cell r="D281" t="str">
            <v>cameron</v>
          </cell>
          <cell r="E281">
            <v>7341972656</v>
          </cell>
          <cell r="F281" t="str">
            <v>i</v>
          </cell>
          <cell r="G281" t="str">
            <v>local boozer, big spot, not 100% on craft</v>
          </cell>
        </row>
        <row r="282">
          <cell r="B282" t="str">
            <v>CO1 2JQ</v>
          </cell>
          <cell r="C282">
            <v>45512.595451388886</v>
          </cell>
          <cell r="D282" t="str">
            <v>simone</v>
          </cell>
          <cell r="E282">
            <v>0</v>
          </cell>
          <cell r="F282" t="str">
            <v>x</v>
          </cell>
          <cell r="G282" t="str">
            <v>double carlsberg taps, and 9 badges, theoretically 2 open taps</v>
          </cell>
        </row>
        <row r="283">
          <cell r="B283" t="str">
            <v>CO2 8LY</v>
          </cell>
          <cell r="C283">
            <v>45512.533171296294</v>
          </cell>
          <cell r="D283" t="str">
            <v>Micheal mngr , allen ll</v>
          </cell>
          <cell r="E283">
            <v>7484337146</v>
          </cell>
          <cell r="F283" t="str">
            <v>on rfw tbd</v>
          </cell>
          <cell r="G283" t="str">
            <v>spokenwith Shawn this time. still on about no Stella and unf both, shared they actually boost eachother 15%</v>
          </cell>
        </row>
        <row r="284">
          <cell r="B284" t="str">
            <v>CO2 9EG</v>
          </cell>
          <cell r="C284">
            <v>45512.485972222225</v>
          </cell>
          <cell r="D284" t="str">
            <v>allen ll, harry mngr</v>
          </cell>
          <cell r="E284">
            <v>0</v>
          </cell>
          <cell r="F284" t="str">
            <v>x</v>
          </cell>
          <cell r="G284" t="str">
            <v>I don't see him going forward tho.</v>
          </cell>
        </row>
        <row r="285">
          <cell r="B285" t="str">
            <v>NR16 2AD</v>
          </cell>
          <cell r="C285">
            <v>45330.713148148148</v>
          </cell>
          <cell r="D285" t="str">
            <v>holly</v>
          </cell>
          <cell r="E285">
            <v>0</v>
          </cell>
          <cell r="F285" t="str">
            <v>x</v>
          </cell>
        </row>
        <row r="286">
          <cell r="B286" t="str">
            <v>NR14 7NB</v>
          </cell>
          <cell r="C286">
            <v>45330.648101851853</v>
          </cell>
          <cell r="D286" t="str">
            <v>jim</v>
          </cell>
          <cell r="E286">
            <v>0</v>
          </cell>
          <cell r="F286" t="str">
            <v>x</v>
          </cell>
        </row>
        <row r="287">
          <cell r="B287" t="str">
            <v>NR9 3DD</v>
          </cell>
          <cell r="C287">
            <v>45330.625347222223</v>
          </cell>
          <cell r="D287" t="str">
            <v>pete</v>
          </cell>
          <cell r="E287">
            <v>0</v>
          </cell>
          <cell r="F287" t="str">
            <v>x</v>
          </cell>
          <cell r="G287" t="str">
            <v>Stella number 4 volume. send Shawn a note for support?</v>
          </cell>
        </row>
        <row r="288">
          <cell r="B288" t="str">
            <v>IP31 3LP</v>
          </cell>
          <cell r="C288">
            <v>45330.612291666665</v>
          </cell>
          <cell r="D288" t="str">
            <v>Charlie ll, Kelly mngr</v>
          </cell>
          <cell r="E288">
            <v>0</v>
          </cell>
          <cell r="F288" t="str">
            <v>x</v>
          </cell>
          <cell r="G288" t="str">
            <v>Lawrence curious about unfiltered but aware he can't do both Stella and unfiltered wouldn't do well where he is. gave him a sample any how. carslberg cheapest option. is best sales . little ops</v>
          </cell>
        </row>
        <row r="289">
          <cell r="B289" t="str">
            <v>IP30 9HD</v>
          </cell>
          <cell r="C289">
            <v>45299.653020833335</v>
          </cell>
          <cell r="D289" t="str">
            <v>david</v>
          </cell>
          <cell r="E289">
            <v>0</v>
          </cell>
          <cell r="F289" t="str">
            <v>jimmyuddin6@gmail.com</v>
          </cell>
        </row>
        <row r="290">
          <cell r="B290" t="str">
            <v>CM2 0DN</v>
          </cell>
          <cell r="C290">
            <v>45299.596192129633</v>
          </cell>
          <cell r="D290" t="str">
            <v>shilu</v>
          </cell>
          <cell r="E290">
            <v>7786735726</v>
          </cell>
          <cell r="F290" t="str">
            <v>x</v>
          </cell>
        </row>
        <row r="291">
          <cell r="B291" t="str">
            <v>CM2 0HG</v>
          </cell>
          <cell r="C291">
            <v>45299.501539351855</v>
          </cell>
          <cell r="D291" t="str">
            <v>michael</v>
          </cell>
          <cell r="E291">
            <v>0</v>
          </cell>
          <cell r="F291" t="str">
            <v>x</v>
          </cell>
          <cell r="G291" t="str">
            <v>cruzcampo 4.90</v>
          </cell>
        </row>
        <row r="292">
          <cell r="B292" t="str">
            <v>CM1 2QJ</v>
          </cell>
          <cell r="C292" t="str">
            <v>7/26/2024 2:25:48 PM</v>
          </cell>
          <cell r="D292" t="str">
            <v>Justin (dm)</v>
          </cell>
          <cell r="E292">
            <v>0</v>
          </cell>
          <cell r="F292" t="str">
            <v>x</v>
          </cell>
          <cell r="G292" t="str">
            <v xml:space="preserve"> half barrel- desperately wants to swap it but it's on cost!</v>
          </cell>
        </row>
        <row r="293">
          <cell r="B293" t="str">
            <v>CO14 8AP</v>
          </cell>
          <cell r="C293" t="str">
            <v>7/26/2024 1:37:25 PM</v>
          </cell>
          <cell r="D293" t="str">
            <v>jimmy</v>
          </cell>
          <cell r="E293">
            <v>0</v>
          </cell>
          <cell r="F293" t="str">
            <v>x</v>
          </cell>
          <cell r="G293" t="str">
            <v>Camden- corona ? too premium?</v>
          </cell>
        </row>
        <row r="294">
          <cell r="B294" t="str">
            <v>CO14 8AD</v>
          </cell>
          <cell r="C294" t="str">
            <v>7/25/2024 1:42:08 PM</v>
          </cell>
          <cell r="D294" t="str">
            <v>x</v>
          </cell>
          <cell r="E294">
            <v>0</v>
          </cell>
          <cell r="F294" t="str">
            <v>x</v>
          </cell>
          <cell r="G294" t="str">
            <v>magners not doing so well- how to support?</v>
          </cell>
        </row>
        <row r="295">
          <cell r="B295" t="str">
            <v>CO13 0AZ</v>
          </cell>
          <cell r="C295" t="str">
            <v>7/25/2024 1:29:13 PM</v>
          </cell>
          <cell r="D295" t="str">
            <v>jim</v>
          </cell>
          <cell r="E295">
            <v>7396055967</v>
          </cell>
          <cell r="F295" t="str">
            <v>x</v>
          </cell>
          <cell r="G295" t="str">
            <v>neck oil 5.30</v>
          </cell>
        </row>
        <row r="296">
          <cell r="B296" t="str">
            <v>NR30 2AJ</v>
          </cell>
          <cell r="C296" t="str">
            <v>7/25/2024 12:22:50 PM</v>
          </cell>
          <cell r="D296" t="str">
            <v>steve</v>
          </cell>
          <cell r="E296">
            <v>0</v>
          </cell>
          <cell r="F296" t="str">
            <v>x</v>
          </cell>
        </row>
        <row r="297">
          <cell r="B297" t="str">
            <v>NR30 5HA</v>
          </cell>
          <cell r="C297" t="str">
            <v>7/24/2024 2:39:37 PM</v>
          </cell>
          <cell r="D297" t="str">
            <v>Hailey</v>
          </cell>
          <cell r="E297">
            <v>7985189616</v>
          </cell>
          <cell r="F297" t="str">
            <v>x</v>
          </cell>
          <cell r="G297" t="str">
            <v>Shawn lease holder-07488272883</v>
          </cell>
        </row>
        <row r="298">
          <cell r="B298" t="str">
            <v>NR30 4LU</v>
          </cell>
          <cell r="C298" t="str">
            <v>7/24/2024 1:33:50 PM</v>
          </cell>
          <cell r="D298" t="str">
            <v>jane</v>
          </cell>
          <cell r="E298">
            <v>0</v>
          </cell>
          <cell r="F298" t="str">
            <v>x</v>
          </cell>
          <cell r="G298" t="str">
            <v>trevor not in today.</v>
          </cell>
        </row>
        <row r="299">
          <cell r="B299" t="str">
            <v>NR30 5AQ</v>
          </cell>
          <cell r="C299" t="str">
            <v>7/24/2024 1:10:43 PM</v>
          </cell>
          <cell r="D299" t="str">
            <v>louise</v>
          </cell>
          <cell r="E299">
            <v>0</v>
          </cell>
          <cell r="F299" t="str">
            <v>x</v>
          </cell>
          <cell r="G299" t="str">
            <v>stout would do good near the airbase... but its q boozer pub. sent a note that i stopped by</v>
          </cell>
        </row>
        <row r="300">
          <cell r="B300" t="str">
            <v>PE20 1JE</v>
          </cell>
          <cell r="C300" t="str">
            <v>7/23/2024 2:58:36 PM</v>
          </cell>
          <cell r="D300" t="str">
            <v>Trevor and Allison</v>
          </cell>
          <cell r="E300">
            <v>0</v>
          </cell>
          <cell r="F300" t="str">
            <v>antonyluto@bt.com</v>
          </cell>
        </row>
        <row r="301">
          <cell r="B301" t="str">
            <v>PE21 7JE</v>
          </cell>
          <cell r="C301" t="str">
            <v>7/23/2024 1:50:02 PM</v>
          </cell>
          <cell r="D301" t="str">
            <v>colin</v>
          </cell>
          <cell r="E301">
            <v>0</v>
          </cell>
          <cell r="F301" t="str">
            <v>x</v>
          </cell>
          <cell r="G301" t="str">
            <v>all good on stella.</v>
          </cell>
        </row>
        <row r="302">
          <cell r="B302" t="str">
            <v>PE21 6NP</v>
          </cell>
          <cell r="C302" t="str">
            <v>7/23/2024 1:34:50 PM</v>
          </cell>
          <cell r="D302" t="str">
            <v>chris</v>
          </cell>
          <cell r="E302">
            <v>0</v>
          </cell>
          <cell r="F302" t="str">
            <v>x</v>
          </cell>
          <cell r="G302" t="str">
            <v>punch only other listed is stout and would do here.</v>
          </cell>
        </row>
        <row r="303">
          <cell r="B303" t="str">
            <v>CM23 2EU</v>
          </cell>
          <cell r="C303" t="str">
            <v>7/23/2024 1:00:24 PM</v>
          </cell>
          <cell r="D303" t="str">
            <v>julia</v>
          </cell>
          <cell r="E303">
            <v>0</v>
          </cell>
          <cell r="F303" t="str">
            <v>x</v>
          </cell>
          <cell r="G303" t="str">
            <v>sending coasters</v>
          </cell>
        </row>
        <row r="304">
          <cell r="B304" t="str">
            <v>CM1 2QJ</v>
          </cell>
          <cell r="C304" t="str">
            <v>7/22/2024 2:46:31 PM</v>
          </cell>
          <cell r="D304" t="str">
            <v>Antony (dianne mngr)</v>
          </cell>
          <cell r="E304">
            <v>0</v>
          </cell>
          <cell r="F304" t="str">
            <v>x</v>
          </cell>
        </row>
        <row r="305">
          <cell r="B305" t="str">
            <v>SG12 7PD</v>
          </cell>
          <cell r="C305" t="str">
            <v>7/22/2024 2:15:25 PM</v>
          </cell>
          <cell r="D305" t="str">
            <v>gemma</v>
          </cell>
          <cell r="E305">
            <v>0</v>
          </cell>
          <cell r="F305" t="str">
            <v>x</v>
          </cell>
          <cell r="G305" t="str">
            <v>Stella on tap, top sell next to carling #1</v>
          </cell>
        </row>
        <row r="306">
          <cell r="B306" t="str">
            <v>SG6 3AN</v>
          </cell>
          <cell r="C306" t="str">
            <v>7/22/2024 1:48:26 PM</v>
          </cell>
          <cell r="D306" t="str">
            <v>Anthony and Julia (Allison manger)</v>
          </cell>
          <cell r="E306">
            <v>0</v>
          </cell>
          <cell r="F306" t="str">
            <v>x</v>
          </cell>
        </row>
        <row r="307">
          <cell r="B307" t="str">
            <v>SG8 9AW</v>
          </cell>
          <cell r="C307" t="str">
            <v>7/19/2024 1:40:45 PM</v>
          </cell>
          <cell r="D307" t="str">
            <v>Francis and Tracy mngr</v>
          </cell>
          <cell r="E307">
            <v>0</v>
          </cell>
          <cell r="F307" t="str">
            <v>theoldbullinn.royston@gmail.com</v>
          </cell>
          <cell r="G307" t="str">
            <v>recently swapped estrella for Morretti (open to change)</v>
          </cell>
        </row>
        <row r="308">
          <cell r="B308" t="str">
            <v>CB7 5HD</v>
          </cell>
          <cell r="C308" t="str">
            <v>7/19/2024 12:48:29 PM</v>
          </cell>
          <cell r="D308" t="str">
            <v>david</v>
          </cell>
          <cell r="E308">
            <v>0</v>
          </cell>
          <cell r="F308" t="str">
            <v>emailed history</v>
          </cell>
        </row>
        <row r="309">
          <cell r="B309" t="str">
            <v>CB25 0BA</v>
          </cell>
          <cell r="C309" t="str">
            <v>7/19/2024 10:14:23 AM</v>
          </cell>
          <cell r="D309" t="str">
            <v>kristian and nikki</v>
          </cell>
          <cell r="E309">
            <v>0</v>
          </cell>
          <cell r="F309" t="str">
            <v>x</v>
          </cell>
          <cell r="G309" t="str">
            <v>Charlie ashwell left- got new BDM info</v>
          </cell>
        </row>
        <row r="310">
          <cell r="B310" t="str">
            <v>CB6 3AY</v>
          </cell>
          <cell r="C310" t="str">
            <v>7/18/2024 1:36:53 PM</v>
          </cell>
          <cell r="D310" t="str">
            <v>x</v>
          </cell>
          <cell r="E310">
            <v>0</v>
          </cell>
          <cell r="F310" t="str">
            <v>x</v>
          </cell>
          <cell r="G310" t="str">
            <v>Mark Neild (new to patch, not punch)</v>
          </cell>
        </row>
        <row r="311">
          <cell r="B311" t="str">
            <v>SG1 4LJ</v>
          </cell>
          <cell r="C311" t="str">
            <v>7/18/2024 10:45:34 AM</v>
          </cell>
          <cell r="D311" t="str">
            <v>ben Jones- bar mngr, Sean mngr</v>
          </cell>
          <cell r="E311">
            <v>1763242003</v>
          </cell>
          <cell r="F311" t="str">
            <v>x</v>
          </cell>
          <cell r="G311">
            <v>7500815362</v>
          </cell>
        </row>
        <row r="312">
          <cell r="B312" t="str">
            <v>SG1 3DW</v>
          </cell>
          <cell r="C312" t="str">
            <v>7/17/2024 4:45:49 PM</v>
          </cell>
          <cell r="D312" t="str">
            <v>Allison and molly</v>
          </cell>
          <cell r="E312">
            <v>0</v>
          </cell>
          <cell r="F312" t="str">
            <v>x</v>
          </cell>
        </row>
        <row r="313">
          <cell r="B313" t="str">
            <v>SG1 1PF</v>
          </cell>
          <cell r="C313" t="str">
            <v>7/17/2024 2:11:25 PM</v>
          </cell>
          <cell r="D313" t="str">
            <v>Joe (mngr) John (ll)</v>
          </cell>
          <cell r="E313">
            <v>0</v>
          </cell>
          <cell r="F313" t="str">
            <v>x</v>
          </cell>
          <cell r="G313" t="str">
            <v>Trevor the lease holder just met Mark a couple weeks ago- got Trevor number too</v>
          </cell>
        </row>
        <row r="314">
          <cell r="B314" t="str">
            <v>SG2 9QH</v>
          </cell>
          <cell r="C314" t="str">
            <v>7/17/2024 12:19:55 PM</v>
          </cell>
          <cell r="D314" t="str">
            <v>daz</v>
          </cell>
          <cell r="E314">
            <v>0</v>
          </cell>
          <cell r="F314" t="str">
            <v>x</v>
          </cell>
        </row>
        <row r="315">
          <cell r="B315" t="str">
            <v>CO10 1RF</v>
          </cell>
          <cell r="C315" t="str">
            <v>7/15/2024 2:39:02 PM</v>
          </cell>
          <cell r="D315" t="str">
            <v>paula</v>
          </cell>
          <cell r="E315">
            <v>0</v>
          </cell>
          <cell r="F315" t="str">
            <v>thenewwhitehorse@gmail.com</v>
          </cell>
        </row>
        <row r="316">
          <cell r="B316" t="str">
            <v>CO10 2EA</v>
          </cell>
          <cell r="C316" t="str">
            <v>7/15/2024 2:06:57 PM</v>
          </cell>
          <cell r="D316" t="str">
            <v>stephen</v>
          </cell>
          <cell r="E316">
            <v>7399442007</v>
          </cell>
          <cell r="F316" t="str">
            <v>x</v>
          </cell>
          <cell r="G316" t="str">
            <v>requested POS Stella half and tall pint, Coasters and pvc bar runners</v>
          </cell>
        </row>
        <row r="317">
          <cell r="B317" t="str">
            <v>CO10 1RE</v>
          </cell>
          <cell r="C317" t="str">
            <v>7/15/2024 1:42:37 PM</v>
          </cell>
          <cell r="D317" t="str">
            <v>x</v>
          </cell>
          <cell r="E317">
            <v>0</v>
          </cell>
          <cell r="F317" t="str">
            <v>x</v>
          </cell>
          <cell r="G317" t="str">
            <v>nite to nudge rob brown. gk owes then £</v>
          </cell>
        </row>
        <row r="318">
          <cell r="B318" t="str">
            <v>CO10 2RZ</v>
          </cell>
          <cell r="C318" t="str">
            <v>7/15/2024 1:15:55 PM</v>
          </cell>
          <cell r="D318" t="str">
            <v>jason</v>
          </cell>
          <cell r="E318">
            <v>0</v>
          </cell>
          <cell r="F318" t="str">
            <v>x</v>
          </cell>
          <cell r="G318" t="str">
            <v>moving from gk to calsverg rtm... cheaper and not ignored.</v>
          </cell>
        </row>
        <row r="319">
          <cell r="B319" t="str">
            <v>NR3 1HF</v>
          </cell>
          <cell r="C319">
            <v>45542.588159722225</v>
          </cell>
          <cell r="D319" t="str">
            <v>ashley</v>
          </cell>
          <cell r="E319">
            <v>7969306726</v>
          </cell>
          <cell r="F319" t="str">
            <v>x</v>
          </cell>
          <cell r="G319" t="str">
            <v>san mig and stella staying but idk rtm.</v>
          </cell>
        </row>
        <row r="320">
          <cell r="B320" t="str">
            <v>NR2 1NG</v>
          </cell>
          <cell r="C320">
            <v>45542.587268518517</v>
          </cell>
          <cell r="D320" t="str">
            <v>carl</v>
          </cell>
          <cell r="E320">
            <v>7531640333</v>
          </cell>
          <cell r="F320" t="str">
            <v>x</v>
          </cell>
          <cell r="G320" t="str">
            <v>huw doesn't want me to tell them they are switching</v>
          </cell>
        </row>
        <row r="321">
          <cell r="B321" t="str">
            <v>NR7 0DR</v>
          </cell>
          <cell r="C321">
            <v>45542.572638888887</v>
          </cell>
          <cell r="D321" t="str">
            <v>Lauren and jon</v>
          </cell>
          <cell r="E321">
            <v>0</v>
          </cell>
          <cell r="F321" t="str">
            <v>x</v>
          </cell>
          <cell r="G321" t="str">
            <v>three brands on, great volumes. neil is the sdm here, met to talk about retro for their upcoming tender in feb.</v>
          </cell>
        </row>
        <row r="322">
          <cell r="B322" t="str">
            <v>NR5 9HA</v>
          </cell>
          <cell r="C322">
            <v>45542.547083333331</v>
          </cell>
          <cell r="D322" t="str">
            <v>jay</v>
          </cell>
          <cell r="E322">
            <v>0</v>
          </cell>
          <cell r="F322" t="str">
            <v>norkiebowthorpe@gmail.com</v>
          </cell>
          <cell r="G322" t="str">
            <v>used to be owned by griff, down the road at dog &amp; Duck.</v>
          </cell>
        </row>
        <row r="323">
          <cell r="B323" t="str">
            <v>IP13 9AP</v>
          </cell>
          <cell r="C323">
            <v>45511.649155092593</v>
          </cell>
          <cell r="D323" t="str">
            <v>rachel</v>
          </cell>
          <cell r="E323">
            <v>0</v>
          </cell>
          <cell r="F323" t="str">
            <v>x</v>
          </cell>
          <cell r="G323" t="str">
            <v>no longer but staff aren't comfy sharing email for new owner. left my card</v>
          </cell>
        </row>
        <row r="324">
          <cell r="B324" t="str">
            <v>CM23 2LD</v>
          </cell>
          <cell r="C324">
            <v>45511.647581018522</v>
          </cell>
          <cell r="D324" t="str">
            <v>rachel</v>
          </cell>
          <cell r="E324">
            <v>0</v>
          </cell>
          <cell r="F324" t="str">
            <v>x</v>
          </cell>
          <cell r="G324" t="str">
            <v>adam no show today for apt</v>
          </cell>
        </row>
        <row r="325">
          <cell r="B325" t="str">
            <v>CM11 1HS</v>
          </cell>
          <cell r="C325">
            <v>45511.563113425924</v>
          </cell>
          <cell r="D325" t="str">
            <v>scott</v>
          </cell>
          <cell r="E325">
            <v>0</v>
          </cell>
          <cell r="F325" t="str">
            <v>weblia@hotmail.com</v>
          </cell>
          <cell r="G325" t="str">
            <v>chatted with his wife mell, who came down after I rang</v>
          </cell>
        </row>
        <row r="326">
          <cell r="B326" t="str">
            <v>CB4 1HB</v>
          </cell>
          <cell r="C326">
            <v>45511.515717592592</v>
          </cell>
          <cell r="D326" t="str">
            <v>deonne mngr , steve new ll</v>
          </cell>
          <cell r="E326">
            <v>0</v>
          </cell>
          <cell r="F326" t="str">
            <v>x</v>
          </cell>
          <cell r="G326" t="str">
            <v>sending tnt and camden infor for 2 unused taps</v>
          </cell>
        </row>
        <row r="327">
          <cell r="B327" t="str">
            <v>PE9 2PA</v>
          </cell>
          <cell r="C327">
            <v>45358.54010416667</v>
          </cell>
          <cell r="D327" t="str">
            <v>chris</v>
          </cell>
          <cell r="E327">
            <v>0</v>
          </cell>
          <cell r="F327" t="str">
            <v>x</v>
          </cell>
        </row>
        <row r="328">
          <cell r="B328" t="str">
            <v>CM9 8AS</v>
          </cell>
          <cell r="C328">
            <v>45329.621840277781</v>
          </cell>
          <cell r="D328" t="str">
            <v>Johnny and ben</v>
          </cell>
          <cell r="E328">
            <v>0</v>
          </cell>
          <cell r="F328" t="str">
            <v>x</v>
          </cell>
        </row>
        <row r="329">
          <cell r="B329" t="str">
            <v>IP28 6LA</v>
          </cell>
          <cell r="C329" t="str">
            <v>6/28/2024 2:51:19 PM</v>
          </cell>
          <cell r="D329" t="str">
            <v>lianne webber (britanniastylelimited)</v>
          </cell>
          <cell r="E329">
            <v>1268711875</v>
          </cell>
          <cell r="F329" t="str">
            <v>x</v>
          </cell>
          <cell r="G329" t="str">
            <v>buys worthingtons and 1 other from lacons, rest is gk ift</v>
          </cell>
        </row>
        <row r="330">
          <cell r="B330" t="str">
            <v>IP33 1QD</v>
          </cell>
          <cell r="C330" t="str">
            <v>6/28/2024 1:29:16 PM</v>
          </cell>
          <cell r="D330" t="str">
            <v>emailed again</v>
          </cell>
          <cell r="E330">
            <v>0</v>
          </cell>
          <cell r="F330" t="str">
            <v>x</v>
          </cell>
          <cell r="G330" t="str">
            <v>works with the other local pubs to be different</v>
          </cell>
        </row>
        <row r="331">
          <cell r="B331" t="str">
            <v>IP33 3AA</v>
          </cell>
          <cell r="C331" t="str">
            <v>6/28/2024 10:50:34 AM</v>
          </cell>
          <cell r="D331" t="str">
            <v>andrew</v>
          </cell>
          <cell r="E331">
            <v>0</v>
          </cell>
          <cell r="F331" t="str">
            <v>x</v>
          </cell>
          <cell r="G331" t="str">
            <v>good broad age range, music and event and food</v>
          </cell>
        </row>
        <row r="332">
          <cell r="B332" t="str">
            <v>IP33 2RH</v>
          </cell>
          <cell r="C332" t="str">
            <v>6/28/2024 10:45:34 AM</v>
          </cell>
          <cell r="D332" t="str">
            <v>x</v>
          </cell>
          <cell r="E332">
            <v>8</v>
          </cell>
          <cell r="F332" t="str">
            <v>x</v>
          </cell>
          <cell r="G332" t="str">
            <v>sorting proper sit down convo on beers</v>
          </cell>
        </row>
        <row r="333">
          <cell r="B333" t="str">
            <v>CB25 9PB</v>
          </cell>
          <cell r="C333" t="str">
            <v>6/27/2024 2:43:46 PM</v>
          </cell>
          <cell r="D333" t="str">
            <v>chrislee</v>
          </cell>
          <cell r="E333">
            <v>7788597474</v>
          </cell>
          <cell r="F333" t="str">
            <v>x</v>
          </cell>
          <cell r="G333" t="str">
            <v>Spoke with duty manager ordered some pos for Stella - massive opportunity for the garden, definitely look at for summer.</v>
          </cell>
        </row>
        <row r="334">
          <cell r="B334" t="str">
            <v>PE27 5AH</v>
          </cell>
          <cell r="C334" t="str">
            <v>6/27/2024 2:09:53 PM</v>
          </cell>
          <cell r="D334" t="str">
            <v>allen mngr</v>
          </cell>
          <cell r="E334">
            <v>0</v>
          </cell>
          <cell r="F334" t="str">
            <v>x</v>
          </cell>
        </row>
        <row r="335">
          <cell r="B335" t="str">
            <v>SG11 1LA</v>
          </cell>
          <cell r="C335" t="str">
            <v>6/27/2024 12:47:19 PM</v>
          </cell>
          <cell r="D335" t="str">
            <v>dom</v>
          </cell>
          <cell r="E335">
            <v>0</v>
          </cell>
          <cell r="F335" t="str">
            <v>x</v>
          </cell>
          <cell r="G335" t="str">
            <v>dit</v>
          </cell>
        </row>
        <row r="336">
          <cell r="B336" t="str">
            <v>SG12 9AD</v>
          </cell>
          <cell r="C336" t="str">
            <v>6/27/2024 12:07:11 PM</v>
          </cell>
          <cell r="D336" t="str">
            <v>new ll in mod july</v>
          </cell>
          <cell r="E336">
            <v>8</v>
          </cell>
          <cell r="F336" t="str">
            <v>x</v>
          </cell>
        </row>
        <row r="337">
          <cell r="B337" t="str">
            <v>SG14 3TA</v>
          </cell>
          <cell r="C337" t="str">
            <v>6/27/2024 9:12:22 AM</v>
          </cell>
          <cell r="D337" t="str">
            <v>suki a rakish</v>
          </cell>
          <cell r="E337">
            <v>0</v>
          </cell>
          <cell r="F337" t="str">
            <v>x</v>
          </cell>
          <cell r="G337" t="str">
            <v>goodbarnsyard.com</v>
          </cell>
        </row>
        <row r="338">
          <cell r="B338" t="str">
            <v>CO9 4HY</v>
          </cell>
          <cell r="C338" t="str">
            <v>6/27/2024 9:09:43 AM</v>
          </cell>
          <cell r="D338" t="str">
            <v>phill and Holly?</v>
          </cell>
          <cell r="E338">
            <v>0</v>
          </cell>
          <cell r="F338" t="str">
            <v>x</v>
          </cell>
          <cell r="G338" t="str">
            <v xml:space="preserve"> </v>
          </cell>
        </row>
        <row r="339">
          <cell r="B339" t="str">
            <v>CM6 1ES</v>
          </cell>
          <cell r="C339" t="str">
            <v>6/26/2024 2:02:38 PM</v>
          </cell>
          <cell r="D339" t="str">
            <v>jim</v>
          </cell>
          <cell r="E339">
            <v>7599284460</v>
          </cell>
          <cell r="F339" t="str">
            <v>x</v>
          </cell>
          <cell r="G339" t="str">
            <v>blackbull also owns, heading there now.</v>
          </cell>
        </row>
        <row r="340">
          <cell r="B340" t="str">
            <v>CM20 2NB</v>
          </cell>
          <cell r="C340" t="str">
            <v>6/26/2024 1:08:52 PM</v>
          </cell>
          <cell r="D340" t="str">
            <v>Kelly john</v>
          </cell>
          <cell r="E340">
            <v>0</v>
          </cell>
          <cell r="F340" t="str">
            <v>x</v>
          </cell>
        </row>
        <row r="341">
          <cell r="B341" t="str">
            <v>CB8 8LB</v>
          </cell>
          <cell r="C341" t="str">
            <v>6/26/2024 12:37:56 PM</v>
          </cell>
          <cell r="D341" t="str">
            <v>michael and Helen</v>
          </cell>
          <cell r="E341">
            <v>74844119569</v>
          </cell>
          <cell r="F341" t="str">
            <v>doolinrockpubs@gmail.com</v>
          </cell>
        </row>
        <row r="342">
          <cell r="B342" t="str">
            <v>CB8 8EE</v>
          </cell>
          <cell r="C342" t="str">
            <v>6/24/2024 4:25:11 PM</v>
          </cell>
          <cell r="D342" t="str">
            <v>kevin</v>
          </cell>
          <cell r="E342">
            <v>0</v>
          </cell>
          <cell r="F342" t="str">
            <v>x</v>
          </cell>
          <cell r="G342" t="str">
            <v>met other manager and she basically said he'll no to corona om draught (seasonal ... but phenomenal garden)</v>
          </cell>
        </row>
        <row r="343">
          <cell r="B343" t="str">
            <v>CB8 8HF</v>
          </cell>
          <cell r="C343" t="str">
            <v>6/24/2024 3:18:40 PM</v>
          </cell>
          <cell r="D343" t="str">
            <v>Nicola</v>
          </cell>
          <cell r="E343">
            <v>7804559405</v>
          </cell>
          <cell r="F343" t="str">
            <v>x</v>
          </cell>
        </row>
        <row r="344">
          <cell r="B344" t="str">
            <v>CB8 8AD</v>
          </cell>
          <cell r="C344" t="str">
            <v>6/24/2024 1:24:21 PM</v>
          </cell>
          <cell r="D344" t="str">
            <v>rachel</v>
          </cell>
          <cell r="E344">
            <v>7837471313</v>
          </cell>
          <cell r="F344" t="str">
            <v>x</v>
          </cell>
          <cell r="G344" t="str">
            <v>Alison mngr (desocion maker)</v>
          </cell>
        </row>
        <row r="345">
          <cell r="B345" t="str">
            <v>SG8 6RA</v>
          </cell>
          <cell r="C345" t="str">
            <v>6/21/2024 3:06:44 PM</v>
          </cell>
          <cell r="D345" t="str">
            <v>Austin and Colin (Paul is mngr)</v>
          </cell>
          <cell r="E345">
            <v>0</v>
          </cell>
          <cell r="F345" t="str">
            <v>thegreenmanshepreth@outlook.com</v>
          </cell>
          <cell r="G345">
            <v>7766078080</v>
          </cell>
        </row>
        <row r="346">
          <cell r="B346" t="str">
            <v>SG8 9PN</v>
          </cell>
          <cell r="C346" t="str">
            <v>6/21/2024 1:39:18 PM</v>
          </cell>
          <cell r="D346" t="str">
            <v>kevin</v>
          </cell>
          <cell r="E346">
            <v>0</v>
          </cell>
          <cell r="F346" t="str">
            <v>ivan@thefoxandduck.co.uk</v>
          </cell>
          <cell r="G346" t="str">
            <v>check stella tap handle new timeline</v>
          </cell>
        </row>
        <row r="347">
          <cell r="B347" t="str">
            <v>SG8 9AW</v>
          </cell>
          <cell r="C347" t="str">
            <v>6/21/2024 12:41:53 PM</v>
          </cell>
          <cell r="D347" t="str">
            <v>ginny</v>
          </cell>
          <cell r="E347">
            <v>0</v>
          </cell>
          <cell r="F347" t="str">
            <v>theoldbullinn.royston@gmail.com</v>
          </cell>
          <cell r="G347" t="str">
            <v>agreed corona when getting warmer</v>
          </cell>
        </row>
        <row r="348">
          <cell r="B348" t="str">
            <v>SG7 6BZ</v>
          </cell>
          <cell r="C348" t="str">
            <v>6/21/2024 12:24:34 PM</v>
          </cell>
          <cell r="D348" t="str">
            <v>georgina</v>
          </cell>
          <cell r="E348">
            <v>0</v>
          </cell>
          <cell r="F348" t="str">
            <v>x</v>
          </cell>
        </row>
        <row r="349">
          <cell r="B349" t="str">
            <v>SG7 6BG</v>
          </cell>
          <cell r="C349" t="str">
            <v>6/20/2024 2:03:18 PM</v>
          </cell>
          <cell r="D349" t="str">
            <v>matt and georgy</v>
          </cell>
          <cell r="E349">
            <v>0</v>
          </cell>
          <cell r="F349" t="str">
            <v>devingardener.obh@gmail.com</v>
          </cell>
        </row>
        <row r="350">
          <cell r="B350" t="str">
            <v>SG7 5AW</v>
          </cell>
          <cell r="C350" t="str">
            <v>6/20/2024 12:43:02 PM</v>
          </cell>
          <cell r="D350" t="str">
            <v>ivan</v>
          </cell>
          <cell r="E350">
            <v>7915662733</v>
          </cell>
          <cell r="F350" t="str">
            <v>x</v>
          </cell>
        </row>
        <row r="351">
          <cell r="B351" t="str">
            <v>SG4 8NU</v>
          </cell>
          <cell r="C351" t="str">
            <v>6/20/2024 12:12:12 PM</v>
          </cell>
          <cell r="D351" t="str">
            <v>ben Jones- bar mngr, Sean mngr</v>
          </cell>
          <cell r="E351">
            <v>1763242003</v>
          </cell>
          <cell r="F351" t="str">
            <v>x</v>
          </cell>
          <cell r="G351" t="str">
            <v>Anthony and Julia not in - LL, stella stockist, have loads of Glassware, said screaming out for moretti</v>
          </cell>
        </row>
        <row r="352">
          <cell r="B352" t="str">
            <v>PE2 9QS</v>
          </cell>
          <cell r="C352" t="str">
            <v>6/19/2024 3:43:55 PM</v>
          </cell>
          <cell r="D352" t="str">
            <v>tally</v>
          </cell>
          <cell r="E352">
            <v>7802363567</v>
          </cell>
          <cell r="F352" t="str">
            <v>x</v>
          </cell>
        </row>
        <row r="353">
          <cell r="B353" t="str">
            <v>CM12 9BG</v>
          </cell>
          <cell r="C353" t="str">
            <v>6/19/2024 3:10:38 PM</v>
          </cell>
          <cell r="D353" t="str">
            <v>devin</v>
          </cell>
          <cell r="E353">
            <v>0</v>
          </cell>
          <cell r="F353" t="str">
            <v>x</v>
          </cell>
          <cell r="G353" t="str">
            <v>Corona good opp here</v>
          </cell>
        </row>
        <row r="354">
          <cell r="B354" t="str">
            <v>CM12 0UA</v>
          </cell>
          <cell r="C354" t="str">
            <v>6/19/2024 1:04:42 PM</v>
          </cell>
          <cell r="D354" t="str">
            <v>rob</v>
          </cell>
          <cell r="E354">
            <v>0</v>
          </cell>
          <cell r="F354" t="str">
            <v>x</v>
          </cell>
          <cell r="G354" t="str">
            <v>dit</v>
          </cell>
        </row>
        <row r="355">
          <cell r="B355" t="str">
            <v>CM9 8PX</v>
          </cell>
          <cell r="C355" t="str">
            <v>6/19/2024 12:19:04 PM</v>
          </cell>
          <cell r="D355" t="str">
            <v>David and David ll</v>
          </cell>
          <cell r="E355">
            <v>7730406358</v>
          </cell>
          <cell r="F355" t="str">
            <v>x</v>
          </cell>
        </row>
        <row r="356">
          <cell r="B356" t="str">
            <v>SS11 8TZ</v>
          </cell>
          <cell r="C356" t="str">
            <v>6/17/2024 12:43:16 PM</v>
          </cell>
          <cell r="D356" t="str">
            <v>Darrell and peachy mo (lukr mngr)</v>
          </cell>
          <cell r="E356">
            <v>0</v>
          </cell>
          <cell r="F356" t="str">
            <v>x</v>
          </cell>
        </row>
        <row r="357">
          <cell r="B357" t="str">
            <v>SS12 9AT</v>
          </cell>
          <cell r="C357" t="str">
            <v>6/14/2024 12:06:02 PM</v>
          </cell>
          <cell r="D357" t="str">
            <v>josh</v>
          </cell>
          <cell r="E357">
            <v>0</v>
          </cell>
          <cell r="F357" t="str">
            <v>x</v>
          </cell>
          <cell r="G357" t="str">
            <v>no show</v>
          </cell>
        </row>
        <row r="358">
          <cell r="B358" t="str">
            <v>RM7 9QA</v>
          </cell>
          <cell r="C358" t="str">
            <v>6/14/2024 12:04:12 PM</v>
          </cell>
          <cell r="D358" t="str">
            <v>joe</v>
          </cell>
          <cell r="E358">
            <v>0</v>
          </cell>
          <cell r="F358" t="str">
            <v>x</v>
          </cell>
          <cell r="G358" t="str">
            <v>rough looking on outside but in a nice area and nicer inside, not seen it busy yet.</v>
          </cell>
        </row>
        <row r="359">
          <cell r="B359" t="str">
            <v>RM10 9HP</v>
          </cell>
          <cell r="C359">
            <v>45632.672118055554</v>
          </cell>
          <cell r="D359" t="str">
            <v>Claire (can't remember her partners name)</v>
          </cell>
          <cell r="E359">
            <v>0</v>
          </cell>
          <cell r="F359" t="str">
            <v>x</v>
          </cell>
          <cell r="G359" t="str">
            <v>scratch the rona ops , prob won't stay... perhaps we could swap madri for hells</v>
          </cell>
        </row>
        <row r="360">
          <cell r="B360" t="str">
            <v>RM15 6SD</v>
          </cell>
          <cell r="C360">
            <v>45632.558078703703</v>
          </cell>
          <cell r="D360" t="str">
            <v>lacy</v>
          </cell>
          <cell r="E360">
            <v>7725909950</v>
          </cell>
          <cell r="F360" t="str">
            <v>x</v>
          </cell>
        </row>
        <row r="361">
          <cell r="B361" t="str">
            <v>CB1 2AZ</v>
          </cell>
          <cell r="C361">
            <v>45632.536053240743</v>
          </cell>
          <cell r="D361" t="str">
            <v>beverely</v>
          </cell>
          <cell r="E361">
            <v>0</v>
          </cell>
          <cell r="F361" t="str">
            <v>x</v>
          </cell>
        </row>
        <row r="362">
          <cell r="B362" t="str">
            <v>CB1 9JP</v>
          </cell>
          <cell r="C362">
            <v>45602.603576388887</v>
          </cell>
          <cell r="D362" t="str">
            <v>chloe (daughter)</v>
          </cell>
          <cell r="E362">
            <v>77848384496</v>
          </cell>
          <cell r="F362" t="str">
            <v>x</v>
          </cell>
          <cell r="G362">
            <v>7854360734</v>
          </cell>
        </row>
        <row r="363">
          <cell r="B363" t="str">
            <v>SG19 2QT</v>
          </cell>
          <cell r="C363">
            <v>45602.566851851851</v>
          </cell>
          <cell r="D363" t="str">
            <v>cathy</v>
          </cell>
          <cell r="E363">
            <v>0</v>
          </cell>
          <cell r="F363" t="str">
            <v>x</v>
          </cell>
          <cell r="G363" t="str">
            <v>Gemma</v>
          </cell>
        </row>
        <row r="364">
          <cell r="B364" t="str">
            <v>SG18 0LS</v>
          </cell>
          <cell r="C364">
            <v>45602.557962962965</v>
          </cell>
          <cell r="D364" t="str">
            <v>nick (nicki)</v>
          </cell>
          <cell r="E364">
            <v>7563851506</v>
          </cell>
          <cell r="F364" t="str">
            <v>x</v>
          </cell>
          <cell r="G364" t="str">
            <v>New LL since August</v>
          </cell>
        </row>
        <row r="365">
          <cell r="B365" t="str">
            <v>SG19 3JH</v>
          </cell>
          <cell r="C365">
            <v>45449.678240740737</v>
          </cell>
          <cell r="D365" t="str">
            <v>paddy (patrick)</v>
          </cell>
          <cell r="E365">
            <v>0</v>
          </cell>
          <cell r="F365" t="str">
            <v>x</v>
          </cell>
          <cell r="G365" t="str">
            <v>never in prior to 5pm</v>
          </cell>
        </row>
        <row r="366">
          <cell r="B366" t="str">
            <v>SG19 1AW</v>
          </cell>
          <cell r="C366">
            <v>45449.510405092595</v>
          </cell>
          <cell r="D366" t="str">
            <v>katie</v>
          </cell>
          <cell r="E366">
            <v>0</v>
          </cell>
          <cell r="F366" t="str">
            <v>x</v>
          </cell>
        </row>
        <row r="367">
          <cell r="B367" t="str">
            <v>SG13 7BS</v>
          </cell>
          <cell r="C367">
            <v>45418.646145833336</v>
          </cell>
          <cell r="D367" t="str">
            <v>ben Bryan</v>
          </cell>
          <cell r="E367">
            <v>7738070192</v>
          </cell>
          <cell r="F367" t="str">
            <v>x</v>
          </cell>
        </row>
        <row r="368">
          <cell r="B368" t="str">
            <v>SG14 1AB</v>
          </cell>
          <cell r="C368">
            <v>45418.609930555554</v>
          </cell>
          <cell r="D368" t="str">
            <v>Kate O'connoll</v>
          </cell>
          <cell r="E368">
            <v>7761392040</v>
          </cell>
          <cell r="F368" t="str">
            <v>x</v>
          </cell>
        </row>
        <row r="369">
          <cell r="B369" t="str">
            <v>SG14 1AZ</v>
          </cell>
          <cell r="C369">
            <v>45418.556203703702</v>
          </cell>
          <cell r="D369" t="str">
            <v>vannessa</v>
          </cell>
          <cell r="E369">
            <v>0</v>
          </cell>
          <cell r="F369" t="str">
            <v>x</v>
          </cell>
          <cell r="G369" t="str">
            <v>Stella stockist, met Wayne LL leaving in May, as retiring and moving to Norfolk, Stella is a best seller, with moretti, they work together - happy with line up as moving on soon</v>
          </cell>
        </row>
        <row r="370">
          <cell r="B370" t="str">
            <v>SG14 1BA</v>
          </cell>
          <cell r="C370">
            <v>45418.543287037035</v>
          </cell>
          <cell r="D370" t="str">
            <v>hannah</v>
          </cell>
          <cell r="E370">
            <v>73053999825</v>
          </cell>
          <cell r="F370" t="str">
            <v>x</v>
          </cell>
        </row>
        <row r="371">
          <cell r="B371" t="str">
            <v>SG14 3AF</v>
          </cell>
          <cell r="C371" t="str">
            <v>5/22/2024 3:08:06 PM</v>
          </cell>
          <cell r="D371" t="str">
            <v>kevin</v>
          </cell>
          <cell r="E371">
            <v>0</v>
          </cell>
          <cell r="F371" t="str">
            <v>x</v>
          </cell>
          <cell r="G371" t="str">
            <v>Corona could work here however may not pay price point as seem price sensitive, Stella 4.80 a pint</v>
          </cell>
        </row>
        <row r="372">
          <cell r="B372" t="str">
            <v>SG12 9HP</v>
          </cell>
          <cell r="C372" t="str">
            <v>5/22/2024 2:52:55 PM</v>
          </cell>
          <cell r="D372" t="str">
            <v>Georgia (mngr)</v>
          </cell>
          <cell r="E372">
            <v>0</v>
          </cell>
          <cell r="F372" t="str">
            <v>x</v>
          </cell>
        </row>
        <row r="373">
          <cell r="B373" t="str">
            <v>SG12 7AQ</v>
          </cell>
          <cell r="C373" t="str">
            <v>5/22/2024 2:46:14 PM</v>
          </cell>
          <cell r="D373" t="str">
            <v>steve and collet</v>
          </cell>
          <cell r="E373">
            <v>0</v>
          </cell>
          <cell r="F373" t="str">
            <v>x</v>
          </cell>
          <cell r="G373" t="str">
            <v>Martin Obey no longer RM, Graham is now RM</v>
          </cell>
        </row>
        <row r="374">
          <cell r="B374" t="str">
            <v>CO10 7SA</v>
          </cell>
          <cell r="C374" t="str">
            <v>5/22/2024 2:17:07 PM</v>
          </cell>
          <cell r="D374" t="str">
            <v>Holly or shane</v>
          </cell>
          <cell r="E374">
            <v>0</v>
          </cell>
          <cell r="F374" t="str">
            <v>x</v>
          </cell>
          <cell r="G374" t="str">
            <v>dit</v>
          </cell>
        </row>
        <row r="375">
          <cell r="B375" t="str">
            <v>CO10 0AT</v>
          </cell>
          <cell r="C375" t="str">
            <v>5/22/2024 1:48:58 PM</v>
          </cell>
          <cell r="D375" t="str">
            <v>bridie</v>
          </cell>
          <cell r="E375">
            <v>0</v>
          </cell>
          <cell r="F375" t="str">
            <v>x</v>
          </cell>
        </row>
        <row r="376">
          <cell r="B376" t="str">
            <v>IP14 3BX</v>
          </cell>
          <cell r="C376" t="str">
            <v>5/22/2024 1:03:55 PM</v>
          </cell>
          <cell r="D376" t="str">
            <v>Paul</v>
          </cell>
          <cell r="E376">
            <v>0</v>
          </cell>
          <cell r="F376" t="str">
            <v>x</v>
          </cell>
          <cell r="G376" t="str">
            <v>apparently glasses never arrived on instal... definitely sent them but they got them eventually passed number so they can ring me next time</v>
          </cell>
        </row>
        <row r="377">
          <cell r="B377" t="str">
            <v>IP14 1AH</v>
          </cell>
          <cell r="C377" t="str">
            <v>5/22/2024 12:48:16 PM</v>
          </cell>
          <cell r="D377" t="str">
            <v>nigel</v>
          </cell>
          <cell r="E377">
            <v>0</v>
          </cell>
          <cell r="F377" t="str">
            <v>x</v>
          </cell>
        </row>
        <row r="378">
          <cell r="B378" t="str">
            <v>IP3 9NF</v>
          </cell>
          <cell r="C378" t="str">
            <v>5/21/2024 3:16:49 PM</v>
          </cell>
          <cell r="D378" t="str">
            <v>debs and mick</v>
          </cell>
          <cell r="E378">
            <v>0</v>
          </cell>
          <cell r="F378" t="str">
            <v>x</v>
          </cell>
          <cell r="G378" t="str">
            <v>hells isn't the highest ros but they see it as a bit of a food pairing thing and are happy with it.</v>
          </cell>
        </row>
        <row r="379">
          <cell r="B379" t="str">
            <v>SS17 0HJ</v>
          </cell>
          <cell r="C379" t="str">
            <v>5/21/2024 2:20:33 PM</v>
          </cell>
          <cell r="D379" t="str">
            <v>Michelle?</v>
          </cell>
          <cell r="E379">
            <v>0</v>
          </cell>
          <cell r="F379" t="str">
            <v>thenewcourthousestamford@gmail.com</v>
          </cell>
        </row>
        <row r="380">
          <cell r="B380" t="str">
            <v>RM16 3ER</v>
          </cell>
          <cell r="C380" t="str">
            <v>5/21/2024 1:40:39 PM</v>
          </cell>
          <cell r="D380" t="str">
            <v>emma</v>
          </cell>
          <cell r="E380">
            <v>0</v>
          </cell>
          <cell r="F380">
            <v>0</v>
          </cell>
          <cell r="G380" t="str">
            <v>2 standard ciders and a fruit cider on, possible target...</v>
          </cell>
        </row>
        <row r="381">
          <cell r="B381" t="str">
            <v>RM16 3AP</v>
          </cell>
          <cell r="C381" t="str">
            <v>5/21/2024 12:48:42 PM</v>
          </cell>
          <cell r="D381" t="str">
            <v>james</v>
          </cell>
          <cell r="E381">
            <v>0</v>
          </cell>
          <cell r="F381" t="str">
            <v>x</v>
          </cell>
        </row>
        <row r="382">
          <cell r="B382" t="str">
            <v>RM20 4AD</v>
          </cell>
          <cell r="C382" t="str">
            <v>5/21/2024 11:26:51 AM</v>
          </cell>
          <cell r="D382" t="str">
            <v>ryan</v>
          </cell>
          <cell r="E382">
            <v>0</v>
          </cell>
          <cell r="F382" t="str">
            <v>x</v>
          </cell>
          <cell r="G382" t="str">
            <v>also leases the goodbarnsyard down the road... both well ran pubs</v>
          </cell>
        </row>
        <row r="383">
          <cell r="B383" t="str">
            <v>RM20 4AD</v>
          </cell>
          <cell r="C383" t="str">
            <v>5/20/2024 4:07:13 PM</v>
          </cell>
          <cell r="D383" t="str">
            <v>adam</v>
          </cell>
          <cell r="E383">
            <v>0</v>
          </cell>
          <cell r="F383" t="str">
            <v>x</v>
          </cell>
          <cell r="G383" t="str">
            <v>not wanting to change quite yet... lots wrong with the physical building.</v>
          </cell>
        </row>
        <row r="384">
          <cell r="B384" t="str">
            <v>RM20 4AR</v>
          </cell>
          <cell r="C384" t="str">
            <v>5/20/2024 2:50:24 PM</v>
          </cell>
          <cell r="D384" t="str">
            <v>Charlotte</v>
          </cell>
          <cell r="E384">
            <v>0</v>
          </cell>
          <cell r="F384" t="str">
            <v>x</v>
          </cell>
        </row>
        <row r="385">
          <cell r="B385" t="str">
            <v>RM15 6SD</v>
          </cell>
          <cell r="C385" t="str">
            <v>5/20/2024 2:14:31 PM</v>
          </cell>
          <cell r="D385" t="str">
            <v>lee</v>
          </cell>
          <cell r="E385">
            <v>0</v>
          </cell>
          <cell r="F385" t="str">
            <v>x</v>
          </cell>
        </row>
        <row r="386">
          <cell r="B386" t="str">
            <v>CB21 4HS</v>
          </cell>
          <cell r="C386" t="str">
            <v>5/20/2024 1:47:11 PM</v>
          </cell>
          <cell r="D386" t="str">
            <v>Mark and kevin</v>
          </cell>
          <cell r="E386">
            <v>0</v>
          </cell>
          <cell r="F386" t="str">
            <v>x</v>
          </cell>
          <cell r="G386" t="str">
            <v>carling still fobbing and no fix. asking about Camden pale. will largely be a weekend seller like madri but she doesn't sell much carling and fosters will take those customers back. want to offer more for the younger crowd. simone is DM sort of but needs to pass to boss</v>
          </cell>
        </row>
        <row r="387">
          <cell r="B387" t="str">
            <v>CB9 9EF</v>
          </cell>
          <cell r="C387" t="str">
            <v>5/20/2024 1:38:30 PM</v>
          </cell>
          <cell r="D387" t="str">
            <v>Mark and kevin</v>
          </cell>
          <cell r="E387">
            <v>0</v>
          </cell>
          <cell r="F387" t="str">
            <v>x</v>
          </cell>
          <cell r="G387" t="str">
            <v>dragonfly punch.</v>
          </cell>
        </row>
        <row r="388">
          <cell r="B388" t="str">
            <v>CB9 8HB</v>
          </cell>
          <cell r="C388" t="str">
            <v>5/20/2024 1:21:53 PM</v>
          </cell>
          <cell r="D388" t="str">
            <v>Cheryl and mark</v>
          </cell>
          <cell r="E388">
            <v>0</v>
          </cell>
          <cell r="F388" t="str">
            <v>x</v>
          </cell>
          <cell r="G388" t="str">
            <v>dragon gk</v>
          </cell>
        </row>
        <row r="389">
          <cell r="B389" t="str">
            <v>CB9 8AH</v>
          </cell>
          <cell r="C389" t="str">
            <v>5/20/2024 12:28:58 PM</v>
          </cell>
          <cell r="D389" t="str">
            <v>nick (nicki)</v>
          </cell>
          <cell r="E389">
            <v>7563851506</v>
          </cell>
          <cell r="F389" t="str">
            <v>x</v>
          </cell>
          <cell r="G389" t="str">
            <v>cross keys stonegate</v>
          </cell>
        </row>
        <row r="390">
          <cell r="B390" t="str">
            <v>IP5 1AA</v>
          </cell>
          <cell r="C390" t="str">
            <v>5/18/2024 8:58:39 AM</v>
          </cell>
          <cell r="D390" t="str">
            <v>sam and julie</v>
          </cell>
          <cell r="E390">
            <v>0</v>
          </cell>
          <cell r="F390" t="str">
            <v>x</v>
          </cell>
          <cell r="G390" t="str">
            <v>hree hotshoes Stonegate</v>
          </cell>
        </row>
        <row r="391">
          <cell r="B391" t="str">
            <v>IP33 1EB</v>
          </cell>
          <cell r="C391" t="str">
            <v>5/17/2024 2:11:54 PM</v>
          </cell>
          <cell r="D391" t="str">
            <v>Charlotte gm and Brian ll</v>
          </cell>
          <cell r="E391">
            <v>0</v>
          </cell>
          <cell r="F391" t="str">
            <v>x</v>
          </cell>
        </row>
        <row r="392">
          <cell r="B392" t="str">
            <v>IP28 6LA</v>
          </cell>
          <cell r="C392" t="str">
            <v>5/17/2024 2:04:16 PM</v>
          </cell>
          <cell r="D392" t="str">
            <v>x</v>
          </cell>
          <cell r="E392">
            <v>0</v>
          </cell>
          <cell r="F392" t="str">
            <v>x</v>
          </cell>
        </row>
        <row r="393">
          <cell r="B393" t="str">
            <v>IP21 4SU</v>
          </cell>
          <cell r="C393" t="str">
            <v>5/17/2024 1:55:58 PM</v>
          </cell>
          <cell r="D393" t="str">
            <v>Brian</v>
          </cell>
          <cell r="E393">
            <v>7876541322</v>
          </cell>
          <cell r="F393" t="str">
            <v>x</v>
          </cell>
          <cell r="G393" t="str">
            <v>simone</v>
          </cell>
        </row>
        <row r="394">
          <cell r="B394" t="str">
            <v>CM13 1AB</v>
          </cell>
          <cell r="C394" t="str">
            <v>5/16/2024 2:35:52 PM</v>
          </cell>
          <cell r="D394" t="str">
            <v>sam and deb</v>
          </cell>
          <cell r="E394">
            <v>0</v>
          </cell>
          <cell r="F394" t="str">
            <v>x</v>
          </cell>
          <cell r="G394">
            <v>7934634901</v>
          </cell>
        </row>
        <row r="395">
          <cell r="B395" t="str">
            <v>CM3 4QZ</v>
          </cell>
          <cell r="C395" t="str">
            <v>5/15/2024 3:18:42 PM</v>
          </cell>
          <cell r="D395" t="str">
            <v>Glenn... Jessica manager</v>
          </cell>
          <cell r="E395">
            <v>0</v>
          </cell>
          <cell r="F395" t="str">
            <v>x</v>
          </cell>
        </row>
        <row r="396">
          <cell r="B396" t="str">
            <v>CM1 1SW</v>
          </cell>
          <cell r="C396" t="str">
            <v>5/15/2024 1:09:31 PM</v>
          </cell>
          <cell r="D396" t="str">
            <v>chrislee</v>
          </cell>
          <cell r="E396">
            <v>7788597474</v>
          </cell>
          <cell r="F396" t="str">
            <v>x</v>
          </cell>
          <cell r="G396" t="str">
            <v>LL for 2 years</v>
          </cell>
        </row>
        <row r="397">
          <cell r="B397" t="str">
            <v>CM2 9LG</v>
          </cell>
          <cell r="C397" t="str">
            <v>5/14/2024 4:07:11 PM</v>
          </cell>
          <cell r="D397" t="str">
            <v>steve</v>
          </cell>
          <cell r="E397">
            <v>1379763234</v>
          </cell>
          <cell r="F397" t="str">
            <v>charlottestilgoe@gmail.com</v>
          </cell>
          <cell r="G397" t="str">
            <v>madri 4.80 (same as stella) starting to go down- weekend thing</v>
          </cell>
        </row>
        <row r="398">
          <cell r="B398" t="str">
            <v>PE29 3TF</v>
          </cell>
          <cell r="C398">
            <v>45570.5778125</v>
          </cell>
          <cell r="D398" t="str">
            <v>jay and d</v>
          </cell>
          <cell r="E398">
            <v>3</v>
          </cell>
          <cell r="F398" t="str">
            <v>x</v>
          </cell>
        </row>
        <row r="399">
          <cell r="B399" t="str">
            <v>PE29 3NF</v>
          </cell>
          <cell r="C399">
            <v>45540.632581018515</v>
          </cell>
          <cell r="D399" t="str">
            <v>malcom and shirely</v>
          </cell>
          <cell r="E399">
            <v>0</v>
          </cell>
          <cell r="F399" t="str">
            <v>x</v>
          </cell>
          <cell r="G399" t="str">
            <v>carling also doing ppurly- known for fobbing</v>
          </cell>
        </row>
        <row r="400">
          <cell r="B400" t="str">
            <v>CO10 2RZ</v>
          </cell>
          <cell r="C400">
            <v>45540.59171296296</v>
          </cell>
          <cell r="D400" t="str">
            <v>will</v>
          </cell>
          <cell r="E400">
            <v>0</v>
          </cell>
          <cell r="F400" t="str">
            <v>x</v>
          </cell>
        </row>
        <row r="401">
          <cell r="B401" t="str">
            <v>CB25 0BA</v>
          </cell>
          <cell r="C401">
            <v>45540.541226851848</v>
          </cell>
          <cell r="D401" t="str">
            <v>tom and charlotte</v>
          </cell>
          <cell r="E401">
            <v>0</v>
          </cell>
          <cell r="F401" t="str">
            <v>x</v>
          </cell>
          <cell r="G401" t="str">
            <v>wants to swap strong bow (is cider part of tnt)</v>
          </cell>
        </row>
        <row r="402">
          <cell r="B402" t="str">
            <v>CB2 1HW</v>
          </cell>
          <cell r="C402">
            <v>45478.574131944442</v>
          </cell>
          <cell r="D402" t="str">
            <v>luke and andrew</v>
          </cell>
          <cell r="E402">
            <v>7909653362</v>
          </cell>
          <cell r="F402" t="str">
            <v>x</v>
          </cell>
          <cell r="G402" t="str">
            <v>wants tshirts and 2 parasols</v>
          </cell>
        </row>
        <row r="403">
          <cell r="B403" t="str">
            <v>CB4 3BA</v>
          </cell>
          <cell r="C403">
            <v>45478.552881944444</v>
          </cell>
          <cell r="D403" t="str">
            <v>Crawford also owns the legion down the road (not l&amp;t)</v>
          </cell>
          <cell r="E403">
            <v>0</v>
          </cell>
          <cell r="F403" t="str">
            <v>x</v>
          </cell>
          <cell r="G403" t="str">
            <v>just REopened, lovely high street spot.</v>
          </cell>
        </row>
        <row r="404">
          <cell r="B404" t="str">
            <v>CB8 7HA</v>
          </cell>
          <cell r="D404" t="str">
            <v>bartender says they have hells and stout down there doing great. moving away from guiness. been in trade 20+ years. fairwarned me he's a grumpy Scott's man , bring chotskies</v>
          </cell>
          <cell r="F404">
            <v>0</v>
          </cell>
        </row>
        <row r="405">
          <cell r="B405" t="str">
            <v>CB8 7HA</v>
          </cell>
          <cell r="C405">
            <v>45356.605451388888</v>
          </cell>
          <cell r="D405" t="str">
            <v>jay</v>
          </cell>
          <cell r="E405">
            <v>0</v>
          </cell>
          <cell r="F405">
            <v>0</v>
          </cell>
          <cell r="G405" t="str">
            <v>pale no longer on, what replaced it. sent note to phil</v>
          </cell>
        </row>
        <row r="406">
          <cell r="B406" t="str">
            <v>CB8 8LB</v>
          </cell>
          <cell r="C406">
            <v>45327.509733796294</v>
          </cell>
          <cell r="D406" t="str">
            <v>Joe (mngr) John (ll)</v>
          </cell>
          <cell r="E406">
            <v>0</v>
          </cell>
          <cell r="F406" t="str">
            <v>x</v>
          </cell>
          <cell r="G406" t="str">
            <v>pint and 1/2, coasters,  runner x2</v>
          </cell>
        </row>
        <row r="407">
          <cell r="B407" t="str">
            <v>NR9 3DD</v>
          </cell>
          <cell r="C407">
            <v>45296.648935185185</v>
          </cell>
          <cell r="D407" t="str">
            <v>david</v>
          </cell>
          <cell r="E407">
            <v>0</v>
          </cell>
          <cell r="F407" t="str">
            <v>x</v>
          </cell>
        </row>
        <row r="408">
          <cell r="B408" t="str">
            <v>NR7 0DR</v>
          </cell>
          <cell r="C408">
            <v>45296.620648148149</v>
          </cell>
          <cell r="D408" t="str">
            <v>sam (mngr)</v>
          </cell>
          <cell r="E408">
            <v>0</v>
          </cell>
          <cell r="F408" t="str">
            <v>x</v>
          </cell>
          <cell r="G408" t="str">
            <v>met Sharon at the bar, got owners email, sent note</v>
          </cell>
        </row>
        <row r="409">
          <cell r="B409" t="str">
            <v>SG1 3RA</v>
          </cell>
          <cell r="C409">
            <v>45296.566643518519</v>
          </cell>
          <cell r="D409" t="str">
            <v>Roxanna and michael</v>
          </cell>
          <cell r="E409">
            <v>777553249</v>
          </cell>
          <cell r="F409" t="str">
            <v>x</v>
          </cell>
          <cell r="G409" t="str">
            <v>stella lowest vol, Carl's, san mig,i and cruz beating it, moretti does fine enough she says</v>
          </cell>
        </row>
        <row r="410">
          <cell r="B410" t="str">
            <v>SG2 9QH</v>
          </cell>
          <cell r="C410">
            <v>45296.555185185185</v>
          </cell>
          <cell r="D410" t="str">
            <v>Roxanna and michael</v>
          </cell>
          <cell r="E410">
            <v>777553249</v>
          </cell>
          <cell r="F410" t="str">
            <v>x</v>
          </cell>
        </row>
        <row r="411">
          <cell r="B411" t="str">
            <v>SG1 2JW</v>
          </cell>
          <cell r="C411">
            <v>45296.539201388892</v>
          </cell>
          <cell r="D411" t="str">
            <v>Austin and Colin (Paul is mngr)</v>
          </cell>
          <cell r="E411">
            <v>0</v>
          </cell>
          <cell r="F411" t="str">
            <v>x</v>
          </cell>
          <cell r="G411" t="str">
            <v>local boozer. not much ops for craft off first visit</v>
          </cell>
        </row>
        <row r="412">
          <cell r="B412" t="str">
            <v>SG1 1NA</v>
          </cell>
          <cell r="C412" t="str">
            <v>4/30/2024 1:37:30 PM</v>
          </cell>
          <cell r="D412" t="str">
            <v>michael</v>
          </cell>
          <cell r="E412">
            <v>0</v>
          </cell>
          <cell r="F412" t="str">
            <v>x</v>
          </cell>
          <cell r="G412" t="str">
            <v>volumes doing stead across the board... doesn't really switch up lest there us a dip. open to conversation in new year tho, a good chat</v>
          </cell>
        </row>
        <row r="413">
          <cell r="B413" t="str">
            <v>CB6 3AY</v>
          </cell>
          <cell r="C413" t="str">
            <v>4/30/2024 12:38:15 PM</v>
          </cell>
          <cell r="D413" t="str">
            <v>scott</v>
          </cell>
          <cell r="E413">
            <v>0</v>
          </cell>
          <cell r="F413" t="str">
            <v>x</v>
          </cell>
          <cell r="G413" t="str">
            <v>sending bud felt runners</v>
          </cell>
        </row>
        <row r="414">
          <cell r="B414" t="str">
            <v>RM15 4DL</v>
          </cell>
          <cell r="C414" t="str">
            <v>4/29/2024 3:20:33 PM</v>
          </cell>
          <cell r="D414" t="str">
            <v>Karl (they own 4 pubs and Karl manages this one but doesn't have final say)</v>
          </cell>
          <cell r="E414">
            <v>0</v>
          </cell>
          <cell r="F414" t="str">
            <v>x</v>
          </cell>
          <cell r="G414" t="str">
            <v>get a tech to replace stella handle...</v>
          </cell>
        </row>
        <row r="415">
          <cell r="B415" t="str">
            <v>RM2 5EL</v>
          </cell>
          <cell r="C415" t="str">
            <v>4/29/2024 2:52:38 PM</v>
          </cell>
          <cell r="D415" t="str">
            <v>jason</v>
          </cell>
          <cell r="E415">
            <v>0</v>
          </cell>
          <cell r="F415" t="str">
            <v>x</v>
          </cell>
          <cell r="G415" t="str">
            <v>sorting meet for brand swap early Dec.</v>
          </cell>
        </row>
        <row r="416">
          <cell r="B416" t="str">
            <v>RM13 9RY</v>
          </cell>
          <cell r="C416" t="str">
            <v>4/29/2024 1:42:10 PM</v>
          </cell>
          <cell r="D416" t="str">
            <v>sam Moore (girl)</v>
          </cell>
          <cell r="E416">
            <v>7947321669</v>
          </cell>
          <cell r="F416" t="str">
            <v>x</v>
          </cell>
          <cell r="G416" t="str">
            <v>very happy to see a rep, very happy to switch things up everyone in a while.</v>
          </cell>
        </row>
        <row r="417">
          <cell r="B417" t="str">
            <v>IP24 2DN</v>
          </cell>
          <cell r="C417" t="str">
            <v>4/29/2024 1:23:02 PM</v>
          </cell>
          <cell r="D417" t="str">
            <v>Connor is som and jerry is dad ll</v>
          </cell>
          <cell r="E417">
            <v>0</v>
          </cell>
          <cell r="F417" t="str">
            <v>x</v>
          </cell>
          <cell r="G417" t="str">
            <v>target strong df., carls/Foster, moretti</v>
          </cell>
        </row>
        <row r="418">
          <cell r="B418" t="str">
            <v>PE29 2HZ</v>
          </cell>
          <cell r="C418" t="str">
            <v>4/25/2024 2:05:30 PM</v>
          </cell>
          <cell r="D418" t="str">
            <v>daz</v>
          </cell>
          <cell r="E418">
            <v>0</v>
          </cell>
          <cell r="F418" t="str">
            <v>x</v>
          </cell>
        </row>
        <row r="419">
          <cell r="B419" t="str">
            <v>W1W 6XW</v>
          </cell>
          <cell r="C419" t="str">
            <v>4/25/2024 10:32:39 AM</v>
          </cell>
          <cell r="D419" t="str">
            <v>caroline</v>
          </cell>
          <cell r="E419">
            <v>0</v>
          </cell>
          <cell r="F419" t="str">
            <v>x</v>
          </cell>
          <cell r="G419" t="str">
            <v>awesome covered garden and big green space. happy to imagine garden investment</v>
          </cell>
        </row>
        <row r="420">
          <cell r="B420" t="str">
            <v>WC1X 0DS</v>
          </cell>
          <cell r="C420" t="str">
            <v>4/25/2024 10:31:23 AM</v>
          </cell>
          <cell r="D420" t="str">
            <v>matt</v>
          </cell>
          <cell r="E420">
            <v>0</v>
          </cell>
          <cell r="F420" t="str">
            <v>x</v>
          </cell>
          <cell r="G420" t="str">
            <v>sees brewery reps quite often. happy with the support (looking for posters) mentioned stella pef serve in Xmas</v>
          </cell>
        </row>
        <row r="421">
          <cell r="B421" t="str">
            <v>EC1N 8QS</v>
          </cell>
          <cell r="C421" t="str">
            <v>4/25/2024 10:29:33 AM</v>
          </cell>
          <cell r="D421" t="str">
            <v>Michael</v>
          </cell>
          <cell r="E421">
            <v>0</v>
          </cell>
          <cell r="F421" t="str">
            <v>x</v>
          </cell>
          <cell r="G421" t="str">
            <v>sending Stella pos now</v>
          </cell>
        </row>
        <row r="422">
          <cell r="B422" t="str">
            <v>CO1 2QW</v>
          </cell>
          <cell r="C422" t="str">
            <v>4/24/2024 3:48:59 PM</v>
          </cell>
          <cell r="D422" t="str">
            <v>Shawn or Lawrence is manager</v>
          </cell>
          <cell r="E422">
            <v>7488272883</v>
          </cell>
          <cell r="F422" t="str">
            <v>x</v>
          </cell>
          <cell r="G422" t="str">
            <v>texting for proper meet to chat about Camden install.</v>
          </cell>
        </row>
        <row r="423">
          <cell r="B423" t="str">
            <v>SG7 6BZ</v>
          </cell>
          <cell r="C423" t="str">
            <v>4/22/2024 3:05:17 PM</v>
          </cell>
          <cell r="D423" t="str">
            <v>paul</v>
          </cell>
          <cell r="E423">
            <v>0</v>
          </cell>
          <cell r="F423" t="str">
            <v>x</v>
          </cell>
          <cell r="G423" t="str">
            <v>lots of taps to play with (have a gk unknown stout on with guinnes) nd lots of lagers</v>
          </cell>
        </row>
        <row r="424">
          <cell r="B424" t="str">
            <v>SG7 6BG</v>
          </cell>
          <cell r="C424" t="str">
            <v>4/18/2024 2:00:06 PM</v>
          </cell>
          <cell r="D424" t="str">
            <v>x</v>
          </cell>
          <cell r="E424">
            <v>0</v>
          </cell>
          <cell r="F424" t="str">
            <v>x</v>
          </cell>
          <cell r="G424" t="str">
            <v>I think the £500 will go along way here. perhaps parasols for two brands</v>
          </cell>
        </row>
        <row r="425">
          <cell r="B425" t="str">
            <v>SG17 5ES</v>
          </cell>
          <cell r="C425" t="str">
            <v>4/18/2024 12:25:41 PM</v>
          </cell>
          <cell r="D425" t="str">
            <v>x</v>
          </cell>
          <cell r="E425">
            <v>0</v>
          </cell>
          <cell r="F425" t="str">
            <v>x</v>
          </cell>
          <cell r="G425" t="str">
            <v>Thursdays best</v>
          </cell>
        </row>
        <row r="426">
          <cell r="B426" t="str">
            <v>SG5 3YD</v>
          </cell>
          <cell r="C426" t="str">
            <v>4/18/2024 11:49:56 AM</v>
          </cell>
          <cell r="D426" t="str">
            <v>dit</v>
          </cell>
          <cell r="E426">
            <v>0</v>
          </cell>
          <cell r="F426" t="str">
            <v>x</v>
          </cell>
          <cell r="G426" t="str">
            <v>sending note to book proper sit down time next week</v>
          </cell>
        </row>
        <row r="427">
          <cell r="B427" t="str">
            <v>CM23 2EU</v>
          </cell>
          <cell r="C427" t="str">
            <v>4/17/2024 2:39:03 PM</v>
          </cell>
          <cell r="D427" t="str">
            <v>bahar</v>
          </cell>
          <cell r="E427">
            <v>0</v>
          </cell>
          <cell r="F427" t="str">
            <v>x</v>
          </cell>
          <cell r="G427" t="str">
            <v>committy ran social club, has to get approval before changes, but she's the best to talk to.</v>
          </cell>
        </row>
        <row r="428">
          <cell r="B428" t="str">
            <v>CM22 7EB</v>
          </cell>
          <cell r="C428" t="str">
            <v>4/16/2024 4:07:22 PM</v>
          </cell>
          <cell r="D428" t="str">
            <v>tally</v>
          </cell>
          <cell r="E428">
            <v>7802363567</v>
          </cell>
          <cell r="F428" t="str">
            <v>x</v>
          </cell>
        </row>
        <row r="429">
          <cell r="B429" t="str">
            <v>CM21 9AJ</v>
          </cell>
          <cell r="C429" t="str">
            <v>4/16/2024 3:19:35 PM</v>
          </cell>
          <cell r="D429" t="str">
            <v>devin</v>
          </cell>
          <cell r="E429">
            <v>7415276328</v>
          </cell>
          <cell r="F429" t="str">
            <v>x</v>
          </cell>
          <cell r="G429" t="str">
            <v>js target and aspalls</v>
          </cell>
        </row>
        <row r="430">
          <cell r="B430" t="str">
            <v>CM20 2NB</v>
          </cell>
          <cell r="C430" t="str">
            <v>4/16/2024 1:07:37 PM</v>
          </cell>
          <cell r="D430" t="str">
            <v>dan</v>
          </cell>
          <cell r="E430">
            <v>0</v>
          </cell>
          <cell r="F430" t="str">
            <v>x</v>
          </cell>
        </row>
        <row r="431">
          <cell r="B431" t="str">
            <v>CM18 6EN</v>
          </cell>
          <cell r="C431" t="str">
            <v>4/16/2024 12:22:40 PM</v>
          </cell>
          <cell r="D431" t="str">
            <v>paul</v>
          </cell>
          <cell r="E431">
            <v>7555803013</v>
          </cell>
          <cell r="F431" t="str">
            <v>x</v>
          </cell>
          <cell r="G431" t="str">
            <v>getting new tbars in Jan so bother bars look the same. looking to make amy possible change before</v>
          </cell>
        </row>
        <row r="432">
          <cell r="B432" t="str">
            <v>CM18 7PS</v>
          </cell>
          <cell r="C432" t="str">
            <v>4/15/2024 4:50:54 PM</v>
          </cell>
          <cell r="D432" t="str">
            <v>michelle</v>
          </cell>
          <cell r="E432">
            <v>0</v>
          </cell>
          <cell r="F432" t="str">
            <v>x</v>
          </cell>
          <cell r="G432" t="str">
            <v>got email from staff</v>
          </cell>
        </row>
        <row r="433">
          <cell r="B433" t="str">
            <v>SG1 4LJ</v>
          </cell>
          <cell r="C433" t="str">
            <v>4/15/2024 4:19:18 PM</v>
          </cell>
          <cell r="D433" t="str">
            <v>Sandra and martin</v>
          </cell>
          <cell r="E433">
            <v>0</v>
          </cell>
          <cell r="F433" t="str">
            <v>x</v>
          </cell>
          <cell r="G433" t="str">
            <v>becks on, good on pos</v>
          </cell>
        </row>
        <row r="434">
          <cell r="B434" t="str">
            <v>SG1 3DB</v>
          </cell>
          <cell r="C434" t="str">
            <v>4/15/2024 3:54:19 PM</v>
          </cell>
          <cell r="D434" t="str">
            <v>richard</v>
          </cell>
          <cell r="E434">
            <v>7973752081</v>
          </cell>
          <cell r="F434" t="str">
            <v>x</v>
          </cell>
          <cell r="G434" t="str">
            <v>madri and cider target</v>
          </cell>
        </row>
        <row r="435">
          <cell r="B435" t="str">
            <v>SG1 3LL</v>
          </cell>
          <cell r="C435" t="str">
            <v>4/15/2024 2:49:43 PM</v>
          </cell>
          <cell r="D435" t="str">
            <v>rachel</v>
          </cell>
          <cell r="E435">
            <v>7837471313</v>
          </cell>
          <cell r="F435" t="str">
            <v>x</v>
          </cell>
          <cell r="G435" t="str">
            <v>emailed becky</v>
          </cell>
        </row>
        <row r="436">
          <cell r="B436" t="str">
            <v>SG1 1NA</v>
          </cell>
          <cell r="C436" t="str">
            <v>4/15/2024 2:13:26 PM</v>
          </cell>
          <cell r="D436" t="str">
            <v>andy</v>
          </cell>
          <cell r="E436">
            <v>0</v>
          </cell>
          <cell r="F436" t="str">
            <v>x</v>
          </cell>
          <cell r="G436" t="str">
            <v>Colin a good chat, has abk on his garden bar (summers are packed) stoked when I mentioned Hells - pale likely not an option but corona may</v>
          </cell>
        </row>
        <row r="437">
          <cell r="B437" t="str">
            <v>PE19 1AE</v>
          </cell>
          <cell r="C437" t="str">
            <v>4/15/2024 1:32:35 PM</v>
          </cell>
          <cell r="D437" t="str">
            <v>charlotte</v>
          </cell>
          <cell r="E437">
            <v>7311966759</v>
          </cell>
          <cell r="F437" t="str">
            <v>x</v>
          </cell>
          <cell r="G437" t="str">
            <v>Stella on and doing well. madri leaving for esgrella (wants a proper spanish- thought san mig but estrella was 5 pound less)</v>
          </cell>
        </row>
        <row r="438">
          <cell r="B438" t="str">
            <v>PE19 7AB</v>
          </cell>
          <cell r="C438">
            <v>45600.658715277779</v>
          </cell>
          <cell r="D438" t="str">
            <v>paula</v>
          </cell>
          <cell r="E438">
            <v>0</v>
          </cell>
          <cell r="F438" t="str">
            <v>karenkathwalker@gmail.com</v>
          </cell>
          <cell r="G438" t="str">
            <v>very proud of the food offered</v>
          </cell>
        </row>
        <row r="439">
          <cell r="B439" t="str">
            <v>PE19 8BL</v>
          </cell>
          <cell r="C439">
            <v>45600.604050925926</v>
          </cell>
          <cell r="D439" t="str">
            <v>shona</v>
          </cell>
          <cell r="E439">
            <v>0</v>
          </cell>
          <cell r="F439" t="str">
            <v>x</v>
          </cell>
        </row>
        <row r="440">
          <cell r="B440" t="str">
            <v>PE19 8EQ</v>
          </cell>
          <cell r="C440">
            <v>45600.588761574072</v>
          </cell>
          <cell r="D440" t="str">
            <v>amy</v>
          </cell>
          <cell r="E440">
            <v>0</v>
          </cell>
          <cell r="F440" t="str">
            <v>x</v>
          </cell>
          <cell r="G440" t="str">
            <v>wants to talk Trump and us politics... tried to steer off that</v>
          </cell>
        </row>
        <row r="441">
          <cell r="B441" t="str">
            <v>CB24 8RZ</v>
          </cell>
          <cell r="C441">
            <v>45600.569479166668</v>
          </cell>
          <cell r="D441" t="str">
            <v>Connor</v>
          </cell>
          <cell r="E441">
            <v>0</v>
          </cell>
          <cell r="F441" t="str">
            <v>x</v>
          </cell>
          <cell r="G441" t="str">
            <v>sorting sit down meet come early Dec.</v>
          </cell>
        </row>
        <row r="442">
          <cell r="B442" t="str">
            <v>CB24 9JD</v>
          </cell>
          <cell r="C442">
            <v>45569.630312499998</v>
          </cell>
          <cell r="D442" t="str">
            <v>Mark (younger guy) and collin</v>
          </cell>
          <cell r="E442">
            <v>0</v>
          </cell>
          <cell r="F442" t="str">
            <v>x</v>
          </cell>
          <cell r="G442" t="str">
            <v>moving to trust</v>
          </cell>
        </row>
        <row r="443">
          <cell r="B443" t="str">
            <v>CB4 3JB</v>
          </cell>
          <cell r="C443">
            <v>45569.590983796297</v>
          </cell>
          <cell r="D443" t="str">
            <v>Andy and karen</v>
          </cell>
          <cell r="E443">
            <v>0</v>
          </cell>
          <cell r="F443" t="str">
            <v>x</v>
          </cell>
          <cell r="G443" t="str">
            <v>wants to keepnit a local pub, not sure still free trade</v>
          </cell>
        </row>
        <row r="444">
          <cell r="B444" t="str">
            <v>CO7 9DH</v>
          </cell>
          <cell r="C444">
            <v>45569.571296296293</v>
          </cell>
          <cell r="D444" t="str">
            <v>terri</v>
          </cell>
          <cell r="E444">
            <v>7447413788</v>
          </cell>
          <cell r="F444" t="str">
            <v>x</v>
          </cell>
          <cell r="G444" t="str">
            <v>left card and messaged bdm for new owners</v>
          </cell>
        </row>
        <row r="445">
          <cell r="B445" t="str">
            <v>IP31 3LP</v>
          </cell>
          <cell r="C445">
            <v>45569.536863425928</v>
          </cell>
          <cell r="D445" t="str">
            <v>Geoff</v>
          </cell>
          <cell r="E445">
            <v>7885594229</v>
          </cell>
          <cell r="F445" t="str">
            <v>x</v>
          </cell>
          <cell r="G445" t="str">
            <v>met amy. passed on deets to schedule a proper apt.</v>
          </cell>
        </row>
        <row r="446">
          <cell r="B446" t="str">
            <v>CB8 7HA</v>
          </cell>
          <cell r="C446">
            <v>45508.643622685187</v>
          </cell>
          <cell r="D446" t="str">
            <v>zack</v>
          </cell>
          <cell r="E446">
            <v>0</v>
          </cell>
          <cell r="F446">
            <v>0</v>
          </cell>
          <cell r="G446" t="str">
            <v>3 targetable taps</v>
          </cell>
        </row>
        <row r="447">
          <cell r="B447" t="str">
            <v>CB1 2LL</v>
          </cell>
          <cell r="C447">
            <v>45508.584629629629</v>
          </cell>
          <cell r="D447" t="str">
            <v>mark and lindsey</v>
          </cell>
          <cell r="E447">
            <v>7508962745</v>
          </cell>
          <cell r="F447" t="str">
            <v>x</v>
          </cell>
          <cell r="G447" t="str">
            <v>Stella on and more of their entry level</v>
          </cell>
        </row>
        <row r="448">
          <cell r="B448" t="str">
            <v>CB1 3NW</v>
          </cell>
          <cell r="C448">
            <v>45508.546273148146</v>
          </cell>
          <cell r="D448" t="str">
            <v>tara</v>
          </cell>
          <cell r="E448">
            <v>0</v>
          </cell>
          <cell r="F448" t="str">
            <v>theBrookpub.co.uk</v>
          </cell>
          <cell r="G448" t="str">
            <v>food led</v>
          </cell>
        </row>
        <row r="449">
          <cell r="B449" t="str">
            <v>CO7 6XA</v>
          </cell>
          <cell r="C449">
            <v>45416.638761574075</v>
          </cell>
          <cell r="D449" t="str">
            <v>chelsea</v>
          </cell>
          <cell r="E449">
            <v>0</v>
          </cell>
          <cell r="G449" t="str">
            <v>carl said hi but was in a rush. gave me his email to book in.</v>
          </cell>
        </row>
        <row r="450">
          <cell r="B450" t="str">
            <v>IP4 4NX</v>
          </cell>
          <cell r="C450">
            <v>45416.612141203703</v>
          </cell>
          <cell r="D450" t="str">
            <v>Justin (dm)</v>
          </cell>
          <cell r="E450">
            <v>0</v>
          </cell>
          <cell r="F450" t="str">
            <v>x</v>
          </cell>
          <cell r="G450" t="str">
            <v>lurcher stout and guinnes on, possible target</v>
          </cell>
        </row>
        <row r="451">
          <cell r="B451" t="str">
            <v>IP3 0PQ</v>
          </cell>
          <cell r="C451">
            <v>45355.652407407404</v>
          </cell>
          <cell r="D451" t="str">
            <v>Roxanna and michael</v>
          </cell>
          <cell r="E451">
            <v>777553249</v>
          </cell>
          <cell r="F451" t="str">
            <v>x</v>
          </cell>
          <cell r="G451" t="str">
            <v>Stowford press for kop possible</v>
          </cell>
        </row>
        <row r="452">
          <cell r="B452" t="str">
            <v>IP1 3NS</v>
          </cell>
          <cell r="C452">
            <v>45355.55609953704</v>
          </cell>
          <cell r="D452" t="str">
            <v>raf manager (3year</v>
          </cell>
          <cell r="E452">
            <v>0</v>
          </cell>
          <cell r="F452" t="str">
            <v>x</v>
          </cell>
          <cell r="G452" t="str">
            <v>budvar/Carl's target for stela or bud</v>
          </cell>
        </row>
        <row r="453">
          <cell r="B453" t="str">
            <v>CM8 2JL</v>
          </cell>
          <cell r="C453">
            <v>45355.513726851852</v>
          </cell>
          <cell r="D453" t="str">
            <v>vamsi</v>
          </cell>
          <cell r="E453">
            <v>0</v>
          </cell>
          <cell r="F453" t="str">
            <v>x</v>
          </cell>
          <cell r="G453" t="str">
            <v>possibly a 6th line unused</v>
          </cell>
        </row>
        <row r="454">
          <cell r="B454" t="str">
            <v>CM2 0HG</v>
          </cell>
          <cell r="C454">
            <v>45326.471134259256</v>
          </cell>
          <cell r="D454" t="str">
            <v>tom</v>
          </cell>
          <cell r="E454">
            <v>8</v>
          </cell>
          <cell r="F454" t="str">
            <v>x</v>
          </cell>
          <cell r="G454" t="str">
            <v>emailed</v>
          </cell>
        </row>
        <row r="455">
          <cell r="B455" t="str">
            <v>SG4 8NU</v>
          </cell>
          <cell r="C455" t="str">
            <v>3/27/2024 5:26:55 PM</v>
          </cell>
          <cell r="D455" t="str">
            <v>Greig and rosie</v>
          </cell>
          <cell r="E455">
            <v>7378472427</v>
          </cell>
          <cell r="F455" t="str">
            <v>x</v>
          </cell>
          <cell r="G455" t="str">
            <v>amilia and elisa</v>
          </cell>
        </row>
        <row r="456">
          <cell r="B456" t="str">
            <v>SG4 8LA</v>
          </cell>
          <cell r="C456" t="str">
            <v>3/27/2024 3:25:13 PM</v>
          </cell>
          <cell r="D456" t="str">
            <v>shona</v>
          </cell>
          <cell r="E456">
            <v>0</v>
          </cell>
          <cell r="F456" t="str">
            <v>x</v>
          </cell>
          <cell r="G456" t="str">
            <v>local lager, carlsberg and perhaps cider target</v>
          </cell>
        </row>
        <row r="457">
          <cell r="B457" t="str">
            <v>SG4 9TZ</v>
          </cell>
          <cell r="C457" t="str">
            <v>3/27/2024 2:44:02 PM</v>
          </cell>
          <cell r="D457" t="str">
            <v>Andy and steve</v>
          </cell>
          <cell r="E457">
            <v>0</v>
          </cell>
          <cell r="F457" t="str">
            <v>x</v>
          </cell>
          <cell r="G457" t="str">
            <v>amilia makes most decisions. texting for a proper meet</v>
          </cell>
        </row>
        <row r="458">
          <cell r="B458" t="str">
            <v>SG12 8AA</v>
          </cell>
          <cell r="C458" t="str">
            <v>3/26/2024 3:22:22 PM</v>
          </cell>
          <cell r="D458" t="str">
            <v>paul</v>
          </cell>
          <cell r="E458">
            <v>0</v>
          </cell>
          <cell r="G458" t="str">
            <v>dit</v>
          </cell>
        </row>
        <row r="459">
          <cell r="B459" t="str">
            <v>CM23 2LD</v>
          </cell>
          <cell r="C459" t="str">
            <v>3/26/2024 1:18:53 PM</v>
          </cell>
          <cell r="D459" t="str">
            <v>jim</v>
          </cell>
          <cell r="E459">
            <v>7396055967</v>
          </cell>
        </row>
        <row r="460">
          <cell r="B460" t="str">
            <v>CO7 9DH</v>
          </cell>
          <cell r="C460" t="str">
            <v>3/21/2024 3:32:44 PM</v>
          </cell>
          <cell r="D460" t="str">
            <v>David and David ll</v>
          </cell>
          <cell r="E460">
            <v>7730406358</v>
          </cell>
          <cell r="G460" t="str">
            <v>Spoke with gale and harry - prospect for meeting in the new year.</v>
          </cell>
        </row>
        <row r="461">
          <cell r="B461" t="str">
            <v>NR21 8BS</v>
          </cell>
          <cell r="C461" t="str">
            <v>3/21/2024 3:03:03 PM</v>
          </cell>
          <cell r="D461" t="str">
            <v>collin</v>
          </cell>
          <cell r="E461">
            <v>0</v>
          </cell>
        </row>
        <row r="462">
          <cell r="B462" t="str">
            <v>PE26 1HH</v>
          </cell>
          <cell r="C462" t="str">
            <v>3/21/2024 2:07:58 PM</v>
          </cell>
          <cell r="D462" t="str">
            <v>Emily or Freddie ll</v>
          </cell>
          <cell r="E462">
            <v>7471151042</v>
          </cell>
          <cell r="G462" t="str">
            <v>MO - horseshoe, the bull, market deeping hotel &amp; black horse</v>
          </cell>
        </row>
        <row r="463">
          <cell r="B463" t="str">
            <v>NR29 5QQ</v>
          </cell>
          <cell r="C463" t="str">
            <v>3/21/2024 12:47:57 PM</v>
          </cell>
        </row>
        <row r="464">
          <cell r="B464" t="str">
            <v>NR33 8QS</v>
          </cell>
          <cell r="C464" t="str">
            <v>3/20/2024 3:29:39 PM</v>
          </cell>
        </row>
        <row r="465">
          <cell r="B465" t="str">
            <v>PE34 4LZ</v>
          </cell>
          <cell r="C465" t="str">
            <v>3/19/2024 3:21:41 PM</v>
          </cell>
          <cell r="G465" t="str">
            <v>newly acquired by allen across the street at stage, stonegate pub. has a handful of pubs all dif rtm</v>
          </cell>
        </row>
        <row r="466">
          <cell r="B466" t="str">
            <v>PE21 7DD</v>
          </cell>
          <cell r="C466" t="str">
            <v>3/18/2024 4:15:06 PM</v>
          </cell>
        </row>
        <row r="467">
          <cell r="B467" t="str">
            <v>PE21 7JE</v>
          </cell>
          <cell r="C467" t="str">
            <v>3/18/2024 1:40:56 PM</v>
          </cell>
          <cell r="G467" t="str">
            <v>michael is mhr here. massive garden. 2 barrels or less of each brand. food and kid focused.</v>
          </cell>
        </row>
        <row r="468">
          <cell r="B468" t="str">
            <v>PE21 6NP</v>
          </cell>
          <cell r="C468" t="str">
            <v>3/13/2024 1:19:11 PM</v>
          </cell>
          <cell r="G468" t="str">
            <v>dit</v>
          </cell>
        </row>
        <row r="469">
          <cell r="B469" t="str">
            <v>PE25 2LJ</v>
          </cell>
          <cell r="C469" t="str">
            <v>3/13/2024 12:20:26 PM</v>
          </cell>
          <cell r="G469" t="str">
            <v>Thursby pub. near fine dining horseshoes,  free?</v>
          </cell>
        </row>
        <row r="470">
          <cell r="B470" t="str">
            <v>SS12 9AT</v>
          </cell>
          <cell r="C470">
            <v>45629.708090277774</v>
          </cell>
          <cell r="G470" t="str">
            <v>acquired bull across the steet, michael ll</v>
          </cell>
        </row>
        <row r="471">
          <cell r="B471" t="str">
            <v>SS13 2AN</v>
          </cell>
          <cell r="C471">
            <v>45629.667800925927</v>
          </cell>
          <cell r="G471" t="str">
            <v>took camden duo out of free trade pub , small town not right spot... here is great especially waterfront garden. getting huk smart in October and new tbars. want old school stella handles and pale next to neckoil</v>
          </cell>
        </row>
        <row r="472">
          <cell r="B472" t="str">
            <v>SS16 5DF</v>
          </cell>
          <cell r="C472">
            <v>45629.647731481484</v>
          </cell>
        </row>
        <row r="473">
          <cell r="B473" t="str">
            <v>SS15 5HG</v>
          </cell>
          <cell r="C473">
            <v>45629.634872685187</v>
          </cell>
        </row>
        <row r="474">
          <cell r="B474" t="str">
            <v>NR2 2PE</v>
          </cell>
          <cell r="C474">
            <v>45629.567083333335</v>
          </cell>
        </row>
        <row r="475">
          <cell r="B475" t="str">
            <v>NR2 1NR</v>
          </cell>
          <cell r="C475">
            <v>45599.649004629631</v>
          </cell>
          <cell r="G475" t="str">
            <v>Stella 1/2 and St 20 - Red bar mats</v>
          </cell>
        </row>
        <row r="476">
          <cell r="B476" t="str">
            <v>NR7 0EQ</v>
          </cell>
          <cell r="C476">
            <v>45599.616678240738</v>
          </cell>
        </row>
        <row r="477">
          <cell r="B477" t="str">
            <v>SS3 0HZ</v>
          </cell>
          <cell r="C477">
            <v>45599.596701388888</v>
          </cell>
        </row>
        <row r="478">
          <cell r="B478" t="str">
            <v>SS1 2EJ</v>
          </cell>
          <cell r="C478">
            <v>45599.580196759256</v>
          </cell>
        </row>
        <row r="479">
          <cell r="B479" t="str">
            <v>SS1 1PQ</v>
          </cell>
          <cell r="C479">
            <v>45507.716886574075</v>
          </cell>
          <cell r="G479" t="str">
            <v>pe6 9pb - send same</v>
          </cell>
        </row>
        <row r="480">
          <cell r="B480" t="str">
            <v>SS0 9LA</v>
          </cell>
          <cell r="C480">
            <v>45507.589328703703</v>
          </cell>
          <cell r="G480" t="str">
            <v>Stella 20</v>
          </cell>
        </row>
        <row r="481">
          <cell r="B481" t="str">
            <v>SS9 5PS</v>
          </cell>
          <cell r="C481">
            <v>45507.520960648151</v>
          </cell>
          <cell r="G481" t="str">
            <v>black horse - free horse</v>
          </cell>
        </row>
        <row r="482">
          <cell r="B482" t="str">
            <v>CB7 5DS</v>
          </cell>
          <cell r="C482">
            <v>45446.649328703701</v>
          </cell>
          <cell r="G482" t="str">
            <v>allen</v>
          </cell>
        </row>
        <row r="483">
          <cell r="B483" t="str">
            <v>SG18 0LS</v>
          </cell>
          <cell r="C483">
            <v>45446.627708333333</v>
          </cell>
        </row>
        <row r="484">
          <cell r="B484" t="str">
            <v>SG19 1HA</v>
          </cell>
          <cell r="C484">
            <v>45446.606793981482</v>
          </cell>
          <cell r="G484" t="str">
            <v>Harry bar mngr</v>
          </cell>
        </row>
        <row r="485">
          <cell r="B485" t="str">
            <v>SG8 6RA</v>
          </cell>
          <cell r="C485">
            <v>45446.587384259263</v>
          </cell>
          <cell r="G485">
            <v>7577435149</v>
          </cell>
        </row>
        <row r="486">
          <cell r="B486" t="str">
            <v>RM16 3ER</v>
          </cell>
          <cell r="C486">
            <v>45446.554282407407</v>
          </cell>
        </row>
        <row r="487">
          <cell r="B487" t="str">
            <v>RM20 4AD</v>
          </cell>
          <cell r="C487">
            <v>45415.652754629627</v>
          </cell>
        </row>
        <row r="488">
          <cell r="B488" t="str">
            <v>RM20 4AR</v>
          </cell>
          <cell r="C488">
            <v>45415.59511574074</v>
          </cell>
          <cell r="G488" t="str">
            <v>talking upgrade tap handles ' so people go to the second bar too</v>
          </cell>
        </row>
        <row r="489">
          <cell r="B489" t="str">
            <v>RM15 4DL</v>
          </cell>
          <cell r="C489">
            <v>45415.577094907407</v>
          </cell>
        </row>
        <row r="490">
          <cell r="B490" t="str">
            <v>RM13 9RY</v>
          </cell>
          <cell r="C490">
            <v>45415.544907407406</v>
          </cell>
        </row>
        <row r="491">
          <cell r="B491" t="str">
            <v>RM10 9HP</v>
          </cell>
          <cell r="C491">
            <v>45385.63789351852</v>
          </cell>
          <cell r="G491" t="str">
            <v>they have hells and pale on at the other free house- open to here... left samples and talked postbox ipo smironoff that isn't doing well</v>
          </cell>
        </row>
        <row r="492">
          <cell r="B492" t="str">
            <v>RM3 9PP</v>
          </cell>
          <cell r="C492">
            <v>45385.626111111109</v>
          </cell>
        </row>
        <row r="493">
          <cell r="B493" t="str">
            <v>PE9 2PA</v>
          </cell>
          <cell r="C493">
            <v>45385.615706018521</v>
          </cell>
          <cell r="G493" t="str">
            <v>fosters target and perhaps neckoil ipo pale</v>
          </cell>
        </row>
        <row r="494">
          <cell r="B494" t="str">
            <v>PE9 1AL</v>
          </cell>
          <cell r="C494">
            <v>45385.592777777776</v>
          </cell>
          <cell r="G494" t="str">
            <v>mo, owns halfmoon Bishop Stratford.</v>
          </cell>
        </row>
        <row r="495">
          <cell r="B495" t="str">
            <v>PE9 2SX</v>
          </cell>
          <cell r="C495">
            <v>45385.580925925926</v>
          </cell>
          <cell r="G495" t="str">
            <v>has pale at both pubs. top vol.</v>
          </cell>
        </row>
        <row r="496">
          <cell r="B496" t="str">
            <v>PE9 4HH</v>
          </cell>
          <cell r="C496">
            <v>45385.545902777776</v>
          </cell>
          <cell r="G496" t="str">
            <v>introduced new rep lewos</v>
          </cell>
        </row>
        <row r="497">
          <cell r="B497" t="str">
            <v>PE6 8EA</v>
          </cell>
          <cell r="C497">
            <v>45385.507361111115</v>
          </cell>
          <cell r="G497" t="str">
            <v>met ally the owner, she let's Tanya deal with the bar. passing my deets. interrupted a convo with a friend, not much of a chat</v>
          </cell>
        </row>
        <row r="498">
          <cell r="B498" t="str">
            <v>CB4 1HB</v>
          </cell>
          <cell r="C498" t="str">
            <v>2/29/2024 2:54:40 PM</v>
          </cell>
          <cell r="G498" t="str">
            <v>works closely with andrew his sdm, buddy up there</v>
          </cell>
        </row>
        <row r="499">
          <cell r="B499" t="str">
            <v>CB4 2BY</v>
          </cell>
          <cell r="C499" t="str">
            <v>2/29/2024 2:37:36 PM</v>
          </cell>
          <cell r="G499" t="str">
            <v>budlihjt and stella and san mig on, all about 2 barrel a week</v>
          </cell>
        </row>
        <row r="500">
          <cell r="B500" t="str">
            <v>CB6 3AY</v>
          </cell>
          <cell r="C500" t="str">
            <v>2/29/2024 2:00:47 PM</v>
          </cell>
          <cell r="G500" t="str">
            <v>a few targetable brands</v>
          </cell>
        </row>
        <row r="501">
          <cell r="B501" t="str">
            <v>IP28 7EA</v>
          </cell>
          <cell r="C501" t="str">
            <v>2/29/2024 1:41:14 PM</v>
          </cell>
          <cell r="G501" t="str">
            <v>sending tshirts and pints his way, open to proper convo down the road</v>
          </cell>
        </row>
        <row r="502">
          <cell r="B502" t="str">
            <v>CO10 1RF</v>
          </cell>
          <cell r="C502" t="str">
            <v>2/29/2024 12:56:37 PM</v>
          </cell>
          <cell r="G502" t="str">
            <v>monday and Tuesday are his day in</v>
          </cell>
        </row>
        <row r="503">
          <cell r="B503" t="str">
            <v>CO10 1RE</v>
          </cell>
          <cell r="C503" t="str">
            <v>2/29/2024 9:23:21 AM</v>
          </cell>
          <cell r="G503" t="str">
            <v>becks and san mig on</v>
          </cell>
        </row>
        <row r="504">
          <cell r="B504" t="str">
            <v>CO10 2TU</v>
          </cell>
          <cell r="C504" t="str">
            <v>2/28/2024 1:47:08 PM</v>
          </cell>
          <cell r="G504" t="str">
            <v>target carlsberg and aspall</v>
          </cell>
        </row>
        <row r="505">
          <cell r="B505" t="str">
            <v>IP11 9DS</v>
          </cell>
          <cell r="C505" t="str">
            <v>2/28/2024 1:02:37 PM</v>
          </cell>
          <cell r="G505" t="str">
            <v>got phone and day to call. out of cards to pass his email.</v>
          </cell>
        </row>
        <row r="506">
          <cell r="B506" t="str">
            <v>CM9 8AS</v>
          </cell>
          <cell r="C506" t="str">
            <v>2/28/2024 11:54:04 AM</v>
          </cell>
          <cell r="G506" t="str">
            <v>kat was by herself working, fairly busy. passed josh number</v>
          </cell>
        </row>
        <row r="507">
          <cell r="B507" t="str">
            <v>CM6 1NT</v>
          </cell>
          <cell r="C507" t="str">
            <v>2/27/2024 3:46:30 PM</v>
          </cell>
          <cell r="G507" t="str">
            <v>only really target option is cider. sending josh a note</v>
          </cell>
        </row>
        <row r="508">
          <cell r="B508" t="str">
            <v>CM3 1NR</v>
          </cell>
          <cell r="C508" t="str">
            <v>2/27/2024 3:38:36 PM</v>
          </cell>
          <cell r="G508" t="str">
            <v>bartender way to busy to talk, packed at 1pm on a Thursday. mentioned him and the owner switch shifts as they don't like eachother ha</v>
          </cell>
        </row>
        <row r="509">
          <cell r="B509" t="str">
            <v>CM7 9ER</v>
          </cell>
          <cell r="C509" t="str">
            <v>2/27/2024 3:24:01 PM</v>
          </cell>
          <cell r="G509" t="str">
            <v>gave him my card to pass on as he wasn't comfortable sharing a contact</v>
          </cell>
        </row>
        <row r="510">
          <cell r="B510" t="str">
            <v>CO9 1LL</v>
          </cell>
          <cell r="C510" t="str">
            <v>2/27/2024 2:08:26 PM</v>
          </cell>
          <cell r="G510" t="str">
            <v>new owners are off we'd and Thurs</v>
          </cell>
        </row>
        <row r="511">
          <cell r="B511" t="str">
            <v>CO9 3EX</v>
          </cell>
          <cell r="C511" t="str">
            <v>2/27/2024 12:53:04 PM</v>
          </cell>
          <cell r="G511" t="str">
            <v>target js and madri, a couple local taps as well (local stout)</v>
          </cell>
        </row>
        <row r="512">
          <cell r="B512" t="str">
            <v>IP31 3LP</v>
          </cell>
          <cell r="C512" t="str">
            <v>2/26/2024 3:17:33 PM</v>
          </cell>
          <cell r="G512" t="str">
            <v>4 ciders on</v>
          </cell>
        </row>
        <row r="513">
          <cell r="B513" t="str">
            <v>IP33 1EB</v>
          </cell>
          <cell r="C513" t="str">
            <v>2/26/2024 2:29:43 PM</v>
          </cell>
          <cell r="E513" t="str">
            <v>07983 801960</v>
          </cell>
          <cell r="G513" t="str">
            <v>only got pub phone from bartender ringing when they are back</v>
          </cell>
        </row>
        <row r="514">
          <cell r="B514" t="str">
            <v>CB1 1LN</v>
          </cell>
          <cell r="C514" t="str">
            <v>2/26/2024 1:52:43 PM</v>
          </cell>
          <cell r="G514" t="str">
            <v>Ian is bar manager. not in yet, security put me to the side and sarah came out to chat, very friendly and open to talk, passing my deets on to ian</v>
          </cell>
        </row>
        <row r="515">
          <cell r="B515" t="str">
            <v>CB4 1HB</v>
          </cell>
          <cell r="C515" t="str">
            <v>2/26/2024 1:06:48 PM</v>
          </cell>
          <cell r="G515" t="str">
            <v>emailed for golf club and this, both bar 1s related- 15 min drive dif similar line up</v>
          </cell>
        </row>
        <row r="516">
          <cell r="B516" t="str">
            <v>CB4 3BA</v>
          </cell>
          <cell r="C516" t="str">
            <v>2/26/2024 12:27:16 PM</v>
          </cell>
          <cell r="G516" t="str">
            <v>right off the water</v>
          </cell>
        </row>
        <row r="517">
          <cell r="B517" t="str">
            <v>CB2 1HW</v>
          </cell>
          <cell r="C517" t="str">
            <v>2/23/2024 3:39:20 PM</v>
          </cell>
          <cell r="G517" t="str">
            <v>spoke with Nicola husband</v>
          </cell>
        </row>
        <row r="518">
          <cell r="B518" t="str">
            <v>CB1 1DU</v>
          </cell>
          <cell r="C518" t="str">
            <v>2/23/2024 12:57:31 PM</v>
          </cell>
          <cell r="G518" t="str">
            <v>3 kegs on average of each brand a week. one of the best performing village pubs. and the lacons rep pushes our brands. had the place 4 years and opening another business in the area in the new year.</v>
          </cell>
        </row>
        <row r="519">
          <cell r="B519" t="str">
            <v>PE19 7AB</v>
          </cell>
          <cell r="C519" t="str">
            <v>2/22/2024 4:29:56 PM</v>
          </cell>
          <cell r="G519" t="str">
            <v>has a buddy in lacons and will stay that route - it's a holiday park club house. forwarding on to ift rep.</v>
          </cell>
        </row>
        <row r="520">
          <cell r="B520" t="str">
            <v>PE19 2AP</v>
          </cell>
          <cell r="C520" t="str">
            <v>2/22/2024 4:02:32 PM</v>
          </cell>
          <cell r="G520" t="str">
            <v>gary not here</v>
          </cell>
        </row>
        <row r="521">
          <cell r="B521" t="str">
            <v>PE19 1AE</v>
          </cell>
          <cell r="C521" t="str">
            <v>2/22/2024 3:43:04 PM</v>
          </cell>
          <cell r="G521" t="str">
            <v>Stella on</v>
          </cell>
        </row>
        <row r="522">
          <cell r="B522" t="str">
            <v>NR2 1NR</v>
          </cell>
          <cell r="C522" t="str">
            <v>2/22/2024 1:59:57 PM</v>
          </cell>
          <cell r="G522" t="str">
            <v>confirmed buying through gk</v>
          </cell>
        </row>
        <row r="523">
          <cell r="B523" t="str">
            <v>NR2 1DS</v>
          </cell>
          <cell r="C523" t="str">
            <v>2/22/2024 1:05:39 PM</v>
          </cell>
          <cell r="G523" t="str">
            <v>emailing him for a proper meet. says Mondays and Tuesdays are best</v>
          </cell>
        </row>
        <row r="524">
          <cell r="B524" t="str">
            <v>CO15 4AR</v>
          </cell>
          <cell r="C524" t="str">
            <v>2/21/2024 1:33:30 PM</v>
          </cell>
          <cell r="G524" t="str">
            <v>buys worthingtons and 1 other from lacons, rest is gk ift</v>
          </cell>
        </row>
        <row r="525">
          <cell r="B525" t="str">
            <v>CO15 4DA</v>
          </cell>
          <cell r="C525" t="str">
            <v>2/21/2024 1:22:00 PM</v>
          </cell>
          <cell r="G525" t="str">
            <v>works with the other local pubs to be different</v>
          </cell>
        </row>
        <row r="526">
          <cell r="B526" t="str">
            <v>CO14 8AD</v>
          </cell>
          <cell r="C526" t="str">
            <v>2/21/2024 12:46:14 PM</v>
          </cell>
          <cell r="G526" t="str">
            <v>good broad age range, music and event and food</v>
          </cell>
        </row>
        <row r="527">
          <cell r="B527" t="str">
            <v>CO12 3DD</v>
          </cell>
          <cell r="C527" t="str">
            <v>2/20/2024 4:33:25 PM</v>
          </cell>
          <cell r="G527" t="str">
            <v>sorting proper sit down convo on beers</v>
          </cell>
        </row>
        <row r="528">
          <cell r="B528" t="str">
            <v>CO12 4LW</v>
          </cell>
          <cell r="C528" t="str">
            <v>2/20/2024 4:30:58 PM</v>
          </cell>
          <cell r="G528" t="str">
            <v>aspall and inches and would mout on, cider target</v>
          </cell>
        </row>
        <row r="529">
          <cell r="B529" t="str">
            <v>CO7 6XA</v>
          </cell>
          <cell r="C529" t="str">
            <v>2/19/2024 3:57:39 PM</v>
          </cell>
          <cell r="G529" t="str">
            <v>20 and 10oz stella pints</v>
          </cell>
        </row>
        <row r="530">
          <cell r="B530" t="str">
            <v>CM9 8PX</v>
          </cell>
          <cell r="C530" t="str">
            <v>2/19/2024 3:32:38 PM</v>
          </cell>
          <cell r="G530" t="str">
            <v>too busy to talk but did complain. he doesn't get response from his sdm and get support. got his number and flowing up for proper meet</v>
          </cell>
        </row>
        <row r="531">
          <cell r="B531" t="str">
            <v>CM8 2JL</v>
          </cell>
          <cell r="C531" t="str">
            <v>2/19/2024 2:30:46 PM</v>
          </cell>
          <cell r="G531" t="str">
            <v>met paul at the bar, sweet man</v>
          </cell>
        </row>
        <row r="532">
          <cell r="B532" t="str">
            <v>CM8 2AF</v>
          </cell>
          <cell r="C532" t="str">
            <v>2/19/2024 1:30:24 PM</v>
          </cell>
          <cell r="G532" t="str">
            <v>Stella top pourer</v>
          </cell>
        </row>
        <row r="533">
          <cell r="B533" t="str">
            <v>WF17 9HE</v>
          </cell>
          <cell r="C533" t="str">
            <v>2/19/2024 1:11:42 PM</v>
          </cell>
          <cell r="G533" t="str">
            <v>may need glasses, adding that to email to owner</v>
          </cell>
        </row>
        <row r="534">
          <cell r="B534" t="str">
            <v>WF4 3AX</v>
          </cell>
          <cell r="C534" t="str">
            <v>2/19/2024 12:29:28 PM</v>
          </cell>
          <cell r="G534" t="str">
            <v>local pub, feels homey inside. carlsber and cider target (he has 3 ciders on)</v>
          </cell>
        </row>
        <row r="535">
          <cell r="B535" t="str">
            <v>WF2 6QQ</v>
          </cell>
          <cell r="C535" t="str">
            <v>2/16/2024 2:11:05 PM</v>
          </cell>
          <cell r="G535" t="str">
            <v>bellaire@thefamilyparksgroup.co.uk</v>
          </cell>
        </row>
        <row r="536">
          <cell r="B536" t="str">
            <v>WF2 7DY</v>
          </cell>
          <cell r="C536" t="str">
            <v>2/16/2024 1:44:29 PM</v>
          </cell>
        </row>
        <row r="537">
          <cell r="B537" t="str">
            <v>CM18 6EN</v>
          </cell>
          <cell r="C537" t="str">
            <v>2/16/2024 1:20:33 PM</v>
          </cell>
          <cell r="G537" t="str">
            <v>good chat with james, owner</v>
          </cell>
        </row>
        <row r="538">
          <cell r="B538" t="str">
            <v>NR30 5AQ</v>
          </cell>
          <cell r="C538" t="str">
            <v>2/15/2024 2:11:11 PM</v>
          </cell>
          <cell r="G538" t="str">
            <v>they are part of a group of 9 other trailer parks- mostly bbg brands</v>
          </cell>
        </row>
        <row r="539">
          <cell r="B539" t="str">
            <v>NR30 5EL</v>
          </cell>
          <cell r="C539" t="str">
            <v>2/15/2024 1:20:23 PM</v>
          </cell>
          <cell r="G539" t="str">
            <v>opening mid March, email reminder for Feb</v>
          </cell>
        </row>
        <row r="540">
          <cell r="B540" t="str">
            <v>NR30 5HA</v>
          </cell>
          <cell r="C540" t="str">
            <v>2/15/2024 12:33:29 PM</v>
          </cell>
          <cell r="G540" t="str">
            <v>emailing now for list of other parks</v>
          </cell>
        </row>
        <row r="541">
          <cell r="B541" t="str">
            <v>NR30 4LU</v>
          </cell>
          <cell r="C541" t="str">
            <v>2/15/2024 12:32:22 PM</v>
          </cell>
          <cell r="G541" t="str">
            <v>tery was upstairs. bar tender said I was there..  then came back and said he was good</v>
          </cell>
        </row>
        <row r="542">
          <cell r="B542" t="str">
            <v>NR30 2AJ</v>
          </cell>
          <cell r="C542" t="str">
            <v>2/14/2024 1:22:23 PM</v>
          </cell>
          <cell r="G542" t="str">
            <v>half his bar is bbg though , left a card</v>
          </cell>
        </row>
        <row r="543">
          <cell r="B543" t="str">
            <v>PE27 5ED</v>
          </cell>
          <cell r="C543" t="str">
            <v>2/13/2024 3:38:33 PM</v>
          </cell>
          <cell r="G543" t="str">
            <v>fosters and cider target</v>
          </cell>
        </row>
        <row r="544">
          <cell r="B544" t="str">
            <v>PE29 7LB</v>
          </cell>
          <cell r="C544" t="str">
            <v>2/13/2024 2:54:49 PM</v>
          </cell>
          <cell r="G544" t="str">
            <v>local pub, craft not likely, perhaps kopburg</v>
          </cell>
        </row>
        <row r="545">
          <cell r="B545" t="str">
            <v>PE19 1AJ</v>
          </cell>
          <cell r="C545" t="str">
            <v>2/13/2024 2:43:00 PM</v>
          </cell>
          <cell r="G545" t="str">
            <v>Ashley is mngr but on a belayed honeymoon</v>
          </cell>
        </row>
        <row r="546">
          <cell r="B546" t="str">
            <v>PE19 2TX</v>
          </cell>
          <cell r="C546" t="str">
            <v>2/13/2024 2:07:03 PM</v>
          </cell>
          <cell r="G546" t="str">
            <v>issaav taking care in her place, bartender gave email - closed today but opened when I was taking a photo of the place , curious why ha.</v>
          </cell>
        </row>
        <row r="547">
          <cell r="B547" t="str">
            <v>PE19 2NF</v>
          </cell>
          <cell r="C547" t="str">
            <v>2/13/2024 1:13:18 PM</v>
          </cell>
          <cell r="G547" t="str">
            <v>sent by Harley at the bell, same company,  about 8 pubs all gk ift , excluding one stonegate l&amp;t</v>
          </cell>
        </row>
        <row r="548">
          <cell r="B548" t="str">
            <v>CB2 9HZ</v>
          </cell>
          <cell r="C548">
            <v>45628.573321759257</v>
          </cell>
          <cell r="G548" t="str">
            <v>Stella  and san mig top vol.</v>
          </cell>
        </row>
        <row r="549">
          <cell r="B549" t="str">
            <v>CM2 0HG</v>
          </cell>
          <cell r="C549">
            <v>45628.492083333331</v>
          </cell>
          <cell r="G549" t="str">
            <v>right om the ocean.</v>
          </cell>
        </row>
        <row r="550">
          <cell r="B550" t="str">
            <v>CM1 1SW</v>
          </cell>
          <cell r="C550">
            <v>45537.5546412037</v>
          </cell>
        </row>
        <row r="551">
          <cell r="B551" t="str">
            <v>PE2 8HR</v>
          </cell>
          <cell r="C551">
            <v>45537.539652777778</v>
          </cell>
          <cell r="G551" t="str">
            <v>sent Stella pos, emailed sarah for proper meet- great camden ops here</v>
          </cell>
        </row>
        <row r="552">
          <cell r="B552" t="str">
            <v>PE2 9QS</v>
          </cell>
          <cell r="C552">
            <v>45537.533900462964</v>
          </cell>
          <cell r="G552">
            <v>7917726469</v>
          </cell>
        </row>
        <row r="553">
          <cell r="B553" t="str">
            <v>PE4 6QE</v>
          </cell>
          <cell r="C553">
            <v>45506.670185185183</v>
          </cell>
          <cell r="G553" t="str">
            <v>rob (orders the beer but Sarah's more the dm)</v>
          </cell>
        </row>
        <row r="554">
          <cell r="B554" t="str">
            <v>PE4 6HA</v>
          </cell>
          <cell r="C554">
            <v>45475.494699074072</v>
          </cell>
          <cell r="G554" t="str">
            <v>great convo with Harley(male)</v>
          </cell>
        </row>
        <row r="555">
          <cell r="B555" t="str">
            <v>PE29 2AQ</v>
          </cell>
          <cell r="C555">
            <v>45475.47320601852</v>
          </cell>
          <cell r="G555" t="str">
            <v>spoke in depth on camden stout, he's over guinnes lack of support or care if they switch but obviously scared to take off. left samples, could do with a push.</v>
          </cell>
        </row>
        <row r="556">
          <cell r="B556" t="str">
            <v>PE29 7LB</v>
          </cell>
          <cell r="C556">
            <v>45445.698240740741</v>
          </cell>
          <cell r="G556" t="str">
            <v>happy to meet a rep for once from anywhere, one to nurture ... has 8+ pubs under the company</v>
          </cell>
        </row>
        <row r="557">
          <cell r="B557" t="str">
            <v>PE29 3NF</v>
          </cell>
          <cell r="C557">
            <v>45445.67765046296</v>
          </cell>
          <cell r="G557" t="str">
            <v>he gave me a list of them</v>
          </cell>
        </row>
        <row r="558">
          <cell r="B558" t="str">
            <v>PE29 2HA</v>
          </cell>
          <cell r="C558">
            <v>45445.654780092591</v>
          </cell>
          <cell r="G558" t="str">
            <v>derik out on the boat, got his number and sent a note</v>
          </cell>
        </row>
        <row r="559">
          <cell r="B559" t="str">
            <v>PE29 2HZ</v>
          </cell>
          <cell r="C559">
            <v>45445.634282407409</v>
          </cell>
          <cell r="G559" t="str">
            <v>Stella on, top vol along with carlsberg (carling target) nicer pub nut a little out of town, may do for a pale or hells install</v>
          </cell>
        </row>
        <row r="560">
          <cell r="B560" t="str">
            <v>PE15 9PS</v>
          </cell>
          <cell r="C560">
            <v>45414.656666666669</v>
          </cell>
          <cell r="G560" t="str">
            <v>buys everything from gk ift... except guinnes and stella (g something... very soft spoken man- didn't recognise the rtm though)</v>
          </cell>
        </row>
        <row r="561">
          <cell r="B561" t="str">
            <v>PE15 8TD</v>
          </cell>
          <cell r="C561">
            <v>45414.581597222219</v>
          </cell>
          <cell r="G561" t="str">
            <v>sending glassware</v>
          </cell>
        </row>
        <row r="562">
          <cell r="B562" t="str">
            <v>PE15 9JD</v>
          </cell>
          <cell r="C562">
            <v>45414.557222222225</v>
          </cell>
          <cell r="G562" t="str">
            <v>showed up with tnt rep, agreed to meet end Oct for both her pubs, pale and hells in the bell and stout in the corner house... perhaps tnt too</v>
          </cell>
        </row>
        <row r="563">
          <cell r="B563" t="str">
            <v>IP5 1AA</v>
          </cell>
          <cell r="C563">
            <v>45414.543437499997</v>
          </cell>
          <cell r="G563" t="str">
            <v>buuut this is the second time she gave me a number yo someone else. fishy and wasn't on site when visited</v>
          </cell>
        </row>
        <row r="564">
          <cell r="B564" t="str">
            <v>IP3 0PQ</v>
          </cell>
          <cell r="C564">
            <v>45414.523333333331</v>
          </cell>
        </row>
        <row r="565">
          <cell r="B565" t="str">
            <v>IP2 0QG</v>
          </cell>
          <cell r="C565" t="str">
            <v>1/31/2024 3:54:41 PM</v>
          </cell>
        </row>
        <row r="566">
          <cell r="B566" t="str">
            <v>SG2 9QH</v>
          </cell>
          <cell r="C566" t="str">
            <v>1/31/2024 2:29:30 PM</v>
          </cell>
          <cell r="G566" t="str">
            <v>koppburg, rona and Bud filled in fridge</v>
          </cell>
        </row>
        <row r="567">
          <cell r="B567" t="str">
            <v>SG1 3DB</v>
          </cell>
          <cell r="C567" t="str">
            <v>1/31/2024 2:10:14 PM</v>
          </cell>
          <cell r="G567" t="str">
            <v>she's curious about what I tend to see stella go for £ - she is selling it for 5.60,</v>
          </cell>
        </row>
        <row r="568">
          <cell r="B568" t="str">
            <v>SG1 3LL</v>
          </cell>
          <cell r="C568" t="str">
            <v>1/30/2024 3:53:57 PM</v>
          </cell>
          <cell r="G568" t="str">
            <v>fosters 4.90, sam mig 5.60</v>
          </cell>
        </row>
        <row r="569">
          <cell r="B569" t="str">
            <v>SW9 9SA</v>
          </cell>
          <cell r="C569" t="str">
            <v>1/30/2024 2:54:17 PM</v>
          </cell>
        </row>
        <row r="570">
          <cell r="B570" t="str">
            <v>SG1 4LJ</v>
          </cell>
          <cell r="C570" t="str">
            <v>1/30/2024 1:40:41 PM</v>
          </cell>
          <cell r="G570" t="str">
            <v>music fests through the summer</v>
          </cell>
        </row>
        <row r="571">
          <cell r="B571" t="str">
            <v>CB8 8EE</v>
          </cell>
          <cell r="C571" t="str">
            <v>1/29/2024 4:32:45 PM</v>
          </cell>
        </row>
        <row r="572">
          <cell r="B572" t="str">
            <v>CB8 8LB</v>
          </cell>
          <cell r="C572" t="str">
            <v>1/29/2024 3:10:23 PM</v>
          </cell>
          <cell r="G572" t="str">
            <v>looking at replacing a dummy font with maybe 0% or another ipa type... talked in depth of pale</v>
          </cell>
        </row>
        <row r="573">
          <cell r="B573" t="str">
            <v>CB8 8DU</v>
          </cell>
          <cell r="C573" t="str">
            <v>1/29/2024 3:02:05 PM</v>
          </cell>
        </row>
        <row r="574">
          <cell r="B574" t="str">
            <v>CB8 8AD</v>
          </cell>
          <cell r="C574" t="str">
            <v>1/29/2024 1:38:50 PM</v>
          </cell>
          <cell r="G574" t="str">
            <v>been ll for 2 years... but she doesn't see pricing as her boss does so idk if she's actually licensee</v>
          </cell>
        </row>
        <row r="575">
          <cell r="B575" t="str">
            <v>CB8 8HF</v>
          </cell>
          <cell r="C575" t="str">
            <v>1/29/2024 1:12:42 PM</v>
          </cell>
        </row>
        <row r="576">
          <cell r="B576" t="str">
            <v>IP1 2EF</v>
          </cell>
          <cell r="C576" t="str">
            <v>1/26/2024 2:31:37 PM</v>
          </cell>
          <cell r="G576" t="str">
            <v>sending fu in a week ish , reminder for tnt, and camden data</v>
          </cell>
        </row>
        <row r="577">
          <cell r="B577" t="str">
            <v>IP1 3NS</v>
          </cell>
          <cell r="C577" t="str">
            <v>1/26/2024 2:15:41 PM</v>
          </cell>
          <cell r="G577" t="str">
            <v>abc pub co.</v>
          </cell>
        </row>
        <row r="578">
          <cell r="B578" t="str">
            <v>IP4 5ND</v>
          </cell>
          <cell r="C578" t="str">
            <v>1/26/2024 2:00:38 PM</v>
          </cell>
          <cell r="G578" t="str">
            <v>has 20+of pubs.</v>
          </cell>
        </row>
        <row r="579">
          <cell r="B579" t="str">
            <v>NR2 2AT</v>
          </cell>
          <cell r="C579" t="str">
            <v>1/26/2024 1:26:56 PM</v>
          </cell>
          <cell r="G579" t="str">
            <v>visited with rod at tnt, only stella ever going to pour here but he has many pubs and rod has a good relationship here and sharing info</v>
          </cell>
        </row>
        <row r="580">
          <cell r="B580" t="str">
            <v>NR2 2SL</v>
          </cell>
          <cell r="C580" t="str">
            <v>1/26/2024 12:41:23 PM</v>
          </cell>
          <cell r="G580" t="str">
            <v>, also has plume of feathers</v>
          </cell>
        </row>
        <row r="581">
          <cell r="B581" t="str">
            <v>NR2 1NG</v>
          </cell>
          <cell r="C581" t="str">
            <v>1/25/2024 4:09:55 PM</v>
          </cell>
          <cell r="G581" t="str">
            <v>putting on sky now</v>
          </cell>
        </row>
        <row r="582">
          <cell r="B582" t="str">
            <v>NR2 1AG</v>
          </cell>
          <cell r="C582" t="str">
            <v>1/25/2024 3:21:14 PM</v>
          </cell>
        </row>
        <row r="583">
          <cell r="B583" t="str">
            <v>NR7 0DR</v>
          </cell>
          <cell r="C583" t="str">
            <v>1/25/2024 1:11:01 PM</v>
          </cell>
        </row>
        <row r="584">
          <cell r="B584" t="str">
            <v>NR5 9HA</v>
          </cell>
          <cell r="C584" t="str">
            <v>1/24/2024 3:53:57 PM</v>
          </cell>
        </row>
        <row r="585">
          <cell r="B585" t="str">
            <v>NR9 3DD</v>
          </cell>
          <cell r="C585" t="str">
            <v>1/24/2024 2:35:01 PM</v>
          </cell>
          <cell r="G585" t="str">
            <v>Stella goods never showed.. started off annoyed by that and had to open him back up, thank god for locals at the bar sometimes. turned it around and ended with a laugh, still2  extra lines but not open to talk craft, san mig ops in the new year.</v>
          </cell>
        </row>
        <row r="586">
          <cell r="B586" t="str">
            <v>CM23 2EU</v>
          </cell>
          <cell r="C586" t="str">
            <v>1/24/2024 2:11:38 PM</v>
          </cell>
        </row>
        <row r="587">
          <cell r="B587" t="str">
            <v>CM22 7EB</v>
          </cell>
          <cell r="C587" t="str">
            <v>1/24/2024 1:17:27 PM</v>
          </cell>
        </row>
        <row r="588">
          <cell r="B588" t="str">
            <v>CM21 9AJ</v>
          </cell>
          <cell r="C588" t="str">
            <v>1/23/2024 3:08:49 PM</v>
          </cell>
          <cell r="G588" t="str">
            <v>Rodmngr</v>
          </cell>
        </row>
        <row r="589">
          <cell r="B589" t="str">
            <v>NR16 2AD</v>
          </cell>
          <cell r="C589" t="str">
            <v>1/23/2024 1:58:39 PM</v>
          </cell>
          <cell r="G589" t="str">
            <v>says Barry Barry darraugh arnt in often- have a few pubs</v>
          </cell>
        </row>
        <row r="590">
          <cell r="B590" t="str">
            <v>IP24 2DN</v>
          </cell>
          <cell r="C590" t="str">
            <v>1/23/2024 12:57:44 PM</v>
          </cell>
        </row>
        <row r="591">
          <cell r="B591" t="str">
            <v>IP24 1AH</v>
          </cell>
          <cell r="C591" t="str">
            <v>1/22/2024 3:14:34 PM</v>
          </cell>
          <cell r="G591" t="str">
            <v>2 blank taps- mentioned met mick rm and thought camden samples to send (sent Stella coasters)</v>
          </cell>
        </row>
        <row r="592">
          <cell r="C592" t="str">
            <v>1/22/2024 2:15:16 PM</v>
          </cell>
          <cell r="G592" t="str">
            <v>corona is fine, stella best seller.</v>
          </cell>
        </row>
        <row r="593">
          <cell r="C593" t="str">
            <v>1/22/2024 1:46:45 PM</v>
          </cell>
          <cell r="G593" t="str">
            <v>but she is out in 3 months,</v>
          </cell>
        </row>
        <row r="594">
          <cell r="C594" t="str">
            <v>1/19/2024 4:30:29 PM</v>
          </cell>
          <cell r="G594" t="str">
            <v>tbd on another pub</v>
          </cell>
        </row>
        <row r="595">
          <cell r="C595" t="str">
            <v>1/19/2024 3:03:35 PM</v>
          </cell>
        </row>
        <row r="596">
          <cell r="C596" t="str">
            <v>1/19/2024 2:48:35 PM</v>
          </cell>
          <cell r="G596" t="str">
            <v>Corona installed selling well and going on outdoor bars for summer, just waiting for GK to install</v>
          </cell>
        </row>
        <row r="600">
          <cell r="G600" t="str">
            <v>Corona and potentially magners to go on outdoor bar pending PN decision</v>
          </cell>
        </row>
        <row r="602">
          <cell r="G602" t="str">
            <v>Corona to be installed on sig. font indoors.</v>
          </cell>
        </row>
        <row r="604">
          <cell r="G604" t="str">
            <v>Customer wants to remove coors but we aren’t allowed to do it will be on a spare line</v>
          </cell>
        </row>
        <row r="606">
          <cell r="G606" t="str">
            <v>Stela selling well and half pint glasses to be sent</v>
          </cell>
        </row>
        <row r="607">
          <cell r="G607" t="str">
            <v>4 taps</v>
          </cell>
        </row>
        <row r="608">
          <cell r="G608" t="str">
            <v>only touchable, are somewhat untouchable gk brands.</v>
          </cell>
        </row>
        <row r="609">
          <cell r="G609" t="str">
            <v>if he does have spare lines, be hard press to fit any font somewhere. space taken mostly by ale</v>
          </cell>
        </row>
        <row r="610">
          <cell r="G610" t="str">
            <v>5 tubs a week of Stella</v>
          </cell>
        </row>
        <row r="611">
          <cell r="G611" t="str">
            <v>spoke with phil om the landlines, a gem of a man already.</v>
          </cell>
        </row>
        <row r="612">
          <cell r="G612" t="str">
            <v>laye night event venue, boxing, music , not open in hours, sent email for meet. Stella confirmed on</v>
          </cell>
        </row>
        <row r="613">
          <cell r="G613" t="str">
            <v>quite busy for a proper meet she says.</v>
          </cell>
        </row>
        <row r="614">
          <cell r="G614" t="str">
            <v>Stella on, doing fine</v>
          </cell>
        </row>
        <row r="615">
          <cell r="G615" t="str">
            <v>not much for convo</v>
          </cell>
        </row>
        <row r="616">
          <cell r="G616" t="str">
            <v>laye opener qt 430</v>
          </cell>
        </row>
        <row r="617">
          <cell r="G617" t="str">
            <v>shared contact and mentioned tnt, Investment</v>
          </cell>
        </row>
        <row r="618">
          <cell r="G618" t="str">
            <v>one I'll have to come in laye and cross myfingers</v>
          </cell>
        </row>
        <row r="619">
          <cell r="G619" t="str">
            <v>met elle</v>
          </cell>
        </row>
        <row r="620">
          <cell r="G620" t="str">
            <v>leffe just installed ipo js</v>
          </cell>
        </row>
        <row r="621">
          <cell r="G621" t="str">
            <v>but oos for them to order</v>
          </cell>
        </row>
        <row r="622">
          <cell r="G622" t="str">
            <v>still rachel for now (rick runs this) but apparently going to the brewery next month , they aren't sure if it will be leased still or whay</v>
          </cell>
        </row>
        <row r="625">
          <cell r="G625" t="str">
            <v>also ll of walnut tree shades</v>
          </cell>
        </row>
        <row r="626">
          <cell r="G626" t="str">
            <v>leffe and san mig and hells on. pale was but she took it off when taking over. for neckoil preference, mentioned ros benefits but moot for now</v>
          </cell>
        </row>
        <row r="627">
          <cell r="G627" t="str">
            <v>hole in the wall, outer Norwich, local pub</v>
          </cell>
        </row>
        <row r="628">
          <cell r="G628" t="str">
            <v>all gk buys</v>
          </cell>
        </row>
        <row r="629">
          <cell r="G629" t="str">
            <v>Stella on</v>
          </cell>
        </row>
        <row r="630">
          <cell r="G630" t="str">
            <v>san mig as well</v>
          </cell>
        </row>
        <row r="631">
          <cell r="G631" t="str">
            <v>sam is ill, got her email for a future meet.</v>
          </cell>
        </row>
        <row r="632">
          <cell r="G632" t="str">
            <v>provided by lacons</v>
          </cell>
        </row>
        <row r="633">
          <cell r="G633" t="str">
            <v>leave be</v>
          </cell>
        </row>
        <row r="634">
          <cell r="G634" t="str">
            <v>class of a business, has their own brewery, brewshed down the road. they just put om 3 of their own taps... sort of fights with mahou now but won't be coming off</v>
          </cell>
        </row>
        <row r="635">
          <cell r="G635" t="str">
            <v>becky was in amd ran out, had her daughter pass her email on to sort a meet</v>
          </cell>
        </row>
        <row r="636">
          <cell r="G636" t="str">
            <v>Stella and zan mig on</v>
          </cell>
        </row>
        <row r="637">
          <cell r="G637" t="str">
            <v>and carlsberg. don't see high ops for craft but tbd</v>
          </cell>
        </row>
        <row r="638">
          <cell r="G638" t="str">
            <v>sent Stella glasses</v>
          </cell>
        </row>
        <row r="639">
          <cell r="G639" t="str">
            <v>becks top vol</v>
          </cell>
        </row>
        <row r="640">
          <cell r="G640" t="str">
            <v>carling 40p cheaper</v>
          </cell>
        </row>
        <row r="641">
          <cell r="G641" t="str">
            <v>5 taps used, 3 lagers</v>
          </cell>
        </row>
        <row r="642">
          <cell r="G642" t="str">
            <v>good led</v>
          </cell>
        </row>
        <row r="643">
          <cell r="G643" t="str">
            <v>didn't get much out of him this round</v>
          </cell>
        </row>
        <row r="644">
          <cell r="G644" t="str">
            <v>ll of 40+ years</v>
          </cell>
        </row>
        <row r="645">
          <cell r="G645" t="str">
            <v>tnt has, wants discount fu and open to beer convo, sorted for end Oct when back from vacation</v>
          </cell>
        </row>
        <row r="646">
          <cell r="G646" t="str">
            <v>Linda in since Feb</v>
          </cell>
        </row>
        <row r="647">
          <cell r="G647" t="str">
            <v>Stella and madri top vol</v>
          </cell>
        </row>
        <row r="648">
          <cell r="G648" t="str">
            <v>busy mid day</v>
          </cell>
        </row>
        <row r="649">
          <cell r="G649" t="str">
            <v>got slack from Julie for coming in at lunch time, sam was fine with it and passed their cell number to book in later.</v>
          </cell>
        </row>
        <row r="653">
          <cell r="G653" t="str">
            <v>140 -30l camden</v>
          </cell>
        </row>
        <row r="654">
          <cell r="G654" t="str">
            <v>112 -30l guinnes</v>
          </cell>
        </row>
        <row r="656">
          <cell r="G656" t="str">
            <v>neckoil and gamma up to 7.2, fosters at 5.60 and becks at 5.10</v>
          </cell>
        </row>
        <row r="658">
          <cell r="G658" t="str">
            <v>had Camden on their rotational at one point... open to again</v>
          </cell>
        </row>
        <row r="659">
          <cell r="G659" t="str">
            <v>Jim bad on the phone</v>
          </cell>
        </row>
        <row r="660">
          <cell r="G660" t="str">
            <v>ring chloe, whe decides sort of but needs Aprvl</v>
          </cell>
        </row>
        <row r="661">
          <cell r="G661" t="str">
            <v>just missed our tech doing the survey</v>
          </cell>
        </row>
        <row r="662">
          <cell r="G662" t="str">
            <v>hells and pale coming on</v>
          </cell>
        </row>
        <row r="663">
          <cell r="G663" t="str">
            <v>op not doing the best, but nor are bottle cider</v>
          </cell>
        </row>
        <row r="664">
          <cell r="G664" t="str">
            <v>talked about getting rid of that and doing the trio</v>
          </cell>
        </row>
        <row r="665">
          <cell r="G665" t="str">
            <v>or ridding of Guinness out right as it doesn't sell well</v>
          </cell>
        </row>
        <row r="666">
          <cell r="G666" t="str">
            <v>sorting tnt</v>
          </cell>
        </row>
        <row r="667">
          <cell r="G667" t="str">
            <v>Rachel not in</v>
          </cell>
        </row>
        <row r="668">
          <cell r="G668" t="str">
            <v>looking meek on the hells install</v>
          </cell>
        </row>
        <row r="669">
          <cell r="G669" t="str">
            <v>madri not doing good still, sent her a note for tnt and hells reminder</v>
          </cell>
        </row>
        <row r="671">
          <cell r="G671" t="str">
            <v>rachel not in, chatted with tender, op going over well. stella never coming off</v>
          </cell>
        </row>
        <row r="674">
          <cell r="G674" t="str">
            <v>happy with op swap</v>
          </cell>
        </row>
        <row r="675">
          <cell r="G675" t="str">
            <v>not movi g forward with unfiltered dual with stella</v>
          </cell>
        </row>
        <row r="676">
          <cell r="G676" t="str">
            <v>but madri is dumbing down with new stella install, mentioned hells... repinging in a month eith foc keg</v>
          </cell>
        </row>
        <row r="680">
          <cell r="G680" t="str">
            <v>swapping strongbow with op - send request</v>
          </cell>
        </row>
        <row r="681">
          <cell r="G681" t="str">
            <v>ops for unfiltered</v>
          </cell>
        </row>
        <row r="683">
          <cell r="G683" t="str">
            <v>dropped samps- Orsett dog and partridge visited</v>
          </cell>
        </row>
        <row r="684">
          <cell r="G684" t="str">
            <v>bad number again, given this twice now.</v>
          </cell>
        </row>
        <row r="685">
          <cell r="G685" t="str">
            <v>odd , she wasn't om site when listed with tnt rep. had a good chat but clearly gave me a bad number</v>
          </cell>
        </row>
        <row r="687">
          <cell r="G687" t="str">
            <v>looking to boot gamma ray, looking at 2 weeks times because she's opening the corner house gk l&amp;t in Cambridge now (butt load of lines, removing kopburg there though, Stella up in the air and stout)</v>
          </cell>
        </row>
        <row r="688">
          <cell r="G688" t="str">
            <v>gamma ray she is thinking of staropromen or Camden hello or Pale</v>
          </cell>
        </row>
        <row r="689">
          <cell r="G689" t="str">
            <v>set to ring end of month per her request</v>
          </cell>
        </row>
        <row r="690">
          <cell r="G690" t="str">
            <v>just remvd sanmjg for Moretti and added carlsberg</v>
          </cell>
        </row>
        <row r="694">
          <cell r="G694" t="str">
            <v>koppburg, rona and Bud filled in fridge</v>
          </cell>
        </row>
        <row r="695">
          <cell r="G695" t="str">
            <v>she's curious about what I tend to see stella go for £ - she is selling it for 5.60,</v>
          </cell>
        </row>
        <row r="696">
          <cell r="G696" t="str">
            <v>fosters 4.90, sam mig 5.60</v>
          </cell>
        </row>
        <row r="698">
          <cell r="G698" t="str">
            <v>music fests through the summer</v>
          </cell>
        </row>
        <row r="700">
          <cell r="G700" t="str">
            <v>looking at replacing a dummy font with maybe 0% or another ipa type... talked in depth of pale</v>
          </cell>
        </row>
        <row r="702">
          <cell r="G702" t="str">
            <v>been ll for 2 years... but she doesn't see pricing as her boss does so idk if she's actually licensee</v>
          </cell>
        </row>
        <row r="704">
          <cell r="G704" t="str">
            <v>sending fu in a week ish , reminder for tnt, and camden data</v>
          </cell>
        </row>
        <row r="705">
          <cell r="G705" t="str">
            <v>14 years in</v>
          </cell>
        </row>
        <row r="706">
          <cell r="G706" t="str">
            <v>never seen a big rep</v>
          </cell>
        </row>
        <row r="707">
          <cell r="G707" t="str">
            <v>thatchers and peroni rep come often enough</v>
          </cell>
        </row>
        <row r="708">
          <cell r="G708" t="str">
            <v>becks top volume</v>
          </cell>
        </row>
        <row r="709">
          <cell r="G709" t="str">
            <v>food led</v>
          </cell>
        </row>
        <row r="710">
          <cell r="G710" t="str">
            <v>no quiz night or event type but massive garden space</v>
          </cell>
        </row>
        <row r="711">
          <cell r="G711" t="str">
            <v>Stella and Camden ops with time</v>
          </cell>
        </row>
        <row r="712">
          <cell r="G712" t="str">
            <v>san mig on</v>
          </cell>
        </row>
        <row r="713">
          <cell r="G713" t="str">
            <v>welcoming chat, sent Stella pos</v>
          </cell>
        </row>
        <row r="714">
          <cell r="G714" t="str">
            <v>not much room for craft</v>
          </cell>
        </row>
        <row r="715">
          <cell r="G715" t="str">
            <v>hole in the wall, hard to find pub all regulars</v>
          </cell>
        </row>
        <row r="716">
          <cell r="G716" t="str">
            <v>new ll tony</v>
          </cell>
        </row>
        <row r="717">
          <cell r="G717" t="str">
            <v>Shawn (female mngr)</v>
          </cell>
        </row>
        <row r="718">
          <cell r="G718" t="str">
            <v>still no growth ops</v>
          </cell>
        </row>
        <row r="719">
          <cell r="G719" t="str">
            <v>in town and top 80</v>
          </cell>
        </row>
        <row r="720">
          <cell r="G720" t="str">
            <v>again asking for all the pos but against swapping anything</v>
          </cell>
        </row>
        <row r="721">
          <cell r="G721" t="str">
            <v>sent a few tshirts for stella and said when she's ready to talk bar change can do with waited pos</v>
          </cell>
        </row>
        <row r="724">
          <cell r="G724" t="str">
            <v>no room for growth</v>
          </cell>
        </row>
        <row r="725">
          <cell r="G725" t="str">
            <v>but stella will always stay on</v>
          </cell>
        </row>
        <row r="726">
          <cell r="G726" t="str">
            <v>Paul and bar mngr not interested in a convo for more aside from pos</v>
          </cell>
        </row>
        <row r="730">
          <cell r="G730" t="str">
            <v>t bar 1 side room -fosters font not used</v>
          </cell>
        </row>
        <row r="731">
          <cell r="G731" t="str">
            <v>t bar - guinn, carlsberg, coors, moretti, stella</v>
          </cell>
        </row>
        <row r="732">
          <cell r="G732" t="str">
            <v xml:space="preserve"> </v>
          </cell>
        </row>
        <row r="733">
          <cell r="G733" t="str">
            <v>main back bar</v>
          </cell>
        </row>
        <row r="734">
          <cell r="G734" t="str">
            <v>landlord font</v>
          </cell>
        </row>
        <row r="735">
          <cell r="G735" t="str">
            <v>t bar 1 - fksters, aspall, stella, carlsberg, guinn, spare</v>
          </cell>
        </row>
        <row r="736">
          <cell r="G736" t="str">
            <v>t bar 2 - moretti, spare, amstel, fosters, guinn, coors</v>
          </cell>
        </row>
        <row r="738">
          <cell r="G738" t="str">
            <v>chatted to Paul, quite set in his ways, not convinced by prem, pushed corona and camden but v hesitant</v>
          </cell>
        </row>
        <row r="739">
          <cell r="G739" t="str">
            <v>core lagers that sell well</v>
          </cell>
        </row>
        <row r="741">
          <cell r="G741" t="str">
            <v>push camden, send samples. push becks and that try +1, ALSO BT DEAL</v>
          </cell>
        </row>
        <row r="743">
          <cell r="G743" t="str">
            <v>paulwilliams2178@sky.com</v>
          </cell>
        </row>
        <row r="744">
          <cell r="G744" t="str">
            <v>3rd apt no show today?! yeesh</v>
          </cell>
        </row>
        <row r="748">
          <cell r="G748" t="str">
            <v>cow and telescope down the road told me to watch put, these guys don't like eahother lol</v>
          </cell>
        </row>
        <row r="749">
          <cell r="G749" t="str">
            <v>Trust too</v>
          </cell>
        </row>
        <row r="750">
          <cell r="G750" t="str">
            <v>niki not in but got her cell</v>
          </cell>
        </row>
        <row r="751">
          <cell r="G751" t="str">
            <v>rona and stella on</v>
          </cell>
        </row>
        <row r="755">
          <cell r="G755" t="str">
            <v>nicki ll</v>
          </cell>
        </row>
        <row r="756">
          <cell r="G756" t="str">
            <v>at a funeral</v>
          </cell>
        </row>
        <row r="757">
          <cell r="G757" t="str">
            <v>says she'll call me</v>
          </cell>
        </row>
        <row r="758">
          <cell r="G758" t="str">
            <v>had our 2nd Meet scheduled and then didn't show... two hour drive</v>
          </cell>
        </row>
        <row r="759">
          <cell r="G759" t="str">
            <v>leaving for a while</v>
          </cell>
        </row>
        <row r="762">
          <cell r="G762" t="str">
            <v>met niki but cancelled apt pm drive down, forgot she had to head to London. schedule meet for next week</v>
          </cell>
        </row>
        <row r="766">
          <cell r="G766">
            <v>7852880773</v>
          </cell>
        </row>
        <row r="767">
          <cell r="G767" t="str">
            <v>nicki barmngr daughter</v>
          </cell>
        </row>
        <row r="768">
          <cell r="G768" t="str">
            <v>of</v>
          </cell>
        </row>
        <row r="769">
          <cell r="G769" t="str">
            <v>Barry ll</v>
          </cell>
        </row>
        <row r="771">
          <cell r="G771" t="str">
            <v>spoke to ll therapist about stonegatebleSing issues- renewing for 10 years</v>
          </cell>
        </row>
        <row r="772">
          <cell r="G772" t="str">
            <v>fosters Is number one but he has 3 taps and 2 are unused- talking to Nickolet about Camden and rona brands on next meet</v>
          </cell>
        </row>
        <row r="773">
          <cell r="G773" t="str">
            <v>spoke with her son, Jackie passed away literally yesterday. sent condolences</v>
          </cell>
        </row>
        <row r="777">
          <cell r="G777" t="str">
            <v>Fosters - moretti - Heineken- coors in the order from best seller</v>
          </cell>
        </row>
        <row r="779">
          <cell r="G779" t="str">
            <v>Spoke with bartender jack and got LL Jackie 07956003203</v>
          </cell>
        </row>
        <row r="781">
          <cell r="G781" t="str">
            <v>dropped hells- messaging that and tnt deal</v>
          </cell>
        </row>
        <row r="782">
          <cell r="G782" t="str">
            <v>staci is the relief manager</v>
          </cell>
        </row>
        <row r="783">
          <cell r="G783" t="str">
            <v>sent pos</v>
          </cell>
        </row>
        <row r="784">
          <cell r="G784" t="str">
            <v>got her number to schedule a proper talk</v>
          </cell>
        </row>
        <row r="787">
          <cell r="G787" t="str">
            <v>san mig ops for pale</v>
          </cell>
        </row>
        <row r="788">
          <cell r="G788" t="str">
            <v>leverage parasols- check back in</v>
          </cell>
        </row>
        <row r="789">
          <cell r="G789" t="str">
            <v>4 barrels a week of madri and fosters</v>
          </cell>
        </row>
        <row r="790">
          <cell r="G790" t="str">
            <v>Stella #3</v>
          </cell>
        </row>
        <row r="791">
          <cell r="G791" t="str">
            <v>Guinness booming</v>
          </cell>
        </row>
        <row r="792">
          <cell r="G792" t="str">
            <v>light peek at leffe talk with food menu</v>
          </cell>
        </row>
        <row r="793">
          <cell r="G793" t="str">
            <v>pale hells and unf on. they have 12 taps for a small pub. and sadly all are coming off, have a new deal with huk amd going down to 6 taps</v>
          </cell>
        </row>
        <row r="794">
          <cell r="G794" t="str">
            <v>hells apparently got cancelled, jp pushed through but never checked with her... but still got umbrellas from me sneaky sneaky</v>
          </cell>
        </row>
        <row r="796">
          <cell r="G796" t="str">
            <v>Stella safe but no beer does even a keg a week. middle of country hotel and food focused</v>
          </cell>
        </row>
        <row r="797">
          <cell r="G797" t="str">
            <v>notes not poulating from last visit</v>
          </cell>
        </row>
        <row r="798">
          <cell r="G798" t="str">
            <v>Camden 20p less than guinnes (older ppl go for it apparently)</v>
          </cell>
        </row>
        <row r="799">
          <cell r="G799" t="str">
            <v>more giinness sales but not far off</v>
          </cell>
        </row>
        <row r="800">
          <cell r="G800" t="str">
            <v>Stella #1</v>
          </cell>
        </row>
        <row r="801">
          <cell r="G801" t="str">
            <v>steve not around</v>
          </cell>
        </row>
        <row r="802">
          <cell r="G802" t="str">
            <v>apparently the depot often is put of camden stout and delays delivery</v>
          </cell>
        </row>
        <row r="803">
          <cell r="G803" t="str">
            <v>Camden was swap from corona. at 6£ , neckoil is 650 and also doing very well. sent some tshorts since everyone was wearing neckoil</v>
          </cell>
        </row>
        <row r="804">
          <cell r="G804" t="str">
            <v>mat ally, the bar manager</v>
          </cell>
        </row>
        <row r="807">
          <cell r="G807" t="str">
            <v>corona not performing well, swapping for hells</v>
          </cell>
        </row>
        <row r="808">
          <cell r="G808" t="str">
            <v>great turn around with new opening... from boozer to posh family oriented. pale ops down the road</v>
          </cell>
        </row>
        <row r="809">
          <cell r="G809" t="str">
            <v>Helen says never get any pos from stella or Seend a rep... but seeing note below other wise, tho ya not for a bit a rep on the patch. was standoffish and not talkative. gave number and sent standard pos</v>
          </cell>
        </row>
        <row r="812">
          <cell r="G812" t="str">
            <v>Met Helen - at 6s and 7s as unfortunately lost her husband suddenly this year</v>
          </cell>
        </row>
        <row r="814">
          <cell r="G814" t="str">
            <v>Camden and stella sell well, corona not so much - needing PoS to stop risk from churning in future</v>
          </cell>
        </row>
        <row r="816">
          <cell r="G816" t="str">
            <v>sending in 3 parasols and a gothic sign</v>
          </cell>
        </row>
        <row r="818">
          <cell r="G818" t="str">
            <v>pick up on September</v>
          </cell>
        </row>
        <row r="819">
          <cell r="G819" t="str">
            <v>dougs at a funeral</v>
          </cell>
        </row>
        <row r="820">
          <cell r="G820" t="str">
            <v>Holly bartender shared contact and is happy with op, doing much better than Inches(thinks it's crap)</v>
          </cell>
        </row>
        <row r="821">
          <cell r="G821" t="str">
            <v>amstel top seller</v>
          </cell>
        </row>
        <row r="822">
          <cell r="G822" t="str">
            <v>madri. cruz and amstel om... amstel does 4 kegs a week and madri and cruz do 1, ops</v>
          </cell>
        </row>
        <row r="823">
          <cell r="G823" t="str">
            <v>sending email for garden support teaser and meet</v>
          </cell>
        </row>
        <row r="824">
          <cell r="G824" t="str">
            <v>necjoil a split line</v>
          </cell>
        </row>
        <row r="825">
          <cell r="G825" t="str">
            <v>leaving lease in 3 weeks, calendar reminder to come back.</v>
          </cell>
        </row>
        <row r="827">
          <cell r="G827" t="str">
            <v>peroni most costly and doing ..okay ops?</v>
          </cell>
        </row>
        <row r="828">
          <cell r="G828" t="str">
            <v>Stella top volume, under san mig</v>
          </cell>
        </row>
        <row r="829">
          <cell r="G829" t="str">
            <v>dan not in</v>
          </cell>
        </row>
        <row r="830">
          <cell r="G830" t="str">
            <v>Stella on, landlord busy but he passed his number to schedule time (asked to call next time)</v>
          </cell>
        </row>
        <row r="833">
          <cell r="G833" t="str">
            <v>Met bar staff, landlord is Tommy, he's OK holiday and back next week, had the place 20 years.</v>
          </cell>
        </row>
        <row r="835">
          <cell r="G835" t="str">
            <v>Destination pub, get people staying for the airport. Food led site.</v>
          </cell>
        </row>
        <row r="837">
          <cell r="G837" t="str">
            <v>Carlsberg top performer, Stella 2nd. Staff reckon all draft option go well currently. SP might not fit.</v>
          </cell>
        </row>
        <row r="838">
          <cell r="G838" t="str">
            <v>shewed me away, opening late good for pos and rochard not around, ringing</v>
          </cell>
        </row>
        <row r="840">
          <cell r="G840" t="str">
            <v>call Richard tomorrow</v>
          </cell>
        </row>
        <row r="841">
          <cell r="G841" t="str">
            <v>becks doing better now, just went through a lul</v>
          </cell>
        </row>
        <row r="846">
          <cell r="G846" t="str">
            <v>spoke with bartender Sally, Richard in Thailand till late march. swap asahi for cruzcampo</v>
          </cell>
        </row>
        <row r="847">
          <cell r="G847" t="str">
            <v>becks doing pour but "will never remove due to customer wanting"</v>
          </cell>
        </row>
        <row r="848">
          <cell r="G848" t="str">
            <v>send Stella bar mat, and half pints</v>
          </cell>
        </row>
        <row r="849">
          <cell r="G849" t="str">
            <v>mentioned tnt and a craft option. left card</v>
          </cell>
        </row>
        <row r="855">
          <cell r="G855" t="str">
            <v>Richard in bed, chatted tk Chrissy. Very mixed crowd in here, decent amount of young people. Affluent area. Best seller Moretti, Stella 2nd. Asahi most expensive at £6.30, been in here 7 months, target for Hells. Call landlines after 4pm to catch Richard.</v>
          </cell>
        </row>
        <row r="858">
          <cell r="G858" t="str">
            <v>stella top seller, fosters</v>
          </cell>
        </row>
        <row r="859">
          <cell r="G859" t="str">
            <v>coors does well - all v price lead</v>
          </cell>
        </row>
        <row r="861">
          <cell r="G861" t="str">
            <v>stella glasses pints + halves, send some becks</v>
          </cell>
        </row>
        <row r="863">
          <cell r="G863" t="str">
            <v>moretti does alright, does seem stella as prem as it gets</v>
          </cell>
        </row>
        <row r="864">
          <cell r="G864" t="str">
            <v>older crowd, don't attract the kids 'thank god'</v>
          </cell>
        </row>
        <row r="865">
          <cell r="G865" t="str">
            <v>call/text richard let him know swung by</v>
          </cell>
        </row>
        <row r="867">
          <cell r="G867" t="str">
            <v>got kron and amstel too, could be woeth pitching hells to richard over phone</v>
          </cell>
        </row>
        <row r="869">
          <cell r="G869" t="str">
            <v>yvonne bar staff chatted to, richard not around</v>
          </cell>
        </row>
        <row r="871">
          <cell r="G871" t="str">
            <v>send stuff as the in then follow up</v>
          </cell>
        </row>
        <row r="872">
          <cell r="G872" t="str">
            <v>don't use the word land"lord" aroundher.</v>
          </cell>
        </row>
        <row r="873">
          <cell r="G873" t="str">
            <v>hadn't got a contact yet and asked to get in touch with the landlord and she informed me I should assume it's a man and was cut off most of the meet. I recon I opened her back up.</v>
          </cell>
        </row>
        <row r="874">
          <cell r="G874" t="str">
            <v>Stella on and top vol, no craft ops</v>
          </cell>
        </row>
        <row r="875">
          <cell r="G875" t="str">
            <v>nice little pub but said everyone's on holiday now, not struggling but slow time at the moment. says all core drinkers but cruz is on and doing her good, possible target for mahou if it gets listed</v>
          </cell>
        </row>
        <row r="876">
          <cell r="G876" t="str">
            <v>Gemma not in, rang her and sending glassware</v>
          </cell>
        </row>
        <row r="877">
          <cell r="G877" t="str">
            <v>no ops for craft and never changes ranges says allen the bartender.</v>
          </cell>
        </row>
        <row r="878">
          <cell r="G878" t="str">
            <v>san mig might be a convo in new year</v>
          </cell>
        </row>
        <row r="880">
          <cell r="G880" t="str">
            <v>Gemma leased since 2022</v>
          </cell>
        </row>
        <row r="881">
          <cell r="G881" t="str">
            <v>coming back next month for new tnt deal and camden</v>
          </cell>
        </row>
        <row r="882">
          <cell r="G882">
            <v>7917417981</v>
          </cell>
        </row>
        <row r="883">
          <cell r="G883" t="str">
            <v>moved to ift</v>
          </cell>
        </row>
        <row r="885">
          <cell r="G885" t="str">
            <v>Met GM Joe. Part of Star Amusements. Pun right on the coast, lots of passing trade.</v>
          </cell>
        </row>
        <row r="887">
          <cell r="G887" t="str">
            <v>Fosters best seller, Stella 2nd, Carlsberg worst performing. Target for Corona. Follow up via email with Kessi:</v>
          </cell>
        </row>
        <row r="889">
          <cell r="G889" t="str">
            <v>kessi@staramusements.co.uk</v>
          </cell>
        </row>
        <row r="890">
          <cell r="G890" t="str">
            <v>cow and telescope down the road told me to watch put, these guys don't like eahother lol</v>
          </cell>
        </row>
        <row r="891">
          <cell r="G891" t="str">
            <v>Trust too</v>
          </cell>
        </row>
        <row r="892">
          <cell r="G892" t="str">
            <v>niki not in but got her cell</v>
          </cell>
        </row>
        <row r="893">
          <cell r="G893" t="str">
            <v>rona and stella on</v>
          </cell>
        </row>
        <row r="897">
          <cell r="G897" t="str">
            <v>nicki ll</v>
          </cell>
        </row>
        <row r="898">
          <cell r="G898" t="str">
            <v>at a funeral</v>
          </cell>
        </row>
        <row r="899">
          <cell r="G899" t="str">
            <v>says she'll call me</v>
          </cell>
        </row>
        <row r="900">
          <cell r="G900" t="str">
            <v>Stella agreed ipo thatchers</v>
          </cell>
        </row>
        <row r="901">
          <cell r="G901" t="str">
            <v>foc keg</v>
          </cell>
        </row>
        <row r="902">
          <cell r="G902" t="str">
            <v>corona likely coming off but hollie said twas good last call tbd</v>
          </cell>
        </row>
        <row r="903">
          <cell r="G903" t="str">
            <v>hells also sampling out may go along with stella, confirming I'm 2 days</v>
          </cell>
        </row>
        <row r="906">
          <cell r="G906" t="str">
            <v>Met leaseholder Holly. Corona going well here, sent more halves.</v>
          </cell>
        </row>
        <row r="908">
          <cell r="G908" t="str">
            <v>RFW sent for Camden Pale to replace Carling - bosh!</v>
          </cell>
        </row>
        <row r="910">
          <cell r="G910" t="str">
            <v>no pics as form filled in later in day, will get next time</v>
          </cell>
        </row>
        <row r="912">
          <cell r="G912" t="str">
            <v>chatted to Holly, keen on a survey for corona, see if font works</v>
          </cell>
        </row>
        <row r="913">
          <cell r="G913" t="str">
            <v>get number then log on JL</v>
          </cell>
        </row>
        <row r="915">
          <cell r="G915" t="str">
            <v>decent little garden, +40 age range, fosters big seller. get busy at weekends w music</v>
          </cell>
        </row>
        <row r="917">
          <cell r="G917" t="str">
            <v>t bar 1 - moretti, magners DF, kron, fosters, guinn, jn smiths</v>
          </cell>
        </row>
        <row r="918">
          <cell r="G918" t="str">
            <v>hobgoblin on a font (sells well)</v>
          </cell>
        </row>
        <row r="919">
          <cell r="G919" t="str">
            <v>smirnoff thing but line under bar, out of use</v>
          </cell>
        </row>
        <row r="920">
          <cell r="G920" t="str">
            <v>t bar 2 - carling, thatchers, kron, fosters, guinn, jn smiths</v>
          </cell>
        </row>
        <row r="922">
          <cell r="G922" t="str">
            <v>cowandtelescope2019@gmail.com</v>
          </cell>
        </row>
        <row r="923">
          <cell r="G923" t="str">
            <v>met niki but cancelled apt pm drive down, forgot she had to head to London. schedule meet for next week</v>
          </cell>
        </row>
        <row r="927">
          <cell r="G927">
            <v>7852880773</v>
          </cell>
        </row>
        <row r="928">
          <cell r="G928" t="str">
            <v>nicki barmngr daughter</v>
          </cell>
        </row>
        <row r="929">
          <cell r="G929" t="str">
            <v>of</v>
          </cell>
        </row>
        <row r="930">
          <cell r="G930" t="str">
            <v>Barry ll</v>
          </cell>
        </row>
        <row r="932">
          <cell r="G932" t="str">
            <v>spoke to ll therapist about stonegatebleSing issues- renewing for 10 years</v>
          </cell>
        </row>
        <row r="933">
          <cell r="G933" t="str">
            <v>fosters Is number one but he has 3 taps and 2 are unused- talking to Nickolet about Camden and rona brands on next meet</v>
          </cell>
        </row>
        <row r="934">
          <cell r="G934" t="str">
            <v>asked for parasols again, noted sp install needed for approval</v>
          </cell>
        </row>
        <row r="935">
          <cell r="G935" t="str">
            <v>magners doing fine , mentioned kop burg (not listed yet but got it in his head as we now lost c&amp;c partnership and may need to come off</v>
          </cell>
        </row>
        <row r="936">
          <cell r="G936" t="str">
            <v>logged form late, realised check in but not form</v>
          </cell>
        </row>
        <row r="938">
          <cell r="G938" t="str">
            <v>magners on for 2 weeks (wanted op but maybe mag was cheeper)</v>
          </cell>
        </row>
        <row r="939">
          <cell r="G939" t="str">
            <v>asked for felt mats and parasols... magners?</v>
          </cell>
        </row>
        <row r="942">
          <cell r="G942" t="str">
            <v>Mick sent</v>
          </cell>
        </row>
        <row r="943">
          <cell r="G943" t="str">
            <v>Stella #2 vol.</v>
          </cell>
        </row>
        <row r="944">
          <cell r="G944" t="str">
            <v>Looking to Change from pravha</v>
          </cell>
        </row>
        <row r="946">
          <cell r="G946" t="str">
            <v>big Dave</v>
          </cell>
        </row>
        <row r="947">
          <cell r="G947">
            <v>7730406358</v>
          </cell>
        </row>
        <row r="948">
          <cell r="G948" t="str">
            <v>sent tnt reminder and op sampes</v>
          </cell>
        </row>
        <row r="950">
          <cell r="G950" t="str">
            <v>not open to stout but wants a cider , gonna give it a go</v>
          </cell>
        </row>
        <row r="952">
          <cell r="G952" t="str">
            <v>lovely people in the pub, very open to convo</v>
          </cell>
        </row>
        <row r="953">
          <cell r="G953" t="str">
            <v>cruzcampo might be ops (slow sales due to price ... OK with it now but see that changimg)</v>
          </cell>
        </row>
        <row r="954">
          <cell r="G954" t="str">
            <v>ali(male) is on holiday</v>
          </cell>
        </row>
        <row r="955">
          <cell r="G955" t="str">
            <v>3 taps, goose, stella, and guinnes.</v>
          </cell>
        </row>
        <row r="956">
          <cell r="G956" t="str">
            <v>not alot of volume assumed, fancy food lead and cocktails</v>
          </cell>
        </row>
        <row r="957">
          <cell r="G957" t="str">
            <v>can prob swing cheaper camden stout for guinness convo</v>
          </cell>
        </row>
        <row r="958">
          <cell r="G958" t="str">
            <v>reminder to call in 2 seeks when back</v>
          </cell>
        </row>
        <row r="959">
          <cell r="G959" t="str">
            <v>no mgngmnt in, shared pub phone to book in</v>
          </cell>
        </row>
        <row r="960">
          <cell r="G960" t="str">
            <v>foc on hells</v>
          </cell>
        </row>
        <row r="961">
          <cell r="G961" t="str">
            <v>they kind of hide their keg beers, you see the taps but have to ask the brands, pushing cask</v>
          </cell>
        </row>
        <row r="963">
          <cell r="G963" t="str">
            <v>having a gk head honcho I'm tomorrow, note that on call. cero doing well.</v>
          </cell>
        </row>
        <row r="964">
          <cell r="G964" t="str">
            <v>fu next week</v>
          </cell>
        </row>
        <row r="965">
          <cell r="G965" t="str">
            <v>Wednesday bad day but Thursday better</v>
          </cell>
        </row>
        <row r="966">
          <cell r="G966" t="str">
            <v>John sound like dm not Kelly</v>
          </cell>
        </row>
        <row r="973">
          <cell r="G973" t="str">
            <v>ohn/Kelly</v>
          </cell>
        </row>
        <row r="976">
          <cell r="G976" t="str">
            <v>John thinking of going madri,</v>
          </cell>
        </row>
        <row r="978">
          <cell r="G978" t="str">
            <v>Have asked how we can win that argument as hells would do well</v>
          </cell>
        </row>
        <row r="980">
          <cell r="G980" t="str">
            <v>Huge on real ale and craft</v>
          </cell>
        </row>
        <row r="982">
          <cell r="G982" t="str">
            <v>Visited as part of leads from Andy turner</v>
          </cell>
        </row>
        <row r="984">
          <cell r="G984" t="str">
            <v>One spare line at the moment</v>
          </cell>
        </row>
        <row r="986">
          <cell r="G986" t="str">
            <v>In discussion with asahi but cold called owner and is now considering Camden hells</v>
          </cell>
        </row>
        <row r="988">
          <cell r="G988" t="str">
            <v>We can offer free keg which could swing it</v>
          </cell>
        </row>
        <row r="990">
          <cell r="G990" t="str">
            <v>I have argued craft is better approach as site already has loads of world beer</v>
          </cell>
        </row>
        <row r="992">
          <cell r="G992" t="str">
            <v>Looking positive - 1 spare line</v>
          </cell>
        </row>
        <row r="993">
          <cell r="G993" t="str">
            <v>one for san micg in new year</v>
          </cell>
        </row>
        <row r="994">
          <cell r="G994" t="str">
            <v>good chat and built relationship but core pub led</v>
          </cell>
        </row>
        <row r="997">
          <cell r="G997" t="str">
            <v>tally was quite ill with a neck injury on my visit, more complaining talk then beer... off for the next couple days butggoing to ring her Monday for pale rehash, couldn't stay on track</v>
          </cell>
        </row>
        <row r="999">
          <cell r="G999" t="str">
            <v>Stella doing much better</v>
          </cell>
        </row>
        <row r="1000">
          <cell r="G1000" t="str">
            <v>taking pravah sales... thinks she has too many lagers... go for pale?</v>
          </cell>
        </row>
        <row r="1001">
          <cell r="G1001" t="str">
            <v>Thomas not the ll, been cacha since 14 years.</v>
          </cell>
        </row>
        <row r="1002">
          <cell r="G1002" t="str">
            <v>leaving in October and closing for 6 month for refurbs (it looks great but could be brightened up at least)</v>
          </cell>
        </row>
        <row r="1003">
          <cell r="G1003" t="str">
            <v>great chat with paul, takes a bit to open him up, use any packaged promos and add value to start will help</v>
          </cell>
        </row>
        <row r="1005">
          <cell r="G1005" t="str">
            <v>hates flint eye and level head, terrible margin but sells well and sort of required to keep it.</v>
          </cell>
        </row>
        <row r="1007">
          <cell r="G1007" t="str">
            <v>madri and stella both 6.00</v>
          </cell>
        </row>
        <row r="1008">
          <cell r="G1008" t="str">
            <v>has a dark stout along side guinnes foe half the price of 3.80... Still sells more guiness but happy with the new change.</v>
          </cell>
        </row>
        <row r="1009">
          <cell r="G1009" t="str">
            <v>thought about hells and camden stout when opening last year but price is gutted and can't make a decent margin</v>
          </cell>
        </row>
        <row r="1010">
          <cell r="G1010" t="str">
            <v>carlsberg best seller at 4.20</v>
          </cell>
        </row>
        <row r="1011">
          <cell r="G1011" t="str">
            <v>madri would be a good target when mahou is listed, didn't twinkle in his eyes like every other brand. sent pos for stella and started a good relation</v>
          </cell>
        </row>
        <row r="1014">
          <cell r="G1014" t="str">
            <v>had the pub for 15 years and rid of it in 2007 (greedy king reasons) laws changed and price increases and rent so took it back last year and packed everyday but Sunday.</v>
          </cell>
        </row>
        <row r="1015">
          <cell r="G1015" t="str">
            <v>sent parasols om last visit but not up, Jimmy not in but sent home q note</v>
          </cell>
        </row>
        <row r="1016">
          <cell r="G1016" t="str">
            <v>met customer mike in the pub, takes his horse to my farm and pub often.</v>
          </cell>
        </row>
        <row r="1019">
          <cell r="G1019" t="str">
            <v>becks and stella top volume. only 25p price difference, wild.</v>
          </cell>
        </row>
        <row r="1020">
          <cell r="G1020" t="str">
            <v>not the most welcoming, really have to bubble up to talk with him</v>
          </cell>
        </row>
        <row r="1021">
          <cell r="G1021" t="str">
            <v>mixed age range, nice garden, sent bud umbrellas - nil ops for craft but good vol to support</v>
          </cell>
        </row>
        <row r="1022">
          <cell r="G1022" t="str">
            <v>met worker in garden, opening late today.</v>
          </cell>
        </row>
        <row r="1023">
          <cell r="G1023" t="str">
            <v>passed on ll name, matt,  but said can't pass contact</v>
          </cell>
        </row>
        <row r="1024">
          <cell r="G1024" t="str">
            <v>Stella on, good on pos , shewed away</v>
          </cell>
        </row>
        <row r="1025">
          <cell r="G1025" t="str">
            <v>Carol new ll as of March</v>
          </cell>
        </row>
        <row r="1026">
          <cell r="G1026" t="str">
            <v>madri double taps, ops for stella here</v>
          </cell>
        </row>
        <row r="1027">
          <cell r="G1027" t="str">
            <v>lease up In October, reminder to come back.</v>
          </cell>
        </row>
        <row r="1028">
          <cell r="G1028" t="str">
            <v>punch is wildly expensive and can't afford anything, not sure of her margins</v>
          </cell>
        </row>
        <row r="1029">
          <cell r="G1029" t="str">
            <v>good for a talk but leaving card with business info for new lls</v>
          </cell>
        </row>
        <row r="1030">
          <cell r="G1030" t="str">
            <v>josh nartender, great chatter</v>
          </cell>
        </row>
        <row r="1031">
          <cell r="G1031" t="str">
            <v>not the same Tina who leases white horse down the road</v>
          </cell>
        </row>
        <row r="1032">
          <cell r="G1032" t="str">
            <v>but does have an adnqms lease across the street</v>
          </cell>
        </row>
        <row r="1033">
          <cell r="G1033" t="str">
            <v>emailed her for a meet</v>
          </cell>
        </row>
        <row r="1038">
          <cell r="G1038" t="str">
            <v>rona in fridge- mentioned 0</v>
          </cell>
        </row>
        <row r="1040">
          <cell r="G1040" t="str">
            <v>Tina LL</v>
          </cell>
        </row>
        <row r="1041">
          <cell r="G1041" t="str">
            <v>info@thefalconwalton.com</v>
          </cell>
        </row>
        <row r="1043">
          <cell r="G1043" t="str">
            <v>Stella and moretti are top volume... only 5p difference</v>
          </cell>
        </row>
        <row r="1044">
          <cell r="G1044" t="str">
            <v>does lots of guiness</v>
          </cell>
        </row>
        <row r="1046">
          <cell r="G1046" t="str">
            <v>John Smith possible target</v>
          </cell>
        </row>
        <row r="1047">
          <cell r="G1047" t="str">
            <v>Hive</v>
          </cell>
        </row>
        <row r="1048">
          <cell r="G1048" t="str">
            <v>ll not in atm</v>
          </cell>
        </row>
        <row r="1049">
          <cell r="G1049" t="str">
            <v>bartender not comfy talking line up or shared contact, sent a note</v>
          </cell>
        </row>
        <row r="1050">
          <cell r="G1050" t="str">
            <v>met bahar</v>
          </cell>
        </row>
        <row r="1051">
          <cell r="G1051" t="str">
            <v>swapped madri for peroni, was competing with campo</v>
          </cell>
        </row>
        <row r="1052">
          <cell r="G1052" t="str">
            <v>peroni is 6.80</v>
          </cell>
        </row>
        <row r="1053">
          <cell r="G1053" t="str">
            <v>campo 6.50</v>
          </cell>
        </row>
        <row r="1054">
          <cell r="G1054" t="str">
            <v>hells option if peroni doesn't work out. otherwise missing pale category. busy with back to school crowd today and agreed to set a meet</v>
          </cell>
        </row>
        <row r="1057">
          <cell r="G1057" t="str">
            <v>They are swapping out sand Miguel, fosters, Carling and strongbow and Stella. Just got on so theoretically, there is Ops - lots of cask... pale ops</v>
          </cell>
        </row>
        <row r="1058">
          <cell r="G1058" t="str">
            <v>lee not in</v>
          </cell>
        </row>
        <row r="1059">
          <cell r="G1059" t="str">
            <v>great historical pub in town</v>
          </cell>
        </row>
        <row r="1060">
          <cell r="G1060" t="str">
            <v>tender says struggling for body's I'm the door tho. passed email and sening him a note</v>
          </cell>
        </row>
        <row r="1061">
          <cell r="G1061" t="str">
            <v>bad notes below or mixed with pubs... carl is ll of 20 years free of tie with addy. Stella is on</v>
          </cell>
        </row>
        <row r="1062">
          <cell r="G1062" t="str">
            <v>good chat, never sees reps, predictable cleintel, fosters been off for a year (competed  with carsberg) left my card, sqm mig ops for new year , lil craft</v>
          </cell>
        </row>
        <row r="1065">
          <cell r="G1065" t="str">
            <v>he's ill and not co.ing down. sending a note about the bt he asked for</v>
          </cell>
        </row>
        <row r="1066">
          <cell r="G1066" t="str">
            <v>one is cancelled tho..</v>
          </cell>
        </row>
        <row r="1068">
          <cell r="G1068" t="str">
            <v>Paul son manager Nd dad Paul LL</v>
          </cell>
        </row>
        <row r="1069">
          <cell r="G1069">
            <v>7511689063</v>
          </cell>
        </row>
        <row r="1071">
          <cell r="G1071" t="str">
            <v>Amber bartender</v>
          </cell>
        </row>
        <row r="1072">
          <cell r="G1072" t="str">
            <v>not in sending a text</v>
          </cell>
        </row>
        <row r="1073">
          <cell r="G1073" t="str">
            <v>lls not in, sent text to rehash foc keg now OK stout</v>
          </cell>
        </row>
        <row r="1076">
          <cell r="G1076" t="str">
            <v>Marstons has sent them 4 flat kegs (maybe 2 months ago, got credits but told her to text me if it happens again, I cam at least talk to a kam )</v>
          </cell>
        </row>
        <row r="1077">
          <cell r="G1077" t="str">
            <v>talked stout last visit but probs not the right spot if they don't take guimnes off. holding for now</v>
          </cell>
        </row>
        <row r="1079">
          <cell r="G1079" t="str">
            <v>met his partner Claire thos time... but reply isn't showing Mt last visit with his name, woopsie</v>
          </cell>
        </row>
        <row r="1080">
          <cell r="G1080" t="str">
            <v>Dominic ll of 22 years</v>
          </cell>
        </row>
        <row r="1081">
          <cell r="G1081" t="str">
            <v>small town but constantly people in for lunch and throughout the day.</v>
          </cell>
        </row>
        <row r="1082">
          <cell r="G1082" t="str">
            <v>proud of having more crafty and not just cheaper veers options</v>
          </cell>
        </row>
        <row r="1084">
          <cell r="G1084" t="str">
            <v>surveyed for huk 0% recently and could let fit it</v>
          </cell>
        </row>
        <row r="1085">
          <cell r="G1085" t="str">
            <v>huk also tried for moreti ipo san mig, but san mig sells too well for that</v>
          </cell>
        </row>
        <row r="1086">
          <cell r="G1086" t="str">
            <v>shut down camden stout, too much of a risk, after having a conversation on cheaper, different that he's looking for and boosting his margins.</v>
          </cell>
        </row>
        <row r="1087">
          <cell r="G1087" t="str">
            <v>same mind set</v>
          </cell>
        </row>
        <row r="1088">
          <cell r="G1088" t="str">
            <v>quiet town</v>
          </cell>
        </row>
        <row r="1089">
          <cell r="G1089" t="str">
            <v>put san mig out there for the new year. price sensitive</v>
          </cell>
        </row>
        <row r="1092">
          <cell r="G1092" t="str">
            <v>send 10 and 20 and coasters</v>
          </cell>
        </row>
        <row r="1093">
          <cell r="G1093" t="str">
            <v>Heather   ll for 30+ years</v>
          </cell>
        </row>
        <row r="1095">
          <cell r="G1095" t="str">
            <v>heatherbuckland@btconnect.com</v>
          </cell>
        </row>
        <row r="1096">
          <cell r="G1096" t="str">
            <v>email her so she has contact (out of cards)</v>
          </cell>
        </row>
        <row r="1099">
          <cell r="G1099" t="str">
            <v>send Stella support</v>
          </cell>
        </row>
        <row r="1100">
          <cell r="G1100" t="str">
            <v>no ops</v>
          </cell>
        </row>
        <row r="1101">
          <cell r="G1101" t="str">
            <v>like what they like... not broke don't fix minded</v>
          </cell>
        </row>
        <row r="1102">
          <cell r="G1102" t="str">
            <v>madri replaced corona finally. noted below say it did good but she says nah.</v>
          </cell>
        </row>
        <row r="1103">
          <cell r="G1103" t="str">
            <v>busy asked to text for a meet</v>
          </cell>
        </row>
        <row r="1104">
          <cell r="G1104" t="str">
            <v>all fonts again and massive space, much nicer spot</v>
          </cell>
        </row>
        <row r="1107">
          <cell r="G1107" t="str">
            <v>Spoke to bar staff - went in as Corona showing as churned - corona still on as is stella</v>
          </cell>
        </row>
        <row r="1109">
          <cell r="G1109" t="str">
            <v>Was thinking of removing Corona for Madri, but decided against as best seller in summer</v>
          </cell>
        </row>
        <row r="1111">
          <cell r="G1111" t="str">
            <v>Put Madri in their other site - the welcome (now replaced by campo)</v>
          </cell>
        </row>
        <row r="1113">
          <cell r="G1113" t="str">
            <v>Handed details over as keen to speak with Tia to discuss any support needed for both brands</v>
          </cell>
        </row>
        <row r="1115">
          <cell r="G1115" t="str">
            <v>all good for glassware</v>
          </cell>
        </row>
        <row r="1116">
          <cell r="G1116" t="str">
            <v>sent me down to talk to toa at the tipsy cow.</v>
          </cell>
        </row>
        <row r="1117">
          <cell r="G1117" t="str">
            <v>all fonts, nice little area and massive pub 10 minutes from water front carnival area</v>
          </cell>
        </row>
        <row r="1118">
          <cell r="G1118" t="str">
            <v>15 individual cabanas and 2 massive gardens</v>
          </cell>
        </row>
        <row r="1120">
          <cell r="G1120" t="str">
            <v>jade</v>
          </cell>
        </row>
        <row r="1121">
          <cell r="G1121">
            <v>7514843806</v>
          </cell>
        </row>
        <row r="1123">
          <cell r="G1123" t="str">
            <v>b0103096</v>
          </cell>
        </row>
        <row r="1125">
          <cell r="G1125" t="str">
            <v>tipsy cow- same issue</v>
          </cell>
        </row>
        <row r="1126">
          <cell r="G1126" t="str">
            <v>magners amd df swapped strongbow... not a good swap apparently</v>
          </cell>
        </row>
        <row r="1127">
          <cell r="G1127" t="str">
            <v>told them about kopburg perhaps coming ... otherwise emailed ll for meet and will offer op I'm place</v>
          </cell>
        </row>
        <row r="1129">
          <cell r="G1129" t="str">
            <v>not much vibes for craft, but will see om proper sit down meet</v>
          </cell>
        </row>
        <row r="1130">
          <cell r="G1130" t="str">
            <v>Craig kennedy is his bdm</v>
          </cell>
        </row>
        <row r="1131">
          <cell r="G1131" t="str">
            <v>hobgoblin did sell, been covered for 8 months. looking at doombar but too expensive</v>
          </cell>
        </row>
        <row r="1132">
          <cell r="G1132" t="str">
            <v>talked stella foc but no regulars ask for it</v>
          </cell>
        </row>
        <row r="1133">
          <cell r="G1133" t="str">
            <v>open to craft pale, but dependent on price. emailing</v>
          </cell>
        </row>
        <row r="1134">
          <cell r="G1134" t="str">
            <v>top80 drove thru</v>
          </cell>
        </row>
        <row r="1135">
          <cell r="G1135" t="str">
            <v>no ops until san mig comes om board probably</v>
          </cell>
        </row>
        <row r="1138">
          <cell r="G1138" t="str">
            <v>Katherine ll of 22 years</v>
          </cell>
        </row>
        <row r="1140">
          <cell r="G1140" t="str">
            <v>p: 07919412157</v>
          </cell>
        </row>
        <row r="1141">
          <cell r="G1141" t="str">
            <v>sent coasters and tshirts</v>
          </cell>
        </row>
        <row r="1143">
          <cell r="G1143" t="str">
            <v>moretti going out for madri (lead brewer coors is doing their garden for it)</v>
          </cell>
        </row>
        <row r="1145">
          <cell r="G1145" t="str">
            <v>carlsberg and stella and moretti top volume</v>
          </cell>
        </row>
        <row r="1147">
          <cell r="G1147" t="str">
            <v>wants plastic cups and not chalice stella glasses</v>
          </cell>
        </row>
        <row r="1148">
          <cell r="G1148" t="str">
            <v>likely little ops for craft</v>
          </cell>
        </row>
        <row r="1149">
          <cell r="G1149" t="str">
            <v>hells and apparently doing well. along side a few local breweries (perhaps free of tie?, tenders aren't sure)</v>
          </cell>
        </row>
        <row r="1150">
          <cell r="G1150" t="str">
            <v>gorgeous destination pub, sitting on its lonesome on the river. smells great of food outside. doubtful lots of volume but craft ops for pale</v>
          </cell>
        </row>
        <row r="1151">
          <cell r="G1151" t="str">
            <v>on holiday 15-24th</v>
          </cell>
        </row>
        <row r="1152">
          <cell r="G1152" t="str">
            <v>great talk with Jay</v>
          </cell>
        </row>
        <row r="1153">
          <cell r="G1153" t="str">
            <v>proud of the boozer to somewhat fine dining change. Just REopened August and new affluent crowd</v>
          </cell>
        </row>
        <row r="1154">
          <cell r="G1154" t="str">
            <v>owns about 49 business, only the one l&amp;t</v>
          </cell>
        </row>
        <row r="1155">
          <cell r="G1155" t="str">
            <v>bangladeshi food, London based</v>
          </cell>
        </row>
        <row r="1156">
          <cell r="G1156" t="str">
            <v>new bar efurb with huk, never met him and took a while, neckoil and hieneken ops, left hells and pale , Texting wife who takes care of bar</v>
          </cell>
        </row>
        <row r="1157">
          <cell r="G1157" t="str">
            <v>outdoor bar set up and looking splendid. lots of even space, met him at his friends pub by chance down the road. no bbg yet, if I get the golden knight on board, he will likely follow on san miguel if I. right price range.</v>
          </cell>
        </row>
        <row r="1159">
          <cell r="G1159" t="str">
            <v>early May rona check in - setting up huge back garden area- has two separate building for bar - aside from the main pub area upstairs event space, and another building for event space</v>
          </cell>
        </row>
        <row r="1161">
          <cell r="G1161" t="str">
            <v>has music festival, quiz and bingo</v>
          </cell>
        </row>
        <row r="1163">
          <cell r="G1163">
            <v>7725467655</v>
          </cell>
        </row>
        <row r="1164">
          <cell r="G1164" t="str">
            <v>jezz or jazz (man, accent confusion)- just got the pubin November and is his first pub</v>
          </cell>
        </row>
        <row r="1166">
          <cell r="G1166" t="str">
            <v>he knows corona is doing great but believes it's the bottle sales not draught in the garden that will do well</v>
          </cell>
        </row>
        <row r="1168">
          <cell r="G1168" t="str">
            <v>doesn't think that Camden is enough of an outside centric beer either...</v>
          </cell>
        </row>
        <row r="1170">
          <cell r="G1170" t="str">
            <v>no tnt- doesn't want that crowd... or the wife beater Stella crowd</v>
          </cell>
        </row>
        <row r="1172">
          <cell r="G1172" t="str">
            <v>super nice and inviting guy but does have a reason for saying no for each brand that's available</v>
          </cell>
        </row>
        <row r="1174">
          <cell r="G1174" t="str">
            <v>still checking in may</v>
          </cell>
        </row>
        <row r="1175">
          <cell r="G1175" t="str">
            <v>moretti taken off the bar and split the inches line... one for san mig in the new year if he hasn't filled it.</v>
          </cell>
        </row>
        <row r="1176">
          <cell r="G1176" t="str">
            <v>damo not in, texted I stopped by</v>
          </cell>
        </row>
        <row r="1180">
          <cell r="G1180" t="str">
            <v>carling prob going out for hells- and excited about Stout next to guiness</v>
          </cell>
        </row>
        <row r="1181">
          <cell r="G1181" t="str">
            <v>talked tnt</v>
          </cell>
        </row>
        <row r="1182">
          <cell r="G1182" t="str">
            <v>- his friend leases a pub in goldmenchester and apparently I Brought samples there- hey talked together and will both probably be going forward</v>
          </cell>
        </row>
        <row r="1184">
          <cell r="G1184" t="str">
            <v>reminder to follow up with both pubs in a weeks time</v>
          </cell>
        </row>
        <row r="1189">
          <cell r="G1189" t="str">
            <v>11am meet on monday 12</v>
          </cell>
        </row>
        <row r="1190">
          <cell r="G1190">
            <v>7754349575</v>
          </cell>
        </row>
        <row r="1191">
          <cell r="G1191" t="str">
            <v>damo</v>
          </cell>
        </row>
        <row r="1192">
          <cell r="G1192" t="str">
            <v>tnt sports have- bringing samples</v>
          </cell>
        </row>
        <row r="1196">
          <cell r="G1196" t="str">
            <v>madri</v>
          </cell>
        </row>
        <row r="1197">
          <cell r="G1197" t="str">
            <v>fosters</v>
          </cell>
        </row>
        <row r="1198">
          <cell r="G1198" t="str">
            <v>top pourers</v>
          </cell>
        </row>
        <row r="1200">
          <cell r="G1200" t="str">
            <v>carling maybe a good target</v>
          </cell>
        </row>
        <row r="1201">
          <cell r="G1201" t="str">
            <v>Jay not around, tried to corner in mo amdrew for the other pub we've mostly agreed work on. still no update on outdoor bar, waiting on construction.</v>
          </cell>
        </row>
        <row r="1204">
          <cell r="G1204">
            <v>7526831182</v>
          </cell>
        </row>
        <row r="1205">
          <cell r="G1205" t="str">
            <v>Jay LL</v>
          </cell>
        </row>
        <row r="1207">
          <cell r="G1207" t="str">
            <v>amy bartender</v>
          </cell>
        </row>
        <row r="1208">
          <cell r="G1208" t="str">
            <v>Stella does well but not comfortable talking about bar line up really</v>
          </cell>
        </row>
        <row r="1211">
          <cell r="G1211" t="str">
            <v>topp 100 never checked in</v>
          </cell>
        </row>
        <row r="1213">
          <cell r="G1213" t="str">
            <v>jay manager, met with mo andrew, may 8th, no work here yet but at wash and tope working</v>
          </cell>
        </row>
        <row r="1214">
          <cell r="G1214" t="str">
            <v>thought closed down,  as has been closed last times around</v>
          </cell>
        </row>
        <row r="1215">
          <cell r="G1215" t="str">
            <v>very core pub... moretti at 5.25, stella at 4.80, carling at 4.25, js and carlsberg</v>
          </cell>
        </row>
        <row r="1216">
          <cell r="G1216" t="str">
            <v>mentioned carling and carlberg tend to compete (she agrees they do but not taking off the worst vol of carling as dedicated customers... and sees san mig as to premium)</v>
          </cell>
        </row>
        <row r="1217">
          <cell r="G1217" t="str">
            <v>will rehash in new year when we get san mig pricing and direction</v>
          </cell>
        </row>
        <row r="1220">
          <cell r="G1220" t="str">
            <v>Met Mandy, stella selling very well, never had stella 4 so unsure why on churn dashboard</v>
          </cell>
        </row>
        <row r="1222">
          <cell r="G1222" t="str">
            <v>absolutely no opportunity</v>
          </cell>
        </row>
        <row r="1224">
          <cell r="G1224" t="str">
            <v>all good on POS and glassware</v>
          </cell>
        </row>
        <row r="1226">
          <cell r="G1226" t="str">
            <v>called in due to churn dashboard</v>
          </cell>
        </row>
        <row r="1227">
          <cell r="G1227" t="str">
            <v>cornered emma down</v>
          </cell>
        </row>
        <row r="1228">
          <cell r="G1228" t="str">
            <v>marks a good chat but works in the kitchen side and leave bar stuff to emma</v>
          </cell>
        </row>
        <row r="1229">
          <cell r="G1229" t="str">
            <v>emailed her a couple times and she said went to spam.</v>
          </cell>
        </row>
        <row r="1230">
          <cell r="G1230" t="str">
            <v>no room to take off anything but she sees room for guinness 0</v>
          </cell>
        </row>
        <row r="1231">
          <cell r="G1231" t="str">
            <v>noted neckoil and camden pale swap could be more cost efficient for them... she is taking a look and fairly open</v>
          </cell>
        </row>
        <row r="1232">
          <cell r="G1232" t="str">
            <v>emailing reminder</v>
          </cell>
        </row>
        <row r="1233">
          <cell r="G1233" t="str">
            <v>booked in meet</v>
          </cell>
        </row>
        <row r="1234">
          <cell r="G1234" t="str">
            <v>quite busy for 1130am</v>
          </cell>
        </row>
        <row r="1235">
          <cell r="G1235" t="str">
            <v>core lagers, not to keen to swap but good for a chat and protect san mig</v>
          </cell>
        </row>
        <row r="1236">
          <cell r="G1236" t="str">
            <v>price thoughtful "her regulars stick to what they know" changes things based If they ask for it. left pale samps to get it in their head</v>
          </cell>
        </row>
        <row r="1238">
          <cell r="G1238" t="str">
            <v>Thursdays are only day jane is at the bar</v>
          </cell>
        </row>
        <row r="1240">
          <cell r="G1240" t="str">
            <v>jane not leaving the kitchen... boo. sent an email I was here</v>
          </cell>
        </row>
        <row r="1243">
          <cell r="G1243" t="str">
            <v>Cullenjane41@gmail.com</v>
          </cell>
        </row>
        <row r="1244">
          <cell r="G1244" t="str">
            <v>Send Stella both glasses</v>
          </cell>
        </row>
        <row r="1246">
          <cell r="G1246" t="str">
            <v>Jane's partner is in the hospital</v>
          </cell>
        </row>
        <row r="1247">
          <cell r="G1247" t="str">
            <v>emailing for meet</v>
          </cell>
        </row>
        <row r="1248">
          <cell r="G1248" t="str">
            <v>met bartender</v>
          </cell>
        </row>
        <row r="1249">
          <cell r="G1249" t="str">
            <v>texted ll</v>
          </cell>
        </row>
        <row r="1250">
          <cell r="G1250" t="str">
            <v>wants all the pos</v>
          </cell>
        </row>
        <row r="1251">
          <cell r="G1251" t="str">
            <v>working on Meet for return</v>
          </cell>
        </row>
        <row r="1252">
          <cell r="G1252" t="str">
            <v>san mig on as well</v>
          </cell>
        </row>
        <row r="1256">
          <cell r="G1256" t="str">
            <v>2yrs leased</v>
          </cell>
        </row>
        <row r="1257">
          <cell r="G1257" t="str">
            <v>Joe</v>
          </cell>
        </row>
        <row r="1258">
          <cell r="G1258">
            <v>7940335161</v>
          </cell>
        </row>
        <row r="1260">
          <cell r="G1260" t="str">
            <v>Michelle bartender</v>
          </cell>
        </row>
        <row r="1262">
          <cell r="G1262" t="str">
            <v>on holiday- calling next week</v>
          </cell>
        </row>
        <row r="1264">
          <cell r="G1264" t="str">
            <v>has tnt</v>
          </cell>
        </row>
        <row r="1265">
          <cell r="G1265" t="str">
            <v>nice little town and pub, mid day tea vibe. staff shared lease is up and looking for new ll.</v>
          </cell>
        </row>
        <row r="1266">
          <cell r="G1266" t="str">
            <v>Stella on, Texting rm for new ll info to get in... hells possible</v>
          </cell>
        </row>
        <row r="1267">
          <cell r="G1267" t="str">
            <v>met mo, ll . signing a mew lease in Jan. thinking that's the time to swap up stuff</v>
          </cell>
        </row>
        <row r="1268">
          <cell r="G1268" t="str">
            <v>great tiny little garden and mixed crowd of a pub. looking to trade up beer selections</v>
          </cell>
        </row>
        <row r="1270">
          <cell r="G1270" t="str">
            <v>just took ccarlsberg off for campo. great swap and customers haven't noticed the price change really.</v>
          </cell>
        </row>
        <row r="1271">
          <cell r="G1271" t="str">
            <v>san mig ops but laughed at stout</v>
          </cell>
        </row>
        <row r="1272">
          <cell r="G1272" t="str">
            <v>Stella historically had no support and was stoked to see me. texting her and keeping it going</v>
          </cell>
        </row>
        <row r="1273">
          <cell r="G1273" t="str">
            <v>bartendwrs super open to a chat, not much about bar tho. sent me to text jo. Jo coming in later tonight</v>
          </cell>
        </row>
        <row r="1274">
          <cell r="G1274" t="str">
            <v>sent her a text</v>
          </cell>
        </row>
        <row r="1275">
          <cell r="G1275" t="str">
            <v>Stella on</v>
          </cell>
        </row>
        <row r="1276">
          <cell r="G1276" t="str">
            <v>busy as heck for mid day wednesday</v>
          </cell>
        </row>
        <row r="1277">
          <cell r="G1277" t="str">
            <v>nice garden spot for the area too</v>
          </cell>
        </row>
        <row r="1279">
          <cell r="G1279" t="str">
            <v>Trust</v>
          </cell>
        </row>
        <row r="1280">
          <cell r="G1280">
            <v>100</v>
          </cell>
        </row>
        <row r="1281">
          <cell r="G1281" t="str">
            <v>Stella perfect serve free pint convo</v>
          </cell>
        </row>
        <row r="1282">
          <cell r="G1282" t="str">
            <v>jane</v>
          </cell>
        </row>
        <row r="1287">
          <cell r="G1287" t="str">
            <v>Jo not around, chat with bar staff. Seems there's an empty line - target for Hells.</v>
          </cell>
        </row>
        <row r="1290">
          <cell r="G1290" t="str">
            <v>chatted to Jo manager -getting madri put in on spare line</v>
          </cell>
        </row>
        <row r="1291">
          <cell r="G1291" t="str">
            <v>jo: 07982671910</v>
          </cell>
        </row>
        <row r="1295">
          <cell r="G1295" t="str">
            <v>stella and fosters top</v>
          </cell>
        </row>
        <row r="1297">
          <cell r="G1297" t="str">
            <v>send some pale samples - john smiths dying off but got their loyalists, seemed pretty convinced - send samples then whack on follow up</v>
          </cell>
        </row>
        <row r="1299">
          <cell r="G1299" t="str">
            <v>all good on stella pos</v>
          </cell>
        </row>
        <row r="1301">
          <cell r="G1301" t="str">
            <v>san miguel for corona a nah - says got solid san mig drinkers then corona does well on bottles</v>
          </cell>
        </row>
        <row r="1302">
          <cell r="G1302" t="str">
            <v>stout trial per frazer</v>
          </cell>
        </row>
        <row r="1303">
          <cell r="G1303" t="str">
            <v>checked in with michael whilst in town, quiet but welcoming, need to push a convo out of him. nil craft ops. wouldnt sell here</v>
          </cell>
        </row>
        <row r="1305">
          <cell r="G1305" t="str">
            <v>dit with jake... agreed pale prior but reverted and learned it also won't work their anyhow</v>
          </cell>
        </row>
        <row r="1308">
          <cell r="G1308" t="str">
            <v>all beer are on stand alone fonts</v>
          </cell>
        </row>
        <row r="1310">
          <cell r="G1310">
            <v>7957958099</v>
          </cell>
        </row>
        <row r="1311">
          <cell r="G1311" t="str">
            <v>Michael ll</v>
          </cell>
        </row>
        <row r="1312">
          <cell r="G1312" t="str">
            <v>sending loads of pos- he keeps getting told no when asking for it?</v>
          </cell>
        </row>
        <row r="1314">
          <cell r="G1314" t="str">
            <v>sent pale samples to target joh.smiths... says its the older clientel and would like to reach younger more craft</v>
          </cell>
        </row>
        <row r="1315">
          <cell r="G1315" t="str">
            <v>good chat with Ray</v>
          </cell>
        </row>
        <row r="1316">
          <cell r="G1316" t="str">
            <v>fosters top volume</v>
          </cell>
        </row>
        <row r="1317">
          <cell r="G1317" t="str">
            <v>Stella right behind it</v>
          </cell>
        </row>
        <row r="1318">
          <cell r="G1318" t="str">
            <v>never taking off js ""</v>
          </cell>
        </row>
        <row r="1319">
          <cell r="G1319" t="str">
            <v>madri goes through 1 small barrel a week maybe, good ops... but not for craft, perhaps san mig when it comes put</v>
          </cell>
        </row>
        <row r="1320">
          <cell r="G1320" t="str">
            <v>extra aspalls pump, just didn't sell and been off 8 months, not open to craft tho</v>
          </cell>
        </row>
        <row r="1324">
          <cell r="G1324" t="str">
            <v>Met GM Ray, top man. Nick is the leaseholder, he's only around sporadically.</v>
          </cell>
        </row>
        <row r="1326">
          <cell r="G1326" t="str">
            <v>Big site, does events a couple times a week, well kept garden. Though still an element of being price sensitive.</v>
          </cell>
        </row>
        <row r="1328">
          <cell r="G1328" t="str">
            <v>Tied in with MC for Sky deal.</v>
          </cell>
        </row>
        <row r="1330">
          <cell r="G1330" t="str">
            <v>Fosters best seller.</v>
          </cell>
        </row>
        <row r="1332">
          <cell r="G1332" t="str">
            <v>1 Coors line is a dummy and Aspalls off for weeks. Target - BT sport?</v>
          </cell>
        </row>
        <row r="1333">
          <cell r="G1333" t="str">
            <v>not open on time hut someone let me in, Cathy not around yet. Stella all swell</v>
          </cell>
        </row>
        <row r="1334">
          <cell r="G1334" t="str">
            <v>texted Cathy I stopped by</v>
          </cell>
        </row>
        <row r="1336">
          <cell r="G1336" t="str">
            <v>uneccisarily massive pub. multiple bars but all JS, COORS, STELLA AND GUINNY. and apparently doing pretty ungood business wise. no ops atm</v>
          </cell>
        </row>
        <row r="1339">
          <cell r="G1339" t="str">
            <v>Cathy ll</v>
          </cell>
        </row>
        <row r="1340">
          <cell r="G1340">
            <v>2085920431</v>
          </cell>
        </row>
        <row r="1341">
          <cell r="G1341" t="str">
            <v>tnt</v>
          </cell>
        </row>
        <row r="1342">
          <cell r="G1342" t="str">
            <v>Stella om and doing fine per tender. Laura not in. stout only other listed with punch and wouldn't do well here.</v>
          </cell>
        </row>
        <row r="1345">
          <cell r="G1345" t="str">
            <v>send pic of Stella new font</v>
          </cell>
        </row>
        <row r="1346">
          <cell r="G1346" t="str">
            <v>rush?</v>
          </cell>
        </row>
        <row r="1348">
          <cell r="G1348" t="str">
            <v>send perfect sevlrve info</v>
          </cell>
        </row>
        <row r="1350">
          <cell r="G1350" t="str">
            <v>07966234180 Laura ll of 13 years</v>
          </cell>
        </row>
        <row r="1351">
          <cell r="G1351" t="str">
            <v>getting a second stella pump , has trust working on it already</v>
          </cell>
        </row>
        <row r="1352">
          <cell r="G1352" t="str">
            <v>has a spare line and open to Camden, but it's about what people ask for... everything works so prob won't switch up. very mid day week day drinkers and fosters,stella vol... madri doing well tho, dripped camden samples.</v>
          </cell>
        </row>
        <row r="1353">
          <cell r="G1353" t="str">
            <v>Louise in since November and trying to scare away the younger crowd, gets alot of "scallywags"</v>
          </cell>
        </row>
        <row r="1355">
          <cell r="G1355" t="str">
            <v>Katie LL (says so but she keeps saying "my boss" probably more the bar manager)</v>
          </cell>
        </row>
        <row r="1357">
          <cell r="G1357" t="str">
            <v>07399638260 send perfect serve</v>
          </cell>
        </row>
        <row r="1358">
          <cell r="G1358" t="str">
            <v>Camden craft benefits and corona draft interwst</v>
          </cell>
        </row>
        <row r="1361">
          <cell r="G1361" t="str">
            <v>Rona up 50</v>
          </cell>
        </row>
        <row r="1362">
          <cell r="G1362" t="str">
            <v>Stella up 25</v>
          </cell>
        </row>
        <row r="1363">
          <cell r="G1363" t="str">
            <v>Bud CHURN?</v>
          </cell>
        </row>
        <row r="1364">
          <cell r="G1364" t="str">
            <v>Kelly ll of 23 years</v>
          </cell>
        </row>
        <row r="1365">
          <cell r="G1365" t="str">
            <v>open to trying new stuff</v>
          </cell>
        </row>
        <row r="1366">
          <cell r="G1366" t="str">
            <v>neckoil replaced js and is doing greateith 3 kegs a week (camden is only £1 less than neckoil)</v>
          </cell>
        </row>
        <row r="1367">
          <cell r="G1367" t="str">
            <v>cruzcampi replaced madri and her best volume, then fosters...</v>
          </cell>
        </row>
        <row r="1368">
          <cell r="G1368" t="str">
            <v>wanting to replace amstel... replaces based off what customers ask for... vs price sensitive</v>
          </cell>
        </row>
        <row r="1369">
          <cell r="G1369" t="str">
            <v>left samples and mentioned foc g</v>
          </cell>
        </row>
        <row r="1370">
          <cell r="G1370" t="str">
            <v>keg for the next week. calling next week by her request</v>
          </cell>
        </row>
        <row r="1373">
          <cell r="G1373" t="str">
            <v>not against Stella but was on pre covid and didn't do well. recognises its been a while but not stoked for it... avoiding for now.</v>
          </cell>
        </row>
        <row r="1374">
          <cell r="G1374" t="str">
            <v>local boozer, little craft ops</v>
          </cell>
        </row>
        <row r="1376">
          <cell r="G1376" t="str">
            <v>Stella pints and coasters</v>
          </cell>
        </row>
        <row r="1377">
          <cell r="G1377" t="str">
            <v>and I'll send Stella perfect info</v>
          </cell>
        </row>
        <row r="1379">
          <cell r="G1379" t="str">
            <v>Jackie 07867761406</v>
          </cell>
        </row>
        <row r="1381">
          <cell r="G1381" t="str">
            <v>jacquiemorabuck@msn.com</v>
          </cell>
        </row>
        <row r="1382">
          <cell r="G1382" t="str">
            <v>met landlady Keighley this time. sending Stella pos but not going for camden... wants to watch the new line up for a bit. I think contracted to huk</v>
          </cell>
        </row>
        <row r="1385">
          <cell r="G1385" t="str">
            <v>Charlotte not in</v>
          </cell>
        </row>
        <row r="1386">
          <cell r="G1386" t="str">
            <v>Megan on bar- Stella all well - mentioned camelden to add to tnt and contacting LL</v>
          </cell>
        </row>
        <row r="1387">
          <cell r="G1387" t="str">
            <v>Foster</v>
          </cell>
        </row>
        <row r="1388">
          <cell r="G1388" t="str">
            <v>moretti</v>
          </cell>
        </row>
        <row r="1389">
          <cell r="G1389" t="str">
            <v>madri</v>
          </cell>
        </row>
        <row r="1392">
          <cell r="G1392" t="str">
            <v>Atlantic Pale</v>
          </cell>
        </row>
        <row r="1393">
          <cell r="G1393" t="str">
            <v>carling df</v>
          </cell>
        </row>
        <row r="1394">
          <cell r="G1394" t="str">
            <v>aspall</v>
          </cell>
        </row>
        <row r="1395">
          <cell r="G1395" t="str">
            <v>coors</v>
          </cell>
        </row>
        <row r="1396">
          <cell r="G1396" t="str">
            <v>pravah ipo moretti</v>
          </cell>
        </row>
        <row r="1397">
          <cell r="G1397" t="str">
            <v>255 stella</v>
          </cell>
        </row>
        <row r="1399">
          <cell r="G1399" t="str">
            <v>send perf serve kit</v>
          </cell>
        </row>
        <row r="1400">
          <cell r="G1400" t="str">
            <v>Stuart Galloway</v>
          </cell>
        </row>
        <row r="1401">
          <cell r="G1401" t="str">
            <v>wants 5o%tnt but need to swap name to actual landlord ... rona thought and maybe hells</v>
          </cell>
        </row>
        <row r="1402">
          <cell r="G1402" t="str">
            <v>send Stella gear</v>
          </cell>
        </row>
        <row r="1406">
          <cell r="G1406" t="str">
            <v>Met Charlotte, new leaseholder as of June, super friendly.</v>
          </cell>
        </row>
        <row r="1408">
          <cell r="G1408" t="str">
            <v>Local village pub, getting food in ASAP, trying to draw in younger crowd and more families.</v>
          </cell>
        </row>
        <row r="1410">
          <cell r="G1410" t="str">
            <v>1 spare line, talked about Camden brands. Touch base again in a week or 2.</v>
          </cell>
        </row>
        <row r="1412">
          <cell r="G1412" t="str">
            <v>Charlotte - 07539104673</v>
          </cell>
        </row>
        <row r="1413">
          <cell r="G1413" t="str">
            <v>hells at 5.50</v>
          </cell>
        </row>
        <row r="1414">
          <cell r="G1414" t="str">
            <v>Stella at 5.20</v>
          </cell>
        </row>
        <row r="1415">
          <cell r="G1415" t="str">
            <v>pale going off well, hells hit and miss.. they recognise once they have the first pint they like it but getting people to try something new to them is work.</v>
          </cell>
        </row>
        <row r="1419">
          <cell r="G1419" t="str">
            <v>hells 195 50l</v>
          </cell>
        </row>
        <row r="1420">
          <cell r="G1420" t="str">
            <v>pale 187 50l - 5.11</v>
          </cell>
        </row>
        <row r="1421">
          <cell r="G1421" t="str">
            <v>Stuart Galloway</v>
          </cell>
        </row>
        <row r="1422">
          <cell r="G1422" t="str">
            <v>moretti split. had longer 5.2</v>
          </cell>
        </row>
        <row r="1423">
          <cell r="G1423" t="str">
            <v>also wanting rona ipo madri - 4.11</v>
          </cell>
        </row>
        <row r="1424">
          <cell r="G1424" t="str">
            <v>text her tomorrow to confirm</v>
          </cell>
        </row>
        <row r="1427">
          <cell r="G1427" t="str">
            <v>Cheryl and Mark ll</v>
          </cell>
        </row>
        <row r="1428">
          <cell r="G1428" t="str">
            <v>19 years leased</v>
          </cell>
        </row>
        <row r="1429">
          <cell r="G1429" t="str">
            <v>sending Stella glass 20 and 10oz</v>
          </cell>
        </row>
        <row r="1431">
          <cell r="G1431" t="str">
            <v>mom said they are om holiday but could use some glasses</v>
          </cell>
        </row>
        <row r="1432">
          <cell r="G1432" t="str">
            <v>Crawford is LL- in back but to busy to come up</v>
          </cell>
        </row>
        <row r="1433">
          <cell r="G1433" t="str">
            <v>left card - reminder to call for apt</v>
          </cell>
        </row>
        <row r="1434">
          <cell r="G1434" t="str">
            <v>badge</v>
          </cell>
        </row>
        <row r="1435">
          <cell r="G1435" t="str">
            <v>for camden pale post</v>
          </cell>
        </row>
        <row r="1436">
          <cell r="G1436" t="str">
            <v>round badge. plus pos</v>
          </cell>
        </row>
        <row r="1437">
          <cell r="G1437" t="str">
            <v xml:space="preserve"> chat with rm , he says he doesn't need approval, they order it them self's on rotation lines</v>
          </cell>
        </row>
        <row r="1438">
          <cell r="G1438" t="str">
            <v>hopical craft rotation.</v>
          </cell>
        </row>
        <row r="1440">
          <cell r="G1440" t="str">
            <v>Mark Duffield LL lease up In June- rents getting ££ - waiting stonegate out , may retire early</v>
          </cell>
        </row>
        <row r="1442">
          <cell r="G1442" t="str">
            <v>took rona out during covid</v>
          </cell>
        </row>
        <row r="1443">
          <cell r="G1443" t="str">
            <v>Bud out since he wasn't getting any love from reps and stella has dropped from 2nd to 3rd in pla e or moretti (he's been using moreti glasses for stella) - ordered</v>
          </cell>
        </row>
        <row r="1445">
          <cell r="G1445">
            <v>7512020813</v>
          </cell>
        </row>
        <row r="1446">
          <cell r="G1446" t="str">
            <v>keen to swap neckoil or hopical for camden</v>
          </cell>
        </row>
        <row r="1447">
          <cell r="G1447" t="str">
            <v>mahou in the fridge, possible chat</v>
          </cell>
        </row>
        <row r="1448">
          <cell r="G1448" t="str">
            <v>stuck in traffic. commig back at 230</v>
          </cell>
        </row>
        <row r="1449">
          <cell r="G1449" t="str">
            <v>got to make another apt</v>
          </cell>
        </row>
        <row r="1452">
          <cell r="G1452" t="str">
            <v>Says that the Stella glassware never delivered on Friday.So I checked with stacey , but this is the second time he said this and they where. last time he told me to send 2 cases a month and wouldn't talk to me further... shewed me out the door again today... ouch</v>
          </cell>
        </row>
        <row r="1455">
          <cell r="G1455" t="str">
            <v>Paul is LL</v>
          </cell>
        </row>
        <row r="1457">
          <cell r="G1457" t="str">
            <v>came to say hi but acted very busy 'right at opening?</v>
          </cell>
        </row>
        <row r="1458">
          <cell r="G1458" t="str">
            <v>"all I need from you"</v>
          </cell>
        </row>
        <row r="1459">
          <cell r="G1459" t="str">
            <v>wouldn't say hi properly or share names just wanted glassware auto shipped once a month and then stood up... awkward and speedy but tip toe around Rude?</v>
          </cell>
        </row>
        <row r="1460">
          <cell r="G1460" t="str">
            <v>rachel not in, chatted with tender, op going over well. stella never coming off</v>
          </cell>
        </row>
        <row r="1463">
          <cell r="G1463" t="str">
            <v>happy with op swap</v>
          </cell>
        </row>
        <row r="1464">
          <cell r="G1464" t="str">
            <v>not movi g forward with unfiltered dual with stella</v>
          </cell>
        </row>
        <row r="1465">
          <cell r="G1465" t="str">
            <v>but madri is dumbing down with new stella install, mentioned hells... repinging in a month eith foc keg</v>
          </cell>
        </row>
        <row r="1469">
          <cell r="G1469" t="str">
            <v>swapping strongbow with op - send request</v>
          </cell>
        </row>
        <row r="1470">
          <cell r="G1470" t="str">
            <v>ops for unfiltered</v>
          </cell>
        </row>
        <row r="1472">
          <cell r="G1472" t="str">
            <v>dropped samps- Orsett dog and partridge visited</v>
          </cell>
        </row>
        <row r="1473">
          <cell r="G1473" t="str">
            <v>sent more stella goods that "never arrived" but say they did. met his wife and immediately licensing people arrive and interrupt our chat.</v>
          </cell>
        </row>
        <row r="1476">
          <cell r="G1476" t="str">
            <v>out of trust budget</v>
          </cell>
        </row>
        <row r="1477">
          <cell r="G1477" t="str">
            <v>send epl</v>
          </cell>
        </row>
        <row r="1478">
          <cell r="G1478" t="str">
            <v>and stella nicknacks</v>
          </cell>
        </row>
        <row r="1479">
          <cell r="G1479" t="str">
            <v>send 2 stella badges</v>
          </cell>
        </row>
        <row r="1480">
          <cell r="G1480" t="str">
            <v>round or oval</v>
          </cell>
        </row>
        <row r="1481">
          <cell r="G1481" t="str">
            <v>Big on showing face and visiting the pub. "guiness is the only that cares about their products and show face once a momth"</v>
          </cell>
        </row>
        <row r="1486">
          <cell r="G1486" t="str">
            <v>Andrew LL</v>
          </cell>
        </row>
        <row r="1487">
          <cell r="G1487">
            <v>7397523439</v>
          </cell>
        </row>
        <row r="1489">
          <cell r="G1489" t="str">
            <v>he met me in my car and was ready to tell me to leave- but after learning who I was he talked to me about what's going on in town today and we are booking another day for me yo visit</v>
          </cell>
        </row>
        <row r="1491">
          <cell r="G1491" t="str">
            <v>all pubs in Harlow are closed for the day (gypsies funeral and all are worried about problems)</v>
          </cell>
        </row>
        <row r="1492">
          <cell r="G1492" t="str">
            <v>luke bartender</v>
          </cell>
        </row>
        <row r="1493">
          <cell r="G1493" t="str">
            <v>sent Stella pints</v>
          </cell>
        </row>
        <row r="1494">
          <cell r="G1494" t="str">
            <v>Stella 3rd best (Carl's and fost tip vol for £)</v>
          </cell>
        </row>
        <row r="1495">
          <cell r="G1495" t="str">
            <v>little ops for craft, boozer</v>
          </cell>
        </row>
        <row r="1496">
          <cell r="G1496" t="str">
            <v>booked meet with charlotte.. but had a quick hi and bye, got called away. rescheduling</v>
          </cell>
        </row>
        <row r="1499">
          <cell r="G1499" t="str">
            <v>bud epl kit</v>
          </cell>
        </row>
        <row r="1500">
          <cell r="G1500" t="str">
            <v>Stella link</v>
          </cell>
        </row>
        <row r="1502">
          <cell r="G1502" t="str">
            <v>no ops - had for 15 months and line the same... all is doing them well (swapped js for inches only)</v>
          </cell>
        </row>
        <row r="1503">
          <cell r="G1503" t="str">
            <v>booked in teh visit for bank holiday.</v>
          </cell>
        </row>
        <row r="1506">
          <cell r="G1506" t="str">
            <v>Camden not on any more- campo replaced?</v>
          </cell>
        </row>
        <row r="1507">
          <cell r="G1507" t="str">
            <v>rona font is not bubbling... booking a tech visit</v>
          </cell>
        </row>
        <row r="1508">
          <cell r="G1508" t="str">
            <v>send rona glasses</v>
          </cell>
        </row>
        <row r="1510">
          <cell r="G1510" t="str">
            <v>Wood fired blpizza room</v>
          </cell>
        </row>
        <row r="1511">
          <cell r="G1511" t="str">
            <v>pool room and out door bar</v>
          </cell>
        </row>
        <row r="1512">
          <cell r="G1512" t="str">
            <v>all separate areas outside</v>
          </cell>
        </row>
        <row r="1514">
          <cell r="G1514" t="str">
            <v>gorgeous quirky pub and down to explore more crafts and courtney is interested in the post box for camden in garden for summer</v>
          </cell>
        </row>
        <row r="1516">
          <cell r="G1516" t="str">
            <v>courtney 07534692721</v>
          </cell>
        </row>
        <row r="1517">
          <cell r="G1517" t="str">
            <v>John 07930371082</v>
          </cell>
        </row>
        <row r="1523">
          <cell r="G1523" t="str">
            <v>half of magners</v>
          </cell>
        </row>
        <row r="1525">
          <cell r="G1525" t="str">
            <v>chass projector</v>
          </cell>
        </row>
        <row r="1527">
          <cell r="G1527" t="str">
            <v>camden pos, runners, coasters, send couple of tin badges</v>
          </cell>
        </row>
        <row r="1528">
          <cell r="G1528" t="str">
            <v>bud stuff for world cup</v>
          </cell>
        </row>
        <row r="1530">
          <cell r="G1530" t="str">
            <v>chatted to john LL hells going well, just neex some more awareness as round side bit, pos will help</v>
          </cell>
        </row>
        <row r="1532">
          <cell r="G1532" t="str">
            <v>w outdoor bar is keen on postbox for camden, means pale as additional product, can then get on main bar if sales good</v>
          </cell>
        </row>
        <row r="1533">
          <cell r="G1533" t="str">
            <v>follow up and get sorted</v>
          </cell>
        </row>
        <row r="1535">
          <cell r="G1535" t="str">
            <v>the sweetest older couple.</v>
          </cell>
        </row>
        <row r="1536">
          <cell r="G1536" t="str">
            <v>fitting a new kitchen and clearing out mess when I visited. Stella replaced moretti this year and not doing the most volume but optimistic that it's picking up as people know they have it. not ops for craft but san mig perhaps with time</v>
          </cell>
        </row>
        <row r="1537">
          <cell r="G1537" t="str">
            <v>talked put the back, didnt get much of a look inside</v>
          </cell>
        </row>
        <row r="1538">
          <cell r="G1538" t="str">
            <v>Kate out at a funeral.</v>
          </cell>
        </row>
        <row r="1539">
          <cell r="G1539" t="str">
            <v>Stella on, texted for proper remeet.</v>
          </cell>
        </row>
        <row r="1540">
          <cell r="G1540" t="str">
            <v>craft doubtful would roll well in this boozer but says her customers are asking.</v>
          </cell>
        </row>
        <row r="1541">
          <cell r="G1541" t="str">
            <v>leffe type of clientel perhaps.</v>
          </cell>
        </row>
        <row r="1544">
          <cell r="G1544" t="str">
            <v>Kate took over 9 weeks ago. won't make change for three months but is quite open to convo. says the customers have asked for more premium and coors will likely be first to go.... says guinnes is hit and miss, perhaps stout. reminder to call in three months</v>
          </cell>
        </row>
        <row r="1545">
          <cell r="G1545" t="str">
            <v>Stella goods never showed.. started off annoyed by that and had to open him back up, thank god for locals at the bar sometimes. turned it around and ended with a laugh, still2  extra lines but not open to talk craft, san mig ops in the new year.</v>
          </cell>
        </row>
        <row r="1548">
          <cell r="G1548" t="str">
            <v>Rodmngr</v>
          </cell>
        </row>
        <row r="1549">
          <cell r="G1549" t="str">
            <v>says Barry Barry darraugh arnt in often- have a few pubs</v>
          </cell>
        </row>
        <row r="1551">
          <cell r="G1551" t="str">
            <v>2 blank taps- mentioned met mick rm and thought camden samples to send (sent Stella coasters)</v>
          </cell>
        </row>
        <row r="1552">
          <cell r="G1552" t="str">
            <v>met adrian, "not broke don't fix it" good for a ring when san miguel comes on, on the bar and happy with it for now</v>
          </cell>
        </row>
        <row r="1554">
          <cell r="G1554" t="str">
            <v>Adrian 2 years in May</v>
          </cell>
        </row>
        <row r="1555">
          <cell r="G1555" t="str">
            <v>bridgehouseStNeots1@gmail.com</v>
          </cell>
        </row>
        <row r="1557">
          <cell r="G1557" t="str">
            <v>Ben bartender had a good talk</v>
          </cell>
        </row>
        <row r="1559">
          <cell r="G1559" t="str">
            <v>Brixton on a few months</v>
          </cell>
        </row>
        <row r="1560">
          <cell r="G1560" t="str">
            <v>most expensive but still sells fair enough - maybe a tackle</v>
          </cell>
        </row>
        <row r="1561">
          <cell r="G1561" t="str">
            <v>much more welcoming this go round. Stella on. stout only other option and doubtful would go well here. emailed himbfor a hello</v>
          </cell>
        </row>
        <row r="1563">
          <cell r="G1563" t="str">
            <v>talked to bartender- didnt wamt to talk or give LL info- said she would send a pic of my card to the LL and told me a wake is coming in soon as a bit of shew</v>
          </cell>
        </row>
        <row r="1564">
          <cell r="G1564" t="str">
            <v>chris not in, dionne at the bar again... apparently just visited last month but repsly isn't pulling forms historically for this pub. cool.</v>
          </cell>
        </row>
        <row r="1565">
          <cell r="G1565" t="str">
            <v>san mig ops In the new year not much for craft</v>
          </cell>
        </row>
        <row r="1567">
          <cell r="G1567" t="str">
            <v>reply isn't pulling in old forms ugh</v>
          </cell>
        </row>
        <row r="1568">
          <cell r="G1568" t="str">
            <v>still has his dummy handle of campo since Feb.</v>
          </cell>
        </row>
        <row r="1569">
          <cell r="G1569" t="str">
            <v>stepped out, sent a note to rehash</v>
          </cell>
        </row>
        <row r="1570">
          <cell r="G1570" t="str">
            <v>woooooooaaa</v>
          </cell>
        </row>
        <row r="1571">
          <cell r="G1571" t="str">
            <v>hates stonegate</v>
          </cell>
        </row>
        <row r="1572">
          <cell r="G1572" t="str">
            <v>been in 20 years, screaming about SG and how they aren't helping him. lease up In Feb and ironing that out tbd.</v>
          </cell>
        </row>
        <row r="1574">
          <cell r="G1574" t="str">
            <v>madri and stella best vol. no craft ops</v>
          </cell>
        </row>
        <row r="1575">
          <cell r="G1575" t="str">
            <v>san mig will be ops then</v>
          </cell>
        </row>
        <row r="1577">
          <cell r="G1577" t="str">
            <v>cute quirky pub on the inside and massive space but struggling for people.</v>
          </cell>
        </row>
        <row r="1579">
          <cell r="G1579" t="str">
            <v>also owns a ice factory and fish monger</v>
          </cell>
        </row>
        <row r="1580">
          <cell r="G1580" t="str">
            <v>had stella on a while back, replaced with moretti- didn't sell . sell a few bottles a week now.</v>
          </cell>
        </row>
        <row r="1581">
          <cell r="G1581" t="str">
            <v>ceuzcampo new in, selling great, surprised as the custom2rs are very core lager lead and sees campo as crafty.</v>
          </cell>
        </row>
        <row r="1583">
          <cell r="G1583" t="str">
            <v>no ops, perhaps san mig I'm the new year for the price range</v>
          </cell>
        </row>
        <row r="1584">
          <cell r="G1584" t="str">
            <v>harmony is the manager, busy but very welcoming chat. sending her an email to schedule something in with her and steve. she is somewhat dm, but needs his approval</v>
          </cell>
        </row>
        <row r="1586">
          <cell r="G1586" t="str">
            <v>messaged line mngr, ift form logged at a couple places I'm this area that are l&amp;t, maybe changed over recently tbd</v>
          </cell>
        </row>
        <row r="1587">
          <cell r="G1587" t="str">
            <v>when calling for next weeks orders, checking on camden pale price to swap neckoil.</v>
          </cell>
        </row>
        <row r="1588">
          <cell r="G1588" t="str">
            <v>stoked for kopburg on draught when listed and san miguel</v>
          </cell>
        </row>
        <row r="1592">
          <cell r="G1592" t="str">
            <v>chris ll was organising cellar when I visited</v>
          </cell>
        </row>
        <row r="1593">
          <cell r="G1593" t="str">
            <v>cero in the fridge</v>
          </cell>
        </row>
        <row r="1595">
          <cell r="G1595" t="str">
            <v>Atlantic ops for pale? Atlantic doing great though</v>
          </cell>
        </row>
        <row r="1597">
          <cell r="G1597" t="str">
            <v>thought camden but opted for meckoil - revisit in months time</v>
          </cell>
        </row>
        <row r="1599">
          <cell r="G1599" t="str">
            <v>pool tables and nice vibes- craft ops next to neck</v>
          </cell>
        </row>
        <row r="1601">
          <cell r="G1601" t="str">
            <v>euros budweiser pos</v>
          </cell>
        </row>
        <row r="1602">
          <cell r="G1602" t="str">
            <v>budweiser rona hamper  send</v>
          </cell>
        </row>
        <row r="1604">
          <cell r="G1604" t="str">
            <v>the Yarmouth- his perfect serve pos arrived to right name and zip but had their address and line address.</v>
          </cell>
        </row>
        <row r="1605">
          <cell r="G1605" t="str">
            <v>not very welcoming staff on entrance, go in with lots of energy and get them out of their seats. weren't sure of the pub email so gave me theirs and will forward</v>
          </cell>
        </row>
        <row r="1606">
          <cell r="G1606" t="str">
            <v>sending Stella standard pos over</v>
          </cell>
        </row>
        <row r="1608">
          <cell r="G1608" t="str">
            <v>on the leffe hit list from gk, emailing now</v>
          </cell>
        </row>
        <row r="1609">
          <cell r="G1609" t="str">
            <v>hells was on years ago... power bi still showing it..... too expensive</v>
          </cell>
        </row>
        <row r="1610">
          <cell r="G1610" t="str">
            <v>nexkoil also left for price. Stella was on ages ago but not used much so swapped for carlsberg</v>
          </cell>
        </row>
        <row r="1611">
          <cell r="G1611" t="str">
            <v>been trading down for £ and not seeing as many people (in the middle of farm land and not much for immediate locals)</v>
          </cell>
        </row>
        <row r="1612">
          <cell r="G1612" t="str">
            <v>lovely pub and building but struggling on margin and clientel vol.</v>
          </cell>
        </row>
        <row r="1613">
          <cell r="G1613" t="str">
            <v>madri, Foster, estrella double taps.</v>
          </cell>
        </row>
        <row r="1614">
          <cell r="G1614" t="str">
            <v>taking down one madri tap for huk 0</v>
          </cell>
        </row>
        <row r="1615">
          <cell r="G1615" t="str">
            <v>not willing to retry stella, madri replaced it... happy to take off the other madri tap for mahou or san mig when listed but no camden ops. says it didn't work at a lub down the road and the clientel doesn't like change for crafty</v>
          </cell>
        </row>
        <row r="1616">
          <cell r="G1616" t="str">
            <v>Ashley 07969306726</v>
          </cell>
        </row>
        <row r="1617">
          <cell r="G1617" t="str">
            <v>gary 07769348603</v>
          </cell>
        </row>
        <row r="1619">
          <cell r="G1619" t="str">
            <v>put bud on because it works at the other pub, in sudbury (white horse)</v>
          </cell>
        </row>
        <row r="1620">
          <cell r="G1620" t="str">
            <v>but meh here, amstel cheapest and Bud 10p more... neckoil at 6.20... pale ops and replace bud with stella or hells thought</v>
          </cell>
        </row>
        <row r="1621">
          <cell r="G1621" t="str">
            <v>emailed for a meet</v>
          </cell>
        </row>
        <row r="1622">
          <cell r="G1622" t="str">
            <v>the quickest pub in my local area. well done, American steak house with a steak challenge, airplane seats and USA vibes to appeal to local military.</v>
          </cell>
        </row>
        <row r="1623">
          <cell r="G1623" t="str">
            <v>bosses not in but left contact. good beer range too, don't seem price scared</v>
          </cell>
        </row>
        <row r="1624">
          <cell r="G1624" t="str">
            <v>all good on stella.</v>
          </cell>
        </row>
        <row r="1625">
          <cell r="G1625" t="str">
            <v>punch only other listed is stout and would do here.</v>
          </cell>
        </row>
        <row r="1626">
          <cell r="G1626" t="str">
            <v>sending coasters</v>
          </cell>
        </row>
        <row r="1628">
          <cell r="G1628" t="str">
            <v>Stella on tap, top sell next to carling #1</v>
          </cell>
        </row>
        <row r="1630">
          <cell r="G1630" t="str">
            <v>recently swapped estrella for Morretti (open to change)</v>
          </cell>
        </row>
        <row r="1632">
          <cell r="G1632" t="str">
            <v>Charlie ashwell left- got new BDM info</v>
          </cell>
        </row>
        <row r="1633">
          <cell r="G1633" t="str">
            <v>Mark Neild (new to patch, not punch)</v>
          </cell>
        </row>
        <row r="1634">
          <cell r="G1634">
            <v>7500815362</v>
          </cell>
        </row>
        <row r="1636">
          <cell r="G1636" t="str">
            <v>Trevor the lease holder just met Mark a couple weeks ago- got Trevor number too</v>
          </cell>
        </row>
        <row r="1639">
          <cell r="G1639" t="str">
            <v>requested POS Stella half and tall pint, Coasters and pvc bar runners</v>
          </cell>
        </row>
        <row r="1640">
          <cell r="G1640" t="str">
            <v>met husband mike this round. spoke last week and sent glassware. all brands hat can be are on, stout and stella, and stouts doing grand, American airbase near by and younger cleintel , outside of the lodging</v>
          </cell>
        </row>
        <row r="1643">
          <cell r="G1643" t="str">
            <v>carling font and tap</v>
          </cell>
        </row>
        <row r="1644">
          <cell r="G1644" t="str">
            <v>aspalls new font</v>
          </cell>
        </row>
        <row r="1646">
          <cell r="G1646" t="str">
            <v>can't use left side of bar</v>
          </cell>
        </row>
        <row r="1647">
          <cell r="G1647" t="str">
            <v>taste funny</v>
          </cell>
        </row>
        <row r="1648">
          <cell r="G1648" t="str">
            <v>find lead brewer and have her contact to replace and not lime cleaners need replaced note</v>
          </cell>
        </row>
        <row r="1650">
          <cell r="G1650" t="str">
            <v>tin</v>
          </cell>
        </row>
        <row r="1651">
          <cell r="G1651" t="str">
            <v>Kim ll &amp; Mike</v>
          </cell>
        </row>
        <row r="1652">
          <cell r="G1652" t="str">
            <v>since September</v>
          </cell>
        </row>
        <row r="1653">
          <cell r="G1653">
            <v>7734427553</v>
          </cell>
        </row>
        <row r="1654">
          <cell r="G1654" t="str">
            <v>abby at the bar, pass house phone. good chat with customers at the bar but not much from her om beer</v>
          </cell>
        </row>
        <row r="1655">
          <cell r="G1655" t="str">
            <v>one of the nicest punch pubs I've entered, and open today, been twice and not open when said. gonna try to track down ll</v>
          </cell>
        </row>
        <row r="1656">
          <cell r="G1656" t="str">
            <v>replacement parasols arrived. no bases available. not happy he has to figure out himself.  no ops. just a little therapy sess</v>
          </cell>
        </row>
        <row r="1659">
          <cell r="G1659" t="str">
            <v>2 stella bases needed, different size</v>
          </cell>
        </row>
        <row r="1660">
          <cell r="G1660">
            <v>5686854</v>
          </cell>
        </row>
        <row r="1662">
          <cell r="G1662" t="str">
            <v>didn't realise my notes below before I popped in, was near another... but 1 parasol arrived broken, sending a note tk stavi for replacement. deb is at home so no chat. but these guys are stuck in their way and stout what do well here</v>
          </cell>
        </row>
        <row r="1664">
          <cell r="G1664" t="str">
            <v>sending glasses - Coasters -parasols</v>
          </cell>
        </row>
        <row r="1666">
          <cell r="G1666" t="str">
            <v>doing a refurb outside for summer</v>
          </cell>
        </row>
        <row r="1668">
          <cell r="G1668" t="str">
            <v>Mr Mrs Sam and deborah mcallan</v>
          </cell>
        </row>
        <row r="1669">
          <cell r="G1669" t="str">
            <v>owned for 20+ years</v>
          </cell>
        </row>
        <row r="1670">
          <cell r="G1670">
            <v>7557809709</v>
          </cell>
        </row>
        <row r="1673">
          <cell r="G1673" t="str">
            <v>straight up said no room for new explore and camden stout simply wouldn't sell here but requesting parasols and activation to help Stella sales (madri replaced pravah and is taking Stella sales -10%ly)</v>
          </cell>
        </row>
        <row r="1674">
          <cell r="G1674" t="str">
            <v>shona not in, need updated phone number, wrote down wrong</v>
          </cell>
        </row>
        <row r="1677">
          <cell r="G1677" t="str">
            <v>send Stella coasters when in stock</v>
          </cell>
        </row>
        <row r="1679">
          <cell r="G1679" t="str">
            <v>send budbtl campaigns and stella perf activation</v>
          </cell>
        </row>
        <row r="1681">
          <cell r="G1681" t="str">
            <v>unfiltered likely going in after refurb... send a check in on husbands health</v>
          </cell>
        </row>
        <row r="1682">
          <cell r="G1682" t="str">
            <v>Nicole new landlord,</v>
          </cell>
        </row>
        <row r="1683">
          <cell r="G1683" t="str">
            <v>stout foc not showing on deals</v>
          </cell>
        </row>
        <row r="1684">
          <cell r="G1684" t="str">
            <v>or hells packaged.</v>
          </cell>
        </row>
        <row r="1685">
          <cell r="G1685" t="str">
            <v>riging mark for san mig stuff..</v>
          </cell>
        </row>
        <row r="1686">
          <cell r="G1686" t="str">
            <v>stout coming off.. she never took guinness off and maybe wasn't the best desocion for my first install anyhow.</v>
          </cell>
        </row>
        <row r="1688">
          <cell r="G1688" t="str">
            <v>Lisa is landlord</v>
          </cell>
        </row>
        <row r="1690">
          <cell r="G1690" t="str">
            <v>hasn't used cask ales x3 in 8 months</v>
          </cell>
        </row>
        <row r="1691">
          <cell r="G1691" t="str">
            <v>(wasting barelels)</v>
          </cell>
        </row>
        <row r="1693">
          <cell r="G1693" t="str">
            <v>doing a survey to remove and bust out cask- new tbar build - stout and corona</v>
          </cell>
        </row>
        <row r="1694">
          <cell r="G1694" t="str">
            <v>out door bar on hold with 1950s licensing ... getting lots of push back and trying to revaluate their ability.</v>
          </cell>
        </row>
        <row r="1695">
          <cell r="G1695" t="str">
            <v>hells now on second tbar. doing great.</v>
          </cell>
        </row>
        <row r="1700">
          <cell r="G1700" t="str">
            <v>hells top 2 ... they are stoked about it</v>
          </cell>
        </row>
        <row r="1701">
          <cell r="G1701" t="str">
            <v>carling ops pale dual? stout?</v>
          </cell>
        </row>
        <row r="1702">
          <cell r="G1702" t="str">
            <v>Mark or matt bartender - all staff very welcoming</v>
          </cell>
        </row>
        <row r="1704">
          <cell r="G1704" t="str">
            <v>looking for patio to deck out...</v>
          </cell>
        </row>
        <row r="1706">
          <cell r="G1706" t="str">
            <v>building a madri and aspall outdoor pump</v>
          </cell>
        </row>
        <row r="1707">
          <cell r="G1707" t="str">
            <v>boosting the garden hard for summer</v>
          </cell>
        </row>
        <row r="1708">
          <cell r="G1708" t="str">
            <v>hells not going anywhere but wants aide for ros...and rsp...hampers for shuffle boards and rona</v>
          </cell>
        </row>
        <row r="1710">
          <cell r="G1710" t="str">
            <v>he's happy to add things to the fridge</v>
          </cell>
        </row>
        <row r="1712">
          <cell r="G1712" t="str">
            <v>madri getting decked for now but very open to Camden... send ros and rsp data for pale dual</v>
          </cell>
        </row>
        <row r="1714">
          <cell r="G1714" t="str">
            <v>"I don't want something for nothing happy to change up"... tap though warry</v>
          </cell>
        </row>
        <row r="1715">
          <cell r="G1715">
            <v>100</v>
          </cell>
        </row>
        <row r="1716">
          <cell r="G1716" t="str">
            <v>Admiral</v>
          </cell>
        </row>
        <row r="1717">
          <cell r="G1717" t="str">
            <v>@2</v>
          </cell>
        </row>
        <row r="1718">
          <cell r="G1718" t="str">
            <v>#4</v>
          </cell>
        </row>
        <row r="1720">
          <cell r="G1720" t="str">
            <v>Liam</v>
          </cell>
        </row>
        <row r="1721">
          <cell r="G1721">
            <v>7941947012</v>
          </cell>
        </row>
        <row r="1723">
          <cell r="G1723" t="str">
            <v>pale install and font</v>
          </cell>
        </row>
        <row r="1724">
          <cell r="G1724" t="str">
            <v>pale survey</v>
          </cell>
        </row>
        <row r="1726">
          <cell r="G1726" t="str">
            <v>Stella on a font</v>
          </cell>
        </row>
        <row r="1728">
          <cell r="G1728" t="str">
            <v>Signed up for stella perfexlct serve</v>
          </cell>
        </row>
        <row r="1729">
          <cell r="G1729" t="str">
            <v>send Stella goods, no budget</v>
          </cell>
        </row>
        <row r="1730">
          <cell r="G1730" t="str">
            <v>large events</v>
          </cell>
        </row>
        <row r="1731">
          <cell r="G1731" t="str">
            <v>7 kegs of Stella</v>
          </cell>
        </row>
        <row r="1732">
          <cell r="G1732" t="str">
            <v>3 of of fosters and 5+all</v>
          </cell>
        </row>
        <row r="1733">
          <cell r="G1733" t="str">
            <v>lots of core brands.</v>
          </cell>
        </row>
        <row r="1735">
          <cell r="G1735" t="str">
            <v>needham180@hotmail.co.uk</v>
          </cell>
        </row>
        <row r="1736">
          <cell r="G1736" t="str">
            <v>Chris LL</v>
          </cell>
        </row>
        <row r="1737">
          <cell r="G1737" t="str">
            <v>23 years</v>
          </cell>
        </row>
        <row r="1739">
          <cell r="G1739" t="str">
            <v>not in ATM</v>
          </cell>
        </row>
        <row r="1740">
          <cell r="G1740" t="str">
            <v>Kelly bartender passed on email to schedule visot</v>
          </cell>
        </row>
        <row r="1741">
          <cell r="G1741" t="str">
            <v>tried to track down Georgia for nightjarz, but not in.</v>
          </cell>
        </row>
        <row r="1745">
          <cell r="G1745" t="str">
            <v>Georgia 07548865215 knightjarz</v>
          </cell>
        </row>
        <row r="1746">
          <cell r="G1746" t="str">
            <v>call next week want to take Heineken off - stella good ops but not taking away guinnes anymore</v>
          </cell>
        </row>
        <row r="1751">
          <cell r="G1751" t="str">
            <v xml:space="preserve"> had a refit with Heineken</v>
          </cell>
        </row>
        <row r="1752">
          <cell r="G1752" t="str">
            <v>they almost got her to take out Stella but it sales to well... she can't get ahold of our reps in the past and reassured her the patch is covered now</v>
          </cell>
        </row>
        <row r="1753">
          <cell r="G1753" t="str">
            <v>relit stout in her Bury location- no hard yes but interested as a younger crowd</v>
          </cell>
        </row>
        <row r="1755">
          <cell r="G1755" t="str">
            <v>07703846533-ginny</v>
          </cell>
        </row>
        <row r="1756">
          <cell r="G1756" t="str">
            <v>meeting next week at nightjars</v>
          </cell>
        </row>
        <row r="1761">
          <cell r="G1761" t="str">
            <v>ginny is landlady but her daughter was there. they have the nightjars in bury as well. said people will try different stuff there so may do it.</v>
          </cell>
        </row>
        <row r="1763">
          <cell r="G1763" t="str">
            <v>HUK or doing work for them in this pub so getting rid of a lot of coors stuff as they are rubbish. keeping stella though</v>
          </cell>
        </row>
        <row r="1765">
          <cell r="G1765" t="str">
            <v>bit of an estate boozer but got a fairly premium line up.</v>
          </cell>
        </row>
        <row r="1767">
          <cell r="G1767" t="str">
            <v>sell a fair bit of Guinness here.</v>
          </cell>
        </row>
        <row r="1768">
          <cell r="G1768" t="str">
            <v>sent new op badge, pig falling off. finally got op pints, sent more.</v>
          </cell>
        </row>
        <row r="1769">
          <cell r="G1769" t="str">
            <v>all brands on , except stout... with time maybe</v>
          </cell>
        </row>
        <row r="1772">
          <cell r="G1772" t="str">
            <v>stout will be hard sell in. started convo but loves his guinnes and doesn't have the lines</v>
          </cell>
        </row>
        <row r="1774">
          <cell r="G1774" t="str">
            <v>camden doing better than all and very happy</v>
          </cell>
        </row>
        <row r="1776">
          <cell r="G1776" t="str">
            <v>still no glassware for op, reminder set</v>
          </cell>
        </row>
        <row r="1777">
          <cell r="G1777" t="str">
            <v>san mig ops in new year</v>
          </cell>
        </row>
        <row r="1778">
          <cell r="G1778" t="str">
            <v>no craft ops</v>
          </cell>
        </row>
        <row r="1780">
          <cell r="G1780" t="str">
            <v>madri and stella top pours</v>
          </cell>
        </row>
        <row r="1781">
          <cell r="G1781" t="str">
            <v>sells a fair amount of each brand... fosters I see coming off in a years time (seemed unsure of it) - lovely garden with a view of the hill</v>
          </cell>
        </row>
        <row r="1783">
          <cell r="G1783" t="str">
            <v>not to keen on craft because of the small town</v>
          </cell>
        </row>
        <row r="1785">
          <cell r="G1785" t="str">
            <v>Martin is LL</v>
          </cell>
        </row>
        <row r="1787">
          <cell r="G1787" t="str">
            <v>has a pub dog and turtle! Hahaha</v>
          </cell>
        </row>
        <row r="1788">
          <cell r="G1788" t="str">
            <v>took bud off, as expected.</v>
          </cell>
        </row>
        <row r="1789">
          <cell r="G1789" t="str">
            <v>hole in the wall, trash all outside now.</v>
          </cell>
        </row>
        <row r="1790">
          <cell r="G1790" t="str">
            <v>nice people but no craft ops. one to protect for stella vol. and magners</v>
          </cell>
        </row>
        <row r="1792">
          <cell r="G1792" t="str">
            <v>Met bob good chat and open to talk</v>
          </cell>
        </row>
        <row r="1793">
          <cell r="G1793">
            <v>7983801960</v>
          </cell>
        </row>
        <row r="1794">
          <cell r="G1794" t="str">
            <v>May go down 1 tap just he doesn't get that kind of business.. if he does it will be bud- let him know if he goes that route- let me know and we can explore our other brands and make more profit too.</v>
          </cell>
        </row>
        <row r="1795">
          <cell r="G1795" t="str">
            <v>Stella is 70% of his volume</v>
          </cell>
        </row>
        <row r="1796">
          <cell r="G1796" t="str">
            <v>trade workers and 40-65 age</v>
          </cell>
        </row>
        <row r="1797">
          <cell r="G1797" t="str">
            <v>craft not option</v>
          </cell>
        </row>
        <row r="1800">
          <cell r="G1800" t="str">
            <v xml:space="preserve"> Bob. Working man's pub. Has 3 of our brands for the BT deal, one to just keep happy.</v>
          </cell>
        </row>
        <row r="1801">
          <cell r="G1801" t="str">
            <v>apparently boss man is rude about reps. sending her an email to share with him</v>
          </cell>
        </row>
        <row r="1803">
          <cell r="G1803" t="str">
            <v>neckoil replaced Atlantic</v>
          </cell>
        </row>
        <row r="1804">
          <cell r="G1804" t="str">
            <v>amstel possible target</v>
          </cell>
        </row>
        <row r="1805">
          <cell r="G1805" t="str">
            <v>quiz every other week and bingo and karaoke</v>
          </cell>
        </row>
        <row r="1806">
          <cell r="G1806" t="str">
            <v>live music</v>
          </cell>
        </row>
        <row r="1807">
          <cell r="G1807" t="str">
            <v>07828663285 jacqui LOVES the pale before I brought it up and was interested in tnt as people leave if they don't have a game on</v>
          </cell>
        </row>
        <row r="1808">
          <cell r="G1808" t="str">
            <v>Paul let's jacqui run the bar program and is desision maker</v>
          </cell>
        </row>
        <row r="1812">
          <cell r="G1812" t="str">
            <v>Jacqui new manager, Paul LL. Atlantic Pale performing very bad, 5 pints last week- target for Camden Pale.</v>
          </cell>
        </row>
        <row r="1815">
          <cell r="G1815" t="str">
            <v>magners install for kingtones</v>
          </cell>
        </row>
        <row r="1817">
          <cell r="G1817" t="str">
            <v>get lots of pos support - 8 tables</v>
          </cell>
        </row>
        <row r="1818">
          <cell r="G1818" t="str">
            <v>stella parasols, general stella support</v>
          </cell>
        </row>
        <row r="1820">
          <cell r="G1820" t="str">
            <v>stella doing solid</v>
          </cell>
        </row>
        <row r="1822">
          <cell r="G1822" t="str">
            <v>estrella out for madri, san mig out for coors</v>
          </cell>
        </row>
        <row r="1824">
          <cell r="G1824" t="str">
            <v>coors deal so nah to new brands</v>
          </cell>
        </row>
        <row r="1826">
          <cell r="G1826" t="str">
            <v>doing sky at all, stella glassware for all:</v>
          </cell>
        </row>
        <row r="1827">
          <cell r="G1827" t="str">
            <v>white horse CM8</v>
          </cell>
        </row>
        <row r="1828">
          <cell r="G1828" t="str">
            <v>whatsheaf near chelmsford, foody, estrella does well,</v>
          </cell>
        </row>
        <row r="1829">
          <cell r="G1829" t="str">
            <v>falstead - chequers, only 3 months, gonna get foody, affluent area</v>
          </cell>
        </row>
        <row r="1831">
          <cell r="G1831" t="str">
            <v>ALL ESTRELLA FOR MADRI AND SANMIG FOR COORS</v>
          </cell>
        </row>
        <row r="1834">
          <cell r="G1834" t="str">
            <v>estrella br font</v>
          </cell>
        </row>
        <row r="1835">
          <cell r="G1835" t="str">
            <v>t bar 1 - guinn, sanmig, carlsberg, amstel, stella</v>
          </cell>
        </row>
        <row r="1836">
          <cell r="G1836" t="str">
            <v>t bar 2 - kstone wildberry, sbow cloudy, kstone apple</v>
          </cell>
        </row>
        <row r="1837">
          <cell r="G1837" t="str">
            <v>single font wainwright golden beer</v>
          </cell>
        </row>
        <row r="1838">
          <cell r="G1838" t="str">
            <v>cask x4 - 61 deep + bombardier amber ale</v>
          </cell>
        </row>
        <row r="1840">
          <cell r="G1840" t="str">
            <v>side bar:</v>
          </cell>
        </row>
        <row r="1841">
          <cell r="G1841" t="str">
            <v>t bar - estrella, carlsb, sanmig</v>
          </cell>
        </row>
        <row r="1842">
          <cell r="G1842" t="str">
            <v>double font - kingstone 1 and 2</v>
          </cell>
        </row>
        <row r="1843">
          <cell r="G1843" t="str">
            <v>4 cocktail font</v>
          </cell>
        </row>
        <row r="1844">
          <cell r="G1844" t="str">
            <v>rm sent me for landlord kev... but it's Cameron. odd</v>
          </cell>
        </row>
        <row r="1845">
          <cell r="G1845" t="str">
            <v>massive waterfront garden, kid friendly, food led... people in without their shirts thooooo... it is 31 degree today.</v>
          </cell>
        </row>
        <row r="1846">
          <cell r="G1846" t="str">
            <v>carling still fobbing and no fix. asking about Camden pale. will largely be a weekend seller like madri but she doesn't sell much carling and fosters will take those customers back. want to offer more for the younger crowd. simone is DM sort of but needs to pass to boss</v>
          </cell>
        </row>
        <row r="1847">
          <cell r="G1847" t="str">
            <v>dragonfly punch.</v>
          </cell>
        </row>
        <row r="1848">
          <cell r="G1848" t="str">
            <v>dragon gk</v>
          </cell>
        </row>
        <row r="1849">
          <cell r="G1849" t="str">
            <v>cross keys stonegate</v>
          </cell>
        </row>
        <row r="1850">
          <cell r="G1850" t="str">
            <v>hree hotshoes Stonegate</v>
          </cell>
        </row>
        <row r="1853">
          <cell r="G1853" t="str">
            <v>simone</v>
          </cell>
        </row>
        <row r="1854">
          <cell r="G1854">
            <v>7934634901</v>
          </cell>
        </row>
        <row r="1856">
          <cell r="G1856" t="str">
            <v>LL for 2 years</v>
          </cell>
        </row>
        <row r="1857">
          <cell r="G1857" t="str">
            <v>madri 4.80 (same as stella) starting to go down- weekend thing</v>
          </cell>
        </row>
        <row r="1859">
          <cell r="G1859" t="str">
            <v>carling also doing ppurly- known for fobbing</v>
          </cell>
        </row>
        <row r="1861">
          <cell r="G1861" t="str">
            <v>wants to swap strong bow (is cider part of tnt)</v>
          </cell>
        </row>
        <row r="1862">
          <cell r="G1862" t="str">
            <v>newly acquired by allen across the street at stage, stonegate pub. has a handful of pubs all dif rtm</v>
          </cell>
        </row>
        <row r="1864">
          <cell r="G1864" t="str">
            <v>michael is mhr here. massive garden. 2 barrels or less of each brand. food and kid focused.</v>
          </cell>
        </row>
        <row r="1865">
          <cell r="G1865" t="str">
            <v>Thursby pub. near fine dining horseshoes,  free?</v>
          </cell>
        </row>
        <row r="1866">
          <cell r="G1866" t="str">
            <v>acquired bull across the steet, michael ll</v>
          </cell>
        </row>
        <row r="1867">
          <cell r="G1867" t="str">
            <v>took camden duo out of free trade pub , small town not right spot... here is great especially waterfront garden. getting huk smart in October and new tbars. want old school stella handles and pale next to neckoil</v>
          </cell>
        </row>
        <row r="1871">
          <cell r="G1871" t="str">
            <v>Stella 1/2 and St 20 - Red bar mats</v>
          </cell>
        </row>
        <row r="1875">
          <cell r="G1875" t="str">
            <v>pe6 9pb - send same</v>
          </cell>
        </row>
        <row r="1876">
          <cell r="G1876" t="str">
            <v>Stella 20</v>
          </cell>
        </row>
        <row r="1877">
          <cell r="G1877" t="str">
            <v>black horse - free horse</v>
          </cell>
        </row>
        <row r="1878">
          <cell r="G1878" t="str">
            <v>allen</v>
          </cell>
        </row>
        <row r="1880">
          <cell r="G1880" t="str">
            <v>Harry bar mngr</v>
          </cell>
        </row>
        <row r="1881">
          <cell r="G1881">
            <v>7577435149</v>
          </cell>
        </row>
        <row r="1884">
          <cell r="G1884" t="str">
            <v>talking upgrade tap handles ' so people go to the second bar too</v>
          </cell>
        </row>
        <row r="1887">
          <cell r="G1887" t="str">
            <v>they have hells and pale on at the other free house- open to here... left samples and talked postbox ipo smironoff that isn't doing well</v>
          </cell>
        </row>
        <row r="1889">
          <cell r="G1889" t="str">
            <v>fosters target and perhaps neckoil ipo pale</v>
          </cell>
        </row>
        <row r="1891">
          <cell r="G1891" t="str">
            <v>nice guy, been in 5 years. Just signed another 5.</v>
          </cell>
        </row>
        <row r="1892">
          <cell r="G1892" t="str">
            <v>nil craft ops, perhaps kopburg on draught (does well in fridge)</v>
          </cell>
        </row>
        <row r="1894">
          <cell r="G1894" t="str">
            <v>he is obsessed with budweiser.  .moretti "is his craft"</v>
          </cell>
        </row>
        <row r="1895">
          <cell r="G1895" t="str">
            <v>tap on but still haven't put the keg on.</v>
          </cell>
        </row>
        <row r="1896">
          <cell r="G1896" t="str">
            <v>empty line it looks but bartender was sla.med.</v>
          </cell>
        </row>
        <row r="1897">
          <cell r="G1897" t="str">
            <v>reminder to ring after the weekend</v>
          </cell>
        </row>
        <row r="1898">
          <cell r="G1898" t="str">
            <v>Kelly ll,</v>
          </cell>
        </row>
        <row r="1899">
          <cell r="G1899" t="str">
            <v>35+ age range</v>
          </cell>
        </row>
        <row r="1900">
          <cell r="G1900" t="str">
            <v xml:space="preserve"> carlsberg top v</v>
          </cell>
        </row>
        <row r="1901">
          <cell r="G1901" t="str">
            <v>fosters next, font heavy and basic lager heavy, could do with removing js buy craft has very little ops here.</v>
          </cell>
        </row>
        <row r="1902">
          <cell r="G1902" t="str">
            <v>Stella mentioned ilo madri or retti, open buy no ho for now. reminder to call next month ish for proper sit down visit</v>
          </cell>
        </row>
        <row r="1903">
          <cell r="G1903" t="str">
            <v>dave fibbed when I last was here , he does have contact with the landlord... its him for 5 years now. lort</v>
          </cell>
        </row>
        <row r="1904">
          <cell r="G1904" t="str">
            <v>nice guy otherwise.</v>
          </cell>
        </row>
        <row r="1905">
          <cell r="G1905" t="str">
            <v>swapped up from coors back to huk... all price decisions</v>
          </cell>
        </row>
        <row r="1906">
          <cell r="G1906" t="str">
            <v>and his customers won't drink our brands ""</v>
          </cell>
        </row>
        <row r="1910">
          <cell r="G1910" t="str">
            <v>dave - bartender</v>
          </cell>
        </row>
        <row r="1911">
          <cell r="G1911" t="str">
            <v>doesn't know lease holder</v>
          </cell>
        </row>
        <row r="1912">
          <cell r="G1912" t="str">
            <v>but confirmed lawerence as bdm</v>
          </cell>
        </row>
        <row r="1914">
          <cell r="G1914" t="str">
            <v>has Bud but once they run out they won't reorder- 15£ more than competitor</v>
          </cell>
        </row>
        <row r="1915">
          <cell r="G1915" t="str">
            <v>same as corona , no more</v>
          </cell>
        </row>
        <row r="1917">
          <cell r="G1917" t="str">
            <v>Madri is their Top seller</v>
          </cell>
        </row>
        <row r="1918">
          <cell r="G1918" t="str">
            <v>just missed shilu. left a vm.  good chat with the bartender alee, moreti and camping out performing stella. but doesn't seeing it ever come off.</v>
          </cell>
        </row>
        <row r="1919">
          <cell r="G1919" t="str">
            <v>neckoil on, not the crowd for that but they are trying. working on lifting up the massive land in the back, in the middle of no where situation. stout very little ops for vol.</v>
          </cell>
        </row>
        <row r="1923">
          <cell r="G1923" t="str">
            <v>Met the new tenants and manager, not open yet, having a refurb. HUK doing all cellar work and new lines. keeping Stella on, told them about our brands so the future.</v>
          </cell>
        </row>
        <row r="1924">
          <cell r="G1924" t="str">
            <v>carling, stella 2 kegs,  Atlantic, retti 3 kegs, Foster, campo 5.95 nearly 3 kegs wk,  aspall, guinn</v>
          </cell>
        </row>
        <row r="1926">
          <cell r="G1926" t="str">
            <v>Stella at 204 for 50l</v>
          </cell>
        </row>
        <row r="1927">
          <cell r="G1927" t="str">
            <v>Camden foc not showing on portal</v>
          </cell>
        </row>
        <row r="1929">
          <cell r="G1929" t="str">
            <v>Marcus park farm. ll 52 bedroom camden on.</v>
          </cell>
        </row>
        <row r="1930">
          <cell r="G1930" t="str">
            <v>Richard landlord used to run this</v>
          </cell>
        </row>
        <row r="1933">
          <cell r="G1933" t="str">
            <v>just missed michael- typical in weekdays, didn't respond to last email. sending another</v>
          </cell>
        </row>
        <row r="1936">
          <cell r="G1936" t="str">
            <v>spoke with phillipa- immediately noted she doesn't want to talk to me</v>
          </cell>
        </row>
        <row r="1937">
          <cell r="G1937" t="str">
            <v>but did give me the landlords name and email</v>
          </cell>
        </row>
        <row r="1938">
          <cell r="G1938" t="str">
            <v>he's in 5 days a week, next on Thursday.</v>
          </cell>
        </row>
        <row r="1939">
          <cell r="G1939" t="str">
            <v>Michael bond - qh@queenheadhethersett.co.uk</v>
          </cell>
        </row>
        <row r="1941">
          <cell r="G1941" t="str">
            <v>left samples Camden and emailed him about maybe tnt - no sky or anything</v>
          </cell>
        </row>
        <row r="1942">
          <cell r="G1942" t="str">
            <v>just one regular TV</v>
          </cell>
        </row>
        <row r="1943">
          <cell r="G1943" t="str">
            <v>rm sent me back in and failed to mention they took off pale for hazyday.</v>
          </cell>
        </row>
        <row r="1944">
          <cell r="G1944" t="str">
            <v>stout not happening now, obviojs delay I'm coms with rm... but also guinny 0 is their best seller even on draught</v>
          </cell>
        </row>
        <row r="1945">
          <cell r="G1945" t="str">
            <v>old crowd</v>
          </cell>
        </row>
        <row r="1946">
          <cell r="G1946" t="str">
            <v>hells and becks all good and don't see coming off</v>
          </cell>
        </row>
        <row r="1949">
          <cell r="G1949" t="str">
            <v>we requested stout instal with gk last week of Feb... now 2nd week April with no response. told Justin to give his rm a call and see if we get a response that way. also sorting brewery tickets for his head bartender... who basically sold the camden to him for me.</v>
          </cell>
        </row>
        <row r="1953">
          <cell r="G1953" t="str">
            <v>Justin LL</v>
          </cell>
        </row>
        <row r="1954">
          <cell r="G1954" t="str">
            <v>in for about 6 months - currently copartner with other landlords of 12 years that are on their way out</v>
          </cell>
        </row>
        <row r="1956">
          <cell r="G1956" t="str">
            <v>very nice, food led pub,  not much volume though</v>
          </cell>
        </row>
        <row r="1958">
          <cell r="G1958" t="str">
            <v>bartender Tom 07533089230</v>
          </cell>
        </row>
        <row r="1959">
          <cell r="G1959" t="str">
            <v>going to camden brewery for mates day - see if I can do anything</v>
          </cell>
        </row>
        <row r="1961">
          <cell r="G1961" t="str">
            <v>getting stout on ipo inches- testing with free keg as bonus - will replace guinnes after bar refit</v>
          </cell>
        </row>
        <row r="1963">
          <cell r="G1963" t="str">
            <v>check back in a few weeks and looking to do a post box survey.... possibly opening up 3 spots on the tbar.</v>
          </cell>
        </row>
        <row r="1964">
          <cell r="G1964" t="str">
            <v>becks and stella top volume. only 25p price difference, wild.</v>
          </cell>
        </row>
        <row r="1965">
          <cell r="G1965" t="str">
            <v>not the most welcoming, really have to bubble up to talk with him</v>
          </cell>
        </row>
        <row r="1966">
          <cell r="G1966" t="str">
            <v>mixed age range, nice garden, sent bud umbrellas - nil ops for craft but good vol to support</v>
          </cell>
        </row>
        <row r="1967">
          <cell r="G1967" t="str">
            <v>no show on last visit</v>
          </cell>
        </row>
        <row r="1968">
          <cell r="G1968" t="str">
            <v>and reply not populating old forms again.</v>
          </cell>
        </row>
        <row r="1969">
          <cell r="G1969" t="str">
            <v>pale on with neckoil and flint eye,, apparently doing great, on par with neckoil volume £7.20  and camden 6.70</v>
          </cell>
        </row>
        <row r="1970">
          <cell r="G1970" t="str">
            <v>stella and stout still on, sent tin signs but not up on the walls....</v>
          </cell>
        </row>
        <row r="1973">
          <cell r="G1973" t="str">
            <v>sent Stella glassware and camden signs... sales boosting since patties day. apparently, guinnes drinkers transitioning to Camden</v>
          </cell>
        </row>
        <row r="1974">
          <cell r="G1974" t="str">
            <v>has another leased punch pub Bell at Danbury cm3 4dt punch</v>
          </cell>
        </row>
        <row r="1975">
          <cell r="G1975" t="str">
            <v>getting with Mark nield today, Graham is his other rm</v>
          </cell>
        </row>
        <row r="1976">
          <cell r="G1976" t="str">
            <v>mentioned getting into his other pub - working on making it make money... he didn't want that pub and might not keep it</v>
          </cell>
        </row>
        <row r="1981">
          <cell r="G1981" t="str">
            <v>Katie bartender</v>
          </cell>
        </row>
        <row r="1982">
          <cell r="G1982" t="str">
            <v>thought stout was off but is still on</v>
          </cell>
        </row>
        <row r="1983">
          <cell r="G1983" t="str">
            <v>wouldn't give number to me for jim-</v>
          </cell>
        </row>
        <row r="1987">
          <cell r="G1987" t="str">
            <v>Chat with Jim about Stout, seems keen to give it a run, call on Thursday at 6 to discuss.</v>
          </cell>
        </row>
        <row r="1989">
          <cell r="G1989" t="str">
            <v>more hack halves, stella halves</v>
          </cell>
        </row>
        <row r="1990">
          <cell r="G1990" t="str">
            <v>runners for both</v>
          </cell>
        </row>
        <row r="1992">
          <cell r="G1992" t="str">
            <v>jim owner - HELLS ON FOR FOSTERS OI OI</v>
          </cell>
        </row>
        <row r="1994">
          <cell r="G1994" t="str">
            <v>esta unbr font</v>
          </cell>
        </row>
        <row r="1995">
          <cell r="G1995" t="str">
            <v>t bar - stella, moretti, fosters</v>
          </cell>
        </row>
        <row r="1996">
          <cell r="G1996" t="str">
            <v>thatchers unbr font</v>
          </cell>
        </row>
        <row r="1997">
          <cell r="G1997" t="str">
            <v>guinness font x4</v>
          </cell>
        </row>
        <row r="1998">
          <cell r="G1998" t="str">
            <v>cask x3 - all tribute pale ale</v>
          </cell>
        </row>
        <row r="1999">
          <cell r="G1999" t="str">
            <v>4 out smirnoff cocktail font</v>
          </cell>
        </row>
        <row r="2000">
          <cell r="G2000" t="str">
            <v>camden pale on unbr font</v>
          </cell>
        </row>
        <row r="2001">
          <cell r="G2001" t="str">
            <v>t bar 2 - amstel, moretti, fosters</v>
          </cell>
        </row>
        <row r="2002">
          <cell r="G2002" t="str">
            <v>estrella unbr font</v>
          </cell>
        </row>
        <row r="2003">
          <cell r="G2003" t="str">
            <v>camden duo agreed ipo, theoretical, extra moretti and estrella line. running survey to see if we can use them.</v>
          </cell>
        </row>
        <row r="2004">
          <cell r="G2004" t="str">
            <v>Orchard pig on and doing grand , loving the new glasses. Hailey wasn't in yet but spoke on the phone and booking in a proper meet.</v>
          </cell>
        </row>
        <row r="2005">
          <cell r="G2005" t="str">
            <v>bartenders happy to talk and say people are asking for stella on the bar... tho are happy enough to move to campo or retti</v>
          </cell>
        </row>
        <row r="2006">
          <cell r="G2006" t="str">
            <v>jane not leaving the kitchen... boo. sent an email I was here</v>
          </cell>
        </row>
        <row r="2009">
          <cell r="G2009" t="str">
            <v>Cullenjane41@gmail.com</v>
          </cell>
        </row>
        <row r="2010">
          <cell r="G2010" t="str">
            <v>Send Stella both glasses</v>
          </cell>
        </row>
        <row r="2012">
          <cell r="G2012" t="str">
            <v>Jane's partner is in the hospital</v>
          </cell>
        </row>
        <row r="2013">
          <cell r="G2013" t="str">
            <v>emailing for meet</v>
          </cell>
        </row>
        <row r="2014">
          <cell r="G2014" t="str">
            <v>agreed camden pale and hells ipo madri and js</v>
          </cell>
        </row>
        <row r="2015">
          <cell r="G2015" t="str">
            <v>suggested nrckoil but she's not worried of the margin</v>
          </cell>
        </row>
        <row r="2016">
          <cell r="G2016" t="str">
            <v>foc hells keg and 2 xl, 4 LG shirts</v>
          </cell>
        </row>
        <row r="2017">
          <cell r="G2017" t="str">
            <v>0% win</v>
          </cell>
        </row>
        <row r="2018">
          <cell r="G2018" t="str">
            <v>possibly 4 weeks to get through beer</v>
          </cell>
        </row>
        <row r="2019">
          <cell r="G2019" t="str">
            <v>sending bar plan to gannah the rm</v>
          </cell>
        </row>
        <row r="2021">
          <cell r="G2021" t="str">
            <v>Stella is her money maker</v>
          </cell>
        </row>
        <row r="2022">
          <cell r="G2022" t="str">
            <v>thought to sponsor quiz nights when the time comes and a staff incentive</v>
          </cell>
        </row>
        <row r="2024">
          <cell r="G2024" t="str">
            <v>hosts market stalls in gorgeous and massive garden</v>
          </cell>
        </row>
        <row r="2025">
          <cell r="G2025" t="str">
            <v>monday</v>
          </cell>
        </row>
        <row r="2026">
          <cell r="G2026" t="str">
            <v xml:space="preserve">Alison Smith LL </v>
          </cell>
        </row>
        <row r="2028">
          <cell r="G2028" t="str">
            <v>won't give contact</v>
          </cell>
        </row>
        <row r="2030">
          <cell r="G2030" t="str">
            <v>they have tnt - popping by next Monday to bring samples</v>
          </cell>
        </row>
        <row r="2032">
          <cell r="G2032" t="str">
            <v>live music on Saturdays</v>
          </cell>
        </row>
        <row r="2033">
          <cell r="G2033" t="str">
            <v>oooooh collin.</v>
          </cell>
        </row>
        <row r="2034">
          <cell r="G2034" t="str">
            <v>kind enough on paper but stays sitting in the same spot, not open to give anything to a conversation or talk ops.</v>
          </cell>
        </row>
        <row r="2035">
          <cell r="G2035" t="str">
            <v>gorgeous pub and garden... great ops with the general cleintel but good luck getting him to talk aside from niceties</v>
          </cell>
        </row>
        <row r="2039">
          <cell r="G2039" t="str">
            <v>Colin LL</v>
          </cell>
        </row>
        <row r="2041">
          <cell r="G2041" t="str">
            <v>only moved in early Dec.</v>
          </cell>
        </row>
        <row r="2042">
          <cell r="G2042" t="str">
            <v>not making changes for a few months to fill it up.</v>
          </cell>
        </row>
        <row r="2044">
          <cell r="G2044" t="str">
            <v>morettit most expensive and best seller</v>
          </cell>
        </row>
        <row r="2045">
          <cell r="G2045" t="str">
            <v>3kegs of guines a month... not at all willing to add stout</v>
          </cell>
        </row>
        <row r="2046">
          <cell r="G2046" t="str">
            <v>lager heavy drinkers... food led- mix of everything roast dinners and  crepes- 60 covers a night on average</v>
          </cell>
        </row>
        <row r="2047">
          <cell r="G2047" t="str">
            <v>no sports</v>
          </cell>
        </row>
        <row r="2048">
          <cell r="G2048" t="str">
            <v>reply isn't pulling in old forms ugh</v>
          </cell>
        </row>
        <row r="2049">
          <cell r="G2049" t="str">
            <v>still has his dummy handle of campo since Feb.</v>
          </cell>
        </row>
        <row r="2050">
          <cell r="G2050" t="str">
            <v>stepped out, sent a note to rehash</v>
          </cell>
        </row>
        <row r="2051">
          <cell r="G2051" t="str">
            <v>out in August</v>
          </cell>
        </row>
        <row r="2052">
          <cell r="G2052" t="str">
            <v>hates stoneyg</v>
          </cell>
        </row>
        <row r="2053">
          <cell r="G2053" t="str">
            <v>renting out car park and boosting rent by a disrespectful amount. wouldn't negotiate and pushing her out end of August.</v>
          </cell>
        </row>
        <row r="2057">
          <cell r="G2057" t="str">
            <v>Julia LL</v>
          </cell>
        </row>
        <row r="2058">
          <cell r="G2058" t="str">
            <v>5 years leased</v>
          </cell>
        </row>
        <row r="2059">
          <cell r="G2059">
            <v>7762989298</v>
          </cell>
        </row>
        <row r="2061">
          <cell r="G2061" t="str">
            <v>checking in next week on Camden samples and tnt vs bt sports info (she gets it for 250 atm)</v>
          </cell>
        </row>
        <row r="2063">
          <cell r="G2063" t="str">
            <v>Stella taken off main bar- on tap in second bar (less visable)</v>
          </cell>
        </row>
        <row r="2065">
          <cell r="G2065" t="str">
            <v>send Stella 20oz</v>
          </cell>
        </row>
        <row r="2066">
          <cell r="G2066" t="str">
            <v>runners</v>
          </cell>
        </row>
        <row r="2067">
          <cell r="G2067" t="str">
            <v>wants buckets (think just corona icebuckets)</v>
          </cell>
        </row>
        <row r="2068">
          <cell r="G2068" t="str">
            <v>apparently glasses never arrived on instal... definitely sent them but they got them eventually passed number so they can ring me next time</v>
          </cell>
        </row>
        <row r="2070">
          <cell r="G2070" t="str">
            <v>hells isn't the highest ros but they see it as a bit of a food pairing thing and are happy with it.</v>
          </cell>
        </row>
        <row r="2072">
          <cell r="G2072" t="str">
            <v>2 standard ciders and a fruit cider on, possible target...</v>
          </cell>
        </row>
        <row r="2074">
          <cell r="G2074" t="str">
            <v>also leases the goodbarnsyard down the road... both well ran pubs</v>
          </cell>
        </row>
        <row r="2075">
          <cell r="G2075" t="str">
            <v>no show</v>
          </cell>
        </row>
        <row r="2076">
          <cell r="G2076" t="str">
            <v>rough looking on outside but in a nice area and nicer inside, not seen it busy yet.</v>
          </cell>
        </row>
        <row r="2077">
          <cell r="G2077" t="str">
            <v>scratch the rona ops , prob won't stay... perhaps we could swap madri for hells</v>
          </cell>
        </row>
        <row r="2080">
          <cell r="G2080">
            <v>7854360734</v>
          </cell>
        </row>
        <row r="2081">
          <cell r="G2081" t="str">
            <v>Gemma</v>
          </cell>
        </row>
        <row r="2082">
          <cell r="G2082" t="str">
            <v>New LL since August</v>
          </cell>
        </row>
        <row r="2083">
          <cell r="G2083" t="str">
            <v>never in prior to 5pm</v>
          </cell>
        </row>
        <row r="2087">
          <cell r="G2087" t="str">
            <v>Stella stockist, met Wayne LL leaving in May, as retiring and moving to Norfolk, Stella is a best seller, with moretti, they work together - happy with line up as moving on soon</v>
          </cell>
        </row>
        <row r="2089">
          <cell r="G2089" t="str">
            <v>Corona could work here however may not pay price point as seem price sensitive, Stella 4.80 a pint</v>
          </cell>
        </row>
        <row r="2091">
          <cell r="G2091" t="str">
            <v>Martin Obey no longer RM, Graham is now RM</v>
          </cell>
        </row>
        <row r="2092">
          <cell r="G2092" t="str">
            <v>goodbarnsyard.com</v>
          </cell>
        </row>
        <row r="2093">
          <cell r="G2093" t="str">
            <v xml:space="preserve"> </v>
          </cell>
        </row>
        <row r="2094">
          <cell r="G2094" t="str">
            <v>blackbull also owns, heading there now.</v>
          </cell>
        </row>
        <row r="2097">
          <cell r="G2097" t="str">
            <v>met other manager and she basically said he'll no to corona om draught (seasonal ... but phenomenal garden)</v>
          </cell>
        </row>
        <row r="2099">
          <cell r="G2099" t="str">
            <v>Alison mngr (desocion maker)</v>
          </cell>
        </row>
        <row r="2100">
          <cell r="G2100">
            <v>7766078080</v>
          </cell>
        </row>
        <row r="2101">
          <cell r="G2101" t="str">
            <v>check stella tap handle new timeline</v>
          </cell>
        </row>
        <row r="2102">
          <cell r="G2102" t="str">
            <v>agreed corona when getting warmer</v>
          </cell>
        </row>
        <row r="2106">
          <cell r="G2106" t="str">
            <v>Anthony and Julia not in - LL, stella stockist, have loads of Glassware, said screaming out for moretti</v>
          </cell>
        </row>
        <row r="2108">
          <cell r="G2108" t="str">
            <v>Corona good opp here</v>
          </cell>
        </row>
        <row r="2109">
          <cell r="G2109" t="str">
            <v>rona and pale off for neckoil and 1664</v>
          </cell>
        </row>
        <row r="2110">
          <cell r="G2110" t="str">
            <v>spoke with Tracy said another rep came by a few times already, odd but nvrless left my card for new boss man.</v>
          </cell>
        </row>
        <row r="2111">
          <cell r="G2111" t="str">
            <v>reminder to call try rm to cancel tnt discount</v>
          </cell>
        </row>
        <row r="2116">
          <cell r="G2116" t="str">
            <v>Michelle's usually I'm Thursday and Friday</v>
          </cell>
        </row>
        <row r="2121">
          <cell r="G2121" t="str">
            <v>Michelle in mist days but missed her</v>
          </cell>
        </row>
        <row r="2122">
          <cell r="G2122" t="str">
            <v>has quiz night and mostly affluent retired people</v>
          </cell>
        </row>
        <row r="2123">
          <cell r="G2123" t="str">
            <v>carling doing poor- possible swap for hells</v>
          </cell>
        </row>
        <row r="2124">
          <cell r="G2124" t="str">
            <v>not much of a talker at the bar, no contact info.. told to go to Facebook</v>
          </cell>
        </row>
        <row r="2131">
          <cell r="G2131" t="str">
            <v>good chat w Michelle</v>
          </cell>
        </row>
        <row r="2133">
          <cell r="G2133" t="str">
            <v>40+ drinkers, corona not really caught on, price point being main issue</v>
          </cell>
        </row>
        <row r="2134">
          <cell r="G2134" t="str">
            <v>pale doing okay, new craft place opening next door closes at 10 so want an option</v>
          </cell>
        </row>
        <row r="2136">
          <cell r="G2136" t="str">
            <v>see how corona does during world cup, look at activations</v>
          </cell>
        </row>
        <row r="2137">
          <cell r="G2137" t="str">
            <v>one to keep.supprted</v>
          </cell>
        </row>
        <row r="2139">
          <cell r="G2139" t="str">
            <v>the regular hardcore are all kron drinkers, michelle has tried to get off, no chance</v>
          </cell>
        </row>
        <row r="2140">
          <cell r="G2140" t="str">
            <v>Irish man in love with guiness... not against talking of new stout but worried for his rugby following.</v>
          </cell>
        </row>
        <row r="2142">
          <cell r="G2142" t="str">
            <v>has a helles abk on... but thinking hells next to it may be good too.... not in place of tho- I said ipo but he's considering</v>
          </cell>
        </row>
        <row r="2144">
          <cell r="G2144" t="str">
            <v>thinking of neckoil as customers ask for it.   mentioned pale tends to be less and has that' same camden following he was interested in.</v>
          </cell>
        </row>
        <row r="2145">
          <cell r="G2145" t="str">
            <v>neck oil</v>
          </cell>
        </row>
        <row r="2146">
          <cell r="G2146" t="str">
            <v>Foster</v>
          </cell>
        </row>
        <row r="2147">
          <cell r="G2147" t="str">
            <v>Stella</v>
          </cell>
        </row>
        <row r="2148">
          <cell r="G2148" t="str">
            <v>guinnes</v>
          </cell>
        </row>
        <row r="2150">
          <cell r="G2150" t="str">
            <v>x2 cask</v>
          </cell>
        </row>
        <row r="2153">
          <cell r="G2153" t="str">
            <v>estrall</v>
          </cell>
        </row>
        <row r="2154">
          <cell r="G2154" t="str">
            <v>aspall</v>
          </cell>
        </row>
        <row r="2155">
          <cell r="G2155" t="str">
            <v>guinnes</v>
          </cell>
        </row>
        <row r="2156">
          <cell r="G2156" t="str">
            <v>amstell</v>
          </cell>
        </row>
        <row r="2158">
          <cell r="G2158" t="str">
            <v>agreed hells and pale ipo fosters and neckoil, tnt deal, his customers are aparently stoked.</v>
          </cell>
        </row>
        <row r="2161">
          <cell r="G2161" t="str">
            <v>busy village pub. rugby pub, arsenal fans.</v>
          </cell>
        </row>
        <row r="2162">
          <cell r="G2162" t="str">
            <v>golf lover for future ops</v>
          </cell>
        </row>
        <row r="2163">
          <cell r="G2163" t="str">
            <v>yet another free house popping on my list this week........</v>
          </cell>
        </row>
        <row r="2164">
          <cell r="G2164" t="str">
            <v>Last visit Sean said hells did great but got an offer on neckoil so swapped.... Ben today said it did okay ay 1 keg a week. but happy to try pale.... in place of hazy day (mentioned the gk brand situation but also he expressed its not doing him well)</v>
          </cell>
        </row>
        <row r="2165">
          <cell r="G2165" t="str">
            <v>starpromen target for stella... mentioned the percieved rep it has but quite likes it... David Gibson took him to Wimbledon and is open to stella at end of year.</v>
          </cell>
        </row>
        <row r="2166">
          <cell r="G2166" t="str">
            <v>"what can you do for support"  , no foc for pale since gk compete but can do barriers and standard pos and social assets. "so you can't do much"... asked what he was looking g for and he doesn't know... foc I recon, said if he did stella too I think I could swing a stella keg. following up next week.</v>
          </cell>
        </row>
        <row r="2169">
          <cell r="G2169" t="str">
            <v>Sean was supper helpful but not dm</v>
          </cell>
        </row>
        <row r="2170">
          <cell r="G2170" t="str">
            <v>hells just left for meantime last month</v>
          </cell>
        </row>
        <row r="2171">
          <cell r="G2171" t="str">
            <v>hells did great... meantime not so much but can't target gk</v>
          </cell>
        </row>
        <row r="2172">
          <cell r="G2172" t="str">
            <v>starpromen not doing great, but also on 2nd tbar- may be placement... he loves the recognition of hells and thinks I have a shot. great tips to email boss man</v>
          </cell>
        </row>
        <row r="2173">
          <cell r="G2173" t="str">
            <v>send pale and hells glasses</v>
          </cell>
        </row>
        <row r="2174">
          <cell r="G2174" t="str">
            <v>pale has rocketed this last month. only been using Jack's, so sending Kenneth's to keep hells on par</v>
          </cell>
        </row>
        <row r="2176">
          <cell r="G2176" t="str">
            <v>Camden PA and stella stockist</v>
          </cell>
        </row>
        <row r="2178">
          <cell r="G2178" t="str">
            <v>forgot to take pics in call of bar</v>
          </cell>
        </row>
        <row r="2180">
          <cell r="G2180" t="str">
            <v>agreed install for Hells on a dual icon font and move Peroni into camden PA place on tbar</v>
          </cell>
        </row>
        <row r="2182">
          <cell r="G2182" t="str">
            <v>ordered pale PoS</v>
          </cell>
        </row>
        <row r="2183">
          <cell r="G2183" t="str">
            <v>wants pale next to hells but tied with flint for now till mew year.</v>
          </cell>
        </row>
        <row r="2184">
          <cell r="G2184" t="str">
            <v>tSk to send glassws</v>
          </cell>
        </row>
        <row r="2187">
          <cell r="G2187" t="str">
            <v>also owns five bells (gk) down the road</v>
          </cell>
        </row>
        <row r="2189">
          <cell r="G2189" t="str">
            <v>free of tie here, buys through gk tho</v>
          </cell>
        </row>
        <row r="2191">
          <cell r="G2191" t="str">
            <v>Thai restaurant- 30% wet sales.</v>
          </cell>
        </row>
        <row r="2192">
          <cell r="G2192" t="str">
            <v>hells on</v>
          </cell>
        </row>
        <row r="2193">
          <cell r="G2193" t="str">
            <v>wants pale ipo Flint eye in a few months (sales are dropping)- didn't target but he mentioned he only had it on for the incentive they had and also has 2 other gk brands on</v>
          </cell>
        </row>
        <row r="2195">
          <cell r="G2195" t="str">
            <v>stout might be an option ipo guinness.</v>
          </cell>
        </row>
        <row r="2196">
          <cell r="G2196" t="str">
            <v>send 5 camden shirts</v>
          </cell>
        </row>
        <row r="2198">
          <cell r="G2198" t="str">
            <v>wants mahou on bar... can free of tie do it</v>
          </cell>
        </row>
        <row r="2199">
          <cell r="G2199" t="str">
            <v>208 for 50l of hells</v>
          </cell>
        </row>
        <row r="2200">
          <cell r="G2200" t="str">
            <v>200 for 50 of pale... 50% margin to stay at 5.45 and in line with others...</v>
          </cell>
        </row>
        <row r="2205">
          <cell r="G2205" t="str">
            <v>waiting on price increase for tbar changes. wants to stay at 5 a pint... Camden won't make it but pale is an op if we can get him over the edge</v>
          </cell>
        </row>
        <row r="2206">
          <cell r="G2206" t="str">
            <v>just won pub of the year and resigning 5 year lease</v>
          </cell>
        </row>
        <row r="2210">
          <cell r="G2210" t="str">
            <v>doesn't think the cellar boy is settling properly</v>
          </cell>
        </row>
        <row r="2211">
          <cell r="G2211" t="str">
            <v>something at an angle and filling with air-</v>
          </cell>
        </row>
        <row r="2212">
          <cell r="G2212" t="str">
            <v>high losage</v>
          </cell>
        </row>
        <row r="2213">
          <cell r="G2213">
            <v>7880</v>
          </cell>
        </row>
        <row r="2217">
          <cell r="G2217" t="str">
            <v>Mat Daz, detests Stonegate</v>
          </cell>
        </row>
        <row r="2219">
          <cell r="G2219" t="str">
            <v>doesn’t want to breach the £5 barrier on draught</v>
          </cell>
        </row>
        <row r="2221">
          <cell r="G2221" t="str">
            <v>stella sells well, getting hopical storm due to TT funding cask marque</v>
          </cell>
        </row>
        <row r="2223">
          <cell r="G2223" t="str">
            <v>left samples of PA to swap for Sharps, explorer Hells but stocked in SG managed so not keen</v>
          </cell>
        </row>
        <row r="2224">
          <cell r="G2224" t="str">
            <v>Paula stepped out just before I got in. fu with mngr on charity hamper request... can do if they instal pale ipo JS. Paula never responded when I reached put last as request. says she'll pass it.</v>
          </cell>
        </row>
        <row r="2227">
          <cell r="G2227" t="str">
            <v>paula not in but manager asked for aid for charity nught hampers</v>
          </cell>
        </row>
        <row r="2230">
          <cell r="G2230" t="str">
            <v>met Paula (LL)- 07788481349</v>
          </cell>
        </row>
        <row r="2231">
          <cell r="G2231" t="str">
            <v>she's from Liverpool and has had this pub. 9 years</v>
          </cell>
        </row>
        <row r="2233">
          <cell r="G2233" t="str">
            <v>does quiz and karaoke</v>
          </cell>
        </row>
        <row r="2235">
          <cell r="G2235" t="str">
            <v>has tnt - asked if she can retroactively receive discount for the Stella that's on (CHARG3S 4.65 a pint)</v>
          </cell>
        </row>
        <row r="2237">
          <cell r="G2237" t="str">
            <v>guiness doesn't sell well but scared to take it off as 'people expect it in a pub 'good branding'"</v>
          </cell>
        </row>
        <row r="2239">
          <cell r="G2239" t="str">
            <v>coors might be an opportunity to target (left hells and pale)</v>
          </cell>
        </row>
        <row r="2241">
          <cell r="G2241" t="str">
            <v>removing strongbow for inches (only sells 8 pints of strongbow a week)</v>
          </cell>
        </row>
        <row r="2242">
          <cell r="G2242" t="str">
            <v>sending Stella badge and putting hells back on now, sending extra badge by request</v>
          </cell>
        </row>
        <row r="2244">
          <cell r="G2244" t="str">
            <v>did well but changed up brewery deals and got a new line built, so coming back</v>
          </cell>
        </row>
        <row r="2246">
          <cell r="G2246" t="str">
            <v>I don't recognise his rm name... and this is a very posh pub, turns out after talking its a yet another free house d one made its way to my house list and churn dash</v>
          </cell>
        </row>
        <row r="2247">
          <cell r="G2247" t="str">
            <v>signs everywhere and asked bartender but had nothing to give s fat as change of l&amp;t or free</v>
          </cell>
        </row>
        <row r="2249">
          <cell r="G2249" t="str">
            <v>ran more like a managed or franchise</v>
          </cell>
        </row>
        <row r="2250">
          <cell r="G2250" t="str">
            <v>Jason not in atm but little ops anyhow, om top 80 and I'm in town anyhow. New op badge installed since last visit .</v>
          </cell>
        </row>
        <row r="2253">
          <cell r="G2253" t="str">
            <v>nightmare of an op install</v>
          </cell>
        </row>
        <row r="2254">
          <cell r="G2254" t="str">
            <v>keg put of stock</v>
          </cell>
        </row>
        <row r="2255">
          <cell r="G2255" t="str">
            <v>when came in stock, it was a faulty keg, tech came put and poured out half the barrel and 10 pints of strongbow and emptied a keg of 60/40</v>
          </cell>
        </row>
        <row r="2256">
          <cell r="G2256" t="str">
            <v>feels he is owed more than just a keg given the other loss... also has to have huk come put to check their beers as all now are flat</v>
          </cell>
        </row>
        <row r="2261">
          <cell r="G2261" t="str">
            <v>Jason LL 07939114447</v>
          </cell>
        </row>
        <row r="2263">
          <cell r="G2263" t="str">
            <v>has had pub 3 years</v>
          </cell>
        </row>
        <row r="2265">
          <cell r="G2265" t="str">
            <v>swapped moretti for Madrid and its just not doing great but apprehensive to take it off</v>
          </cell>
        </row>
        <row r="2267">
          <cell r="G2267" t="str">
            <v>strongnowDF is a dumby font and thinking about putting on pale- if he likes,  he'll talk to mick his RM and will do a survey for a font.... maybe even hells dual font... noted ill call friday and see how it is for him (tnt and six nations offers excited him toward this)</v>
          </cell>
        </row>
        <row r="2268">
          <cell r="G2268" t="str">
            <v>Not in at the minute, but got herself.Phone number</v>
          </cell>
        </row>
        <row r="2271">
          <cell r="G2271" t="str">
            <v>ll very ill and rushing pit the door for thr kid pickup.</v>
          </cell>
        </row>
        <row r="2272">
          <cell r="G2272" t="str">
            <v>not too stoked to talk. try again later pre school let out.</v>
          </cell>
        </row>
        <row r="2273">
          <cell r="G2273" t="str">
            <v>Just took over after working here for a while in January. Carl's happy that everything sells, but says if anything comes off, it's sagel.Or madri . He's opened to camden in place of madri Set to check in again in a month. Mention t n t again and Free of charge keg.</v>
          </cell>
        </row>
        <row r="2274">
          <cell r="G2274" t="str">
            <v>Call reginald manager sam now he needs Glassware for san miguel</v>
          </cell>
        </row>
        <row r="2275">
          <cell r="G2275" t="str">
            <v>Met with John he asked for some p.Poss.Well , I happened to be just down the road. Centre.</v>
          </cell>
        </row>
        <row r="2276">
          <cell r="G2276" t="str">
            <v>Over some t shirts in a fifty pound magner parasol. He asks for more but I told him I can give him this.And all since him some radar sail.And free of charge cakes offer to share with Upstairs asim required for an instal Any more than that</v>
          </cell>
        </row>
        <row r="2278">
          <cell r="G2278" t="str">
            <v>Carling just swapped for madri.</v>
          </cell>
        </row>
        <row r="2280">
          <cell r="G2280">
            <v>7790593389</v>
          </cell>
        </row>
        <row r="2281">
          <cell r="G2281" t="str">
            <v>Lauren- LL</v>
          </cell>
        </row>
        <row r="2283">
          <cell r="G2283" t="str">
            <v>Stella top 3 in volume</v>
          </cell>
        </row>
        <row r="2284">
          <cell r="G2284" t="str">
            <v>carslberg number 1</v>
          </cell>
        </row>
        <row r="2286">
          <cell r="G2286" t="str">
            <v>fosters and moretti target</v>
          </cell>
        </row>
        <row r="2287">
          <cell r="G2287" t="str">
            <v>reigniting hells/pale</v>
          </cell>
        </row>
        <row r="2288">
          <cell r="G2288" t="str">
            <v>not around today</v>
          </cell>
        </row>
        <row r="2289">
          <cell r="G2289" t="str">
            <v>texted him</v>
          </cell>
        </row>
        <row r="2292">
          <cell r="G2292" t="str">
            <v>met Jay and both his rms hannah and becky</v>
          </cell>
        </row>
        <row r="2293">
          <cell r="G2293" t="str">
            <v>had a great chat. where hosting a local mp interview- primising sight</v>
          </cell>
        </row>
        <row r="2294">
          <cell r="G2294" t="str">
            <v>wanting a reach out with what we are doing for euros and 6 parasols (loose agreed to pale ipo icebreaker- unsure yet with rm hannah)</v>
          </cell>
        </row>
        <row r="2295">
          <cell r="G2295" t="str">
            <v>left samps for camden range - they seem keen for the way they are turning the pub arouns</v>
          </cell>
        </row>
        <row r="2296">
          <cell r="G2296" t="str">
            <v>also ll of walnut tree shades</v>
          </cell>
        </row>
        <row r="2297">
          <cell r="G2297" t="str">
            <v>leffe and san mig and hells on. pale was but she took it off when taking over. for neckoil preference, mentioned ros benefits but moot for now</v>
          </cell>
        </row>
        <row r="2298">
          <cell r="G2298" t="str">
            <v>mer with rachel,  also ll of Edith cavill... hells on here and happy with it</v>
          </cell>
        </row>
        <row r="2299">
          <cell r="G2299" t="str">
            <v>pale not going on, thinks people ask for nexkoil , same for other pub but I think with some relation building we can turn around</v>
          </cell>
        </row>
        <row r="2302">
          <cell r="G2302" t="str">
            <v>had a lovely convo with yaz (daughter in law and pregnant)</v>
          </cell>
        </row>
        <row r="2304">
          <cell r="G2304" t="str">
            <v>just missed bdm paul devine yesterday</v>
          </cell>
        </row>
        <row r="2306">
          <cell r="G2306" t="str">
            <v>Rachel scarlet is lease holder -07581191612</v>
          </cell>
        </row>
        <row r="2307">
          <cell r="G2307" t="str">
            <v>owned since June</v>
          </cell>
        </row>
        <row r="2308">
          <cell r="G2308" t="str">
            <v>only swap since was Fosters for hells (very happy with swap)</v>
          </cell>
        </row>
        <row r="2310">
          <cell r="G2310" t="str">
            <v>ales change weekly</v>
          </cell>
        </row>
        <row r="2312">
          <cell r="G2312" t="str">
            <v>Amsterdam and Heineken are top pourers</v>
          </cell>
        </row>
        <row r="2314">
          <cell r="G2314" t="str">
            <v>neckoil, cruzcampo, and guineas are options to swap out</v>
          </cell>
        </row>
        <row r="2315">
          <cell r="G2315" t="str">
            <v>ciders are slow pours</v>
          </cell>
        </row>
        <row r="2317">
          <cell r="G2317" t="str">
            <v>Friday and Saturday night bands</v>
          </cell>
        </row>
        <row r="2318">
          <cell r="G2318" t="str">
            <v>Fixing stella handle</v>
          </cell>
        </row>
        <row r="2319">
          <cell r="G2319" t="str">
            <v>chatted san mig</v>
          </cell>
        </row>
        <row r="2322">
          <cell r="G2322" t="str">
            <v>had a good chat with Scott. but wanted pale and no longer listed</v>
          </cell>
        </row>
        <row r="2323">
          <cell r="G2323" t="str">
            <v>ops for stout ipo pale but unsure... friends with river garden Thorpe ll. they copy each other on line up and if you're in on one... the other might suit.</v>
          </cell>
        </row>
        <row r="2328">
          <cell r="G2328" t="str">
            <v>nicky was painting house, still very kind and keen to chat</v>
          </cell>
        </row>
        <row r="2329">
          <cell r="G2329" t="str">
            <v>Brixton lager swapped for pale- been a week - thought to change to Camden (only if pale isn't well - reminder to check in a 3 weeks time)</v>
          </cell>
        </row>
        <row r="2330">
          <cell r="G2330" t="str">
            <v>- he closed during covid, sold, and bought it back in September.</v>
          </cell>
        </row>
        <row r="2331">
          <cell r="G2331" t="str">
            <v>not keen on Heineken 0, left corona cero</v>
          </cell>
        </row>
        <row r="2333">
          <cell r="G2333" t="str">
            <v>scott- 07738220417</v>
          </cell>
        </row>
        <row r="2334">
          <cell r="G2334" t="str">
            <v>nicky is his wife</v>
          </cell>
        </row>
        <row r="2335">
          <cell r="G2335" t="str">
            <v>Mark Neild is the new RM</v>
          </cell>
        </row>
        <row r="2336">
          <cell r="G2336" t="str">
            <v>- REMINDER in mid March to check on Brixton swap</v>
          </cell>
        </row>
        <row r="2342">
          <cell r="G2342" t="str">
            <v>Met Nicky the tenant, only been in since Sept. Stella sells the best at 5.00, thinking about taking Brixton off as not selling and charging 6.20 a pint. Left samples of stout, will back next week.</v>
          </cell>
        </row>
        <row r="2343">
          <cell r="G2343" t="str">
            <v>dionne still mngr</v>
          </cell>
        </row>
        <row r="2344">
          <cell r="G2344" t="str">
            <v>good chatter</v>
          </cell>
        </row>
        <row r="2345">
          <cell r="G2345" t="str">
            <v>kop bueg bottles weren't selling, moved to thatchers</v>
          </cell>
        </row>
        <row r="2346">
          <cell r="G2346" t="str">
            <v>rona 0 win</v>
          </cell>
        </row>
        <row r="2347">
          <cell r="G2347" t="str">
            <v>san mig on, excited for the change over, no pos support</v>
          </cell>
        </row>
        <row r="2348">
          <cell r="G2348" t="str">
            <v>got email of steve</v>
          </cell>
        </row>
        <row r="2351">
          <cell r="G2351" t="str">
            <v>oth magners has turned- cruzcampo and Worthington are new</v>
          </cell>
        </row>
        <row r="2352">
          <cell r="G2352" t="str">
            <v>corona bottles don't sell (cero doesn't make since)</v>
          </cell>
        </row>
        <row r="2354">
          <cell r="G2354" t="str">
            <v>spoke with manager Dionne (female)</v>
          </cell>
        </row>
        <row r="2355">
          <cell r="G2355" t="str">
            <v>lease holder is Kevin Hunt (never in, dionne runs)</v>
          </cell>
        </row>
        <row r="2357">
          <cell r="G2357" t="str">
            <v>shopping center pub, mix crowd- all beers work well for them- best pour in order ; carlsberg, cruzcampo, Stella (sending glasses)</v>
          </cell>
        </row>
        <row r="2359">
          <cell r="G2359" t="str">
            <v>will be new landlord 'soon'</v>
          </cell>
        </row>
        <row r="2360">
          <cell r="G2360" t="str">
            <v>asked her to let me know where she moves on to and shade the new landlord with me - emailing them norkieltd@gmail.com</v>
          </cell>
        </row>
        <row r="2366">
          <cell r="G2366" t="str">
            <v>Needs some support with Stella, not a site for SP, unsure if Stout would work here, very wet led and price sensitive.</v>
          </cell>
        </row>
        <row r="2368">
          <cell r="G2368" t="str">
            <v>Wake was ongoing so couldn’t get images but stella and magners still on the bar</v>
          </cell>
        </row>
        <row r="2369">
          <cell r="G2369" t="str">
            <v>had hells on forever. doesn't change up often, hadn't visited yet till today with rm... the day they are taking out hells for hazy day. met the tech. Sam says he could very well revert back</v>
          </cell>
        </row>
        <row r="2370">
          <cell r="G2370" t="str">
            <v>owns another new about to open pub, sending pos pale installing</v>
          </cell>
        </row>
        <row r="2371">
          <cell r="G2371" t="str">
            <v>tasks in calender to check</v>
          </cell>
        </row>
        <row r="2372">
          <cell r="G2372" t="str">
            <v>hells going on when outdoor bar is built- spoke with Ben o. deats and can't give the world</v>
          </cell>
        </row>
        <row r="2375">
          <cell r="G2375">
            <v>7724586966</v>
          </cell>
        </row>
        <row r="2376">
          <cell r="G2376" t="str">
            <v>Johnny  ll of 6 months</v>
          </cell>
        </row>
        <row r="2378">
          <cell r="G2378" t="str">
            <v>pale on - though he's not a person fan but it sells well next to cruzcampo</v>
          </cell>
        </row>
        <row r="2380">
          <cell r="G2380" t="str">
            <v>he adores Brixton</v>
          </cell>
        </row>
        <row r="2382">
          <cell r="G2382" t="str">
            <v>send him g garden deck out options and fit a 1 line bar in trade</v>
          </cell>
        </row>
        <row r="2383">
          <cell r="G2383" t="str">
            <v>also send beer options</v>
          </cell>
        </row>
        <row r="2385">
          <cell r="G2385" t="str">
            <v>freaking gorgeous ops</v>
          </cell>
        </row>
        <row r="2386">
          <cell r="G2386" t="str">
            <v>bartender passed email, sent over to lianne</v>
          </cell>
        </row>
        <row r="2388">
          <cell r="G2388" t="str">
            <v>Met GM Jenny but she couldn't stay to chat as they had a large party in for lunch.</v>
          </cell>
        </row>
        <row r="2390">
          <cell r="G2390" t="str">
            <v>Give a call ahead next time.</v>
          </cell>
        </row>
        <row r="2392">
          <cell r="G2392" t="str">
            <v>Countryside style pub, with outdoor decking. Stella in here.</v>
          </cell>
        </row>
        <row r="2394">
          <cell r="G2394" t="str">
            <v>Sent glassware.</v>
          </cell>
        </row>
        <row r="2395">
          <cell r="G2395" t="str">
            <v>pale out for entire new line up, have some funky fun stuff on now that free tie.</v>
          </cell>
        </row>
        <row r="2398">
          <cell r="G2398" t="str">
            <v>rm meeting</v>
          </cell>
        </row>
        <row r="2399">
          <cell r="G2399" t="str">
            <v>send new pale badge</v>
          </cell>
        </row>
        <row r="2402">
          <cell r="G2402" t="str">
            <v>info@theoldspring.co.uk</v>
          </cell>
        </row>
        <row r="2403">
          <cell r="G2403" t="str">
            <v>they come in at night... someone already came in from bbg just a couple hours before me but they didn't leave a card.</v>
          </cell>
        </row>
        <row r="2405">
          <cell r="G2405" t="str">
            <v>steve or omar ll of castle-</v>
          </cell>
        </row>
        <row r="2408">
          <cell r="G2408" t="str">
            <v>Met Troy, camden not the best seller compared to brewdog and neck oil</v>
          </cell>
        </row>
        <row r="2410">
          <cell r="G2410" t="str">
            <v>ABK sells well</v>
          </cell>
        </row>
        <row r="2411">
          <cell r="G2411" t="str">
            <v>discussed adding hells onto bar on a postbox to drive RoS</v>
          </cell>
        </row>
        <row r="2413">
          <cell r="G2413" t="str">
            <v>checked cellar - space in cooler but couldn’t see in python so survey would be needed</v>
          </cell>
        </row>
        <row r="2415">
          <cell r="G2415" t="str">
            <v>said he will reach out to me if keen</v>
          </cell>
        </row>
        <row r="2416">
          <cell r="G2416">
            <v>7526831182</v>
          </cell>
        </row>
        <row r="2417">
          <cell r="G2417" t="str">
            <v>Jay LL</v>
          </cell>
        </row>
        <row r="2419">
          <cell r="G2419" t="str">
            <v>amy bartender</v>
          </cell>
        </row>
        <row r="2420">
          <cell r="G2420" t="str">
            <v>Stella does well but not comfortable talking about bar line up really</v>
          </cell>
        </row>
        <row r="2423">
          <cell r="G2423" t="str">
            <v>topp 100 never checked in</v>
          </cell>
        </row>
        <row r="2425">
          <cell r="G2425" t="str">
            <v>jay manager, met with mo andrew, may 8th, no work here yet but at wash and tope working</v>
          </cell>
        </row>
        <row r="2426">
          <cell r="G2426" t="str">
            <v>every other day except Tuesday</v>
          </cell>
        </row>
        <row r="2427">
          <cell r="G2427" t="str">
            <v>goy email to schedule visit</v>
          </cell>
        </row>
        <row r="2429">
          <cell r="G2429" t="str">
            <v>pravah. and neck oil top volume</v>
          </cell>
        </row>
        <row r="2430">
          <cell r="G2430" t="str">
            <v>Stella sparce seller</v>
          </cell>
        </row>
        <row r="2434">
          <cell r="G2434" t="str">
            <v>on top 100... but no longer on house list, change off L&amp;T</v>
          </cell>
        </row>
        <row r="2435">
          <cell r="G2435" t="str">
            <v>left samps for all camden. ops for hells ipo moretti fu</v>
          </cell>
        </row>
        <row r="2437">
          <cell r="G2437" t="str">
            <v>send chrislee a note now</v>
          </cell>
        </row>
        <row r="2438">
          <cell r="G2438" t="str">
            <v>allen abrtending</v>
          </cell>
        </row>
        <row r="2439">
          <cell r="G2439" t="str">
            <v>ll leaving next month, try again in late July</v>
          </cell>
        </row>
        <row r="2442">
          <cell r="G2442" t="str">
            <v>ooooold school stella font on, likely not mich ops unless they want to change up clientel</v>
          </cell>
        </row>
        <row r="2443">
          <cell r="G2443" t="str">
            <v>has all bbg range nearly. heading to Spain and will try again, reminder to email pub if can find onl9ne, she wouldn't share</v>
          </cell>
        </row>
        <row r="2446">
          <cell r="G2446" t="str">
            <v>Popped in to discuss sunsets - garden space is tiny and no access - no way it could fit</v>
          </cell>
        </row>
        <row r="2448">
          <cell r="G2448" t="str">
            <v>dom and ben owners nkt around and wouldn’t give me their contact details</v>
          </cell>
        </row>
        <row r="2450">
          <cell r="G2450" t="str">
            <v>said stella best seller and corona, camden does ok</v>
          </cell>
        </row>
        <row r="2451">
          <cell r="G2451" t="str">
            <v>email rm. get new ll Booked in and timeline</v>
          </cell>
        </row>
        <row r="2452">
          <cell r="G2452" t="str">
            <v>corona not performing well, swapping for hells</v>
          </cell>
        </row>
        <row r="2453">
          <cell r="G2453" t="str">
            <v>great turn around with new opening... from boozer to posh family oriented. pale ops down the road</v>
          </cell>
        </row>
        <row r="2454">
          <cell r="G2454" t="str">
            <v>wants tshirts and 2 parasols</v>
          </cell>
        </row>
        <row r="2455">
          <cell r="G2455" t="str">
            <v>just REopened, lovely high street spot.</v>
          </cell>
        </row>
        <row r="2456">
          <cell r="G2456" t="str">
            <v>Stout and hells installed</v>
          </cell>
        </row>
        <row r="2458">
          <cell r="G2458" t="str">
            <v>Jim super happy</v>
          </cell>
        </row>
        <row r="2461">
          <cell r="G2461" t="str">
            <v>STOUT AND HELLS GOING IN</v>
          </cell>
        </row>
        <row r="2463">
          <cell r="G2463" t="str">
            <v>Ignore original notes this site is in standon not Hertford</v>
          </cell>
        </row>
        <row r="2465">
          <cell r="G2465" t="str">
            <v>Met with Jim</v>
          </cell>
        </row>
        <row r="2467">
          <cell r="G2467" t="str">
            <v>He wants to install Hells and Stout on postbox</v>
          </cell>
        </row>
        <row r="2470">
          <cell r="G2470" t="str">
            <v>He would like POS and parasols</v>
          </cell>
        </row>
        <row r="2471">
          <cell r="G2471" t="str">
            <v>having a gk head honcho I'm tomorrow, note that on call. cero doing well.</v>
          </cell>
        </row>
        <row r="2472">
          <cell r="G2472" t="str">
            <v>fu next week</v>
          </cell>
        </row>
        <row r="2473">
          <cell r="G2473" t="str">
            <v>Wednesday bad day but Thursday better</v>
          </cell>
        </row>
        <row r="2474">
          <cell r="G2474" t="str">
            <v>John sound like dm not Kelly</v>
          </cell>
        </row>
        <row r="2481">
          <cell r="G2481" t="str">
            <v>ohn/Kelly</v>
          </cell>
        </row>
        <row r="2484">
          <cell r="G2484" t="str">
            <v>John thinking of going madri,</v>
          </cell>
        </row>
        <row r="2486">
          <cell r="G2486" t="str">
            <v>Have asked how we can win that argument as hells would do well</v>
          </cell>
        </row>
        <row r="2488">
          <cell r="G2488" t="str">
            <v>Huge on real ale and craft</v>
          </cell>
        </row>
        <row r="2490">
          <cell r="G2490" t="str">
            <v>Visited as part of leads from Andy turner</v>
          </cell>
        </row>
        <row r="2492">
          <cell r="G2492" t="str">
            <v>One spare line at the moment</v>
          </cell>
        </row>
        <row r="2494">
          <cell r="G2494" t="str">
            <v>In discussion with asahi but cold called owner and is now considering Camden hells</v>
          </cell>
        </row>
        <row r="2496">
          <cell r="G2496" t="str">
            <v>We can offer free keg which could swing it</v>
          </cell>
        </row>
        <row r="2498">
          <cell r="G2498" t="str">
            <v>I have argued craft is better approach as site already has loads of world beer</v>
          </cell>
        </row>
        <row r="2500">
          <cell r="G2500" t="str">
            <v>Looking positive - 1 spare line</v>
          </cell>
        </row>
        <row r="2501">
          <cell r="G2501" t="str">
            <v>dit</v>
          </cell>
        </row>
        <row r="2502">
          <cell r="G2502" t="str">
            <v>fu with pale next week</v>
          </cell>
        </row>
        <row r="2503">
          <cell r="G2503" t="str">
            <v>also owns black bull, punch, Oxford kinglington</v>
          </cell>
        </row>
        <row r="2504">
          <cell r="G2504" t="str">
            <v>stout will be hard sell in. started convo but loves his guinnes and doesn't have the lines</v>
          </cell>
        </row>
        <row r="2506">
          <cell r="G2506" t="str">
            <v>camden doing better than all and very happy</v>
          </cell>
        </row>
        <row r="2508">
          <cell r="G2508" t="str">
            <v>still no glassware for op, reminder set</v>
          </cell>
        </row>
        <row r="2509">
          <cell r="G2509" t="str">
            <v>pale would be what she adds... but ipo icebreaker and can't do that with gk</v>
          </cell>
        </row>
        <row r="2510">
          <cell r="G2510" t="str">
            <v>gonna send her a reminder next with with foc keg on hells try</v>
          </cell>
        </row>
        <row r="2511">
          <cell r="G2511" t="str">
            <v>happy with op swap</v>
          </cell>
        </row>
        <row r="2512">
          <cell r="G2512" t="str">
            <v>not movi g forward with unfiltered dual with stella</v>
          </cell>
        </row>
        <row r="2513">
          <cell r="G2513" t="str">
            <v>but madri is dumbing down with new stella install, mentioned hells... repinging in a month eith foc keg</v>
          </cell>
        </row>
        <row r="2517">
          <cell r="G2517" t="str">
            <v>swapping strongbow with op - send request</v>
          </cell>
        </row>
        <row r="2518">
          <cell r="G2518" t="str">
            <v>ops for unfiltered</v>
          </cell>
        </row>
        <row r="2520">
          <cell r="G2520" t="str">
            <v>dropped samps- Orsett dog and partridge visited</v>
          </cell>
        </row>
        <row r="2521">
          <cell r="G2521" t="str">
            <v>looking to build lines in their outdoor , packaged only atm bar, ideally guinnes and stella</v>
          </cell>
        </row>
        <row r="2523">
          <cell r="G2523" t="str">
            <v>emailing mo (like 20 pubs)</v>
          </cell>
        </row>
        <row r="2524">
          <cell r="G2524" t="str">
            <v>can do but gonna push for camden In and out or in at little... guinnes drinkers will go inside doesn't need the push.</v>
          </cell>
        </row>
        <row r="2527">
          <cell r="G2527" t="str">
            <v>New refurb through gk. ops galore . sending paul another not.. not in</v>
          </cell>
        </row>
        <row r="2530">
          <cell r="G2530" t="str">
            <v>Paul is manager</v>
          </cell>
        </row>
        <row r="2531">
          <cell r="G2531" t="str">
            <v>doing refurbishment in march- designer came in already for Rehaul esteticLly</v>
          </cell>
        </row>
        <row r="2533">
          <cell r="G2533" t="str">
            <v>late Feb reminder to check in for a proper meeting (calling Monday when LL is in for a meeting)</v>
          </cell>
        </row>
        <row r="2535">
          <cell r="G2535" t="str">
            <v>20 taps and 9 of them are duplicates- 3 casks</v>
          </cell>
        </row>
        <row r="2536">
          <cell r="G2536" t="str">
            <v>kev sleeping, spoke with isla</v>
          </cell>
        </row>
        <row r="2537">
          <cell r="G2537" t="str">
            <v>campo has am extra dumby tap and happy to put on hells</v>
          </cell>
        </row>
        <row r="2538">
          <cell r="G2538" t="str">
            <v>emailing kev wednesday- foc keg and tnt 50%</v>
          </cell>
        </row>
        <row r="2542">
          <cell r="G2542" t="str">
            <v>sending chalices</v>
          </cell>
        </row>
        <row r="2544">
          <cell r="G2544" t="str">
            <v>Kevin Moran LL 07733403324</v>
          </cell>
        </row>
        <row r="2545">
          <cell r="G2545" t="str">
            <v>kjmoran62@gmail.com</v>
          </cell>
        </row>
        <row r="2547">
          <cell r="G2547" t="str">
            <v>isla mngmnt</v>
          </cell>
        </row>
        <row r="2549">
          <cell r="G2549" t="str">
            <v>coors about to go for moretti - 14 taps but all doubles</v>
          </cell>
        </row>
        <row r="2553">
          <cell r="G2553" t="str">
            <v>... seemingly nice put but then again, I was quickly offered bugar sugar... bartender was watching him hard</v>
          </cell>
        </row>
        <row r="2554">
          <cell r="G2554" t="str">
            <v>Georgia 07548865215 knightjarz</v>
          </cell>
        </row>
        <row r="2555">
          <cell r="G2555" t="str">
            <v>call next week want to take Heineken off - stella good ops but not taking away guinnes anymore</v>
          </cell>
        </row>
        <row r="2560">
          <cell r="G2560" t="str">
            <v xml:space="preserve"> had a refit with Heineken</v>
          </cell>
        </row>
        <row r="2561">
          <cell r="G2561" t="str">
            <v>they almost got her to take out Stella but it sales to well... she can't get ahold of our reps in the past and reassured her the patch is covered now</v>
          </cell>
        </row>
        <row r="2562">
          <cell r="G2562" t="str">
            <v>relit stout in her Bury location- no hard yes but interested as a younger crowd</v>
          </cell>
        </row>
        <row r="2564">
          <cell r="G2564" t="str">
            <v>07703846533-ginny</v>
          </cell>
        </row>
        <row r="2565">
          <cell r="G2565" t="str">
            <v>meeting next week at nightjars</v>
          </cell>
        </row>
        <row r="2570">
          <cell r="G2570" t="str">
            <v>ginny is landlady but her daughter was there. they have the nightjars in bury as well. said people will try different stuff there so may do it.</v>
          </cell>
        </row>
        <row r="2572">
          <cell r="G2572" t="str">
            <v>HUK or doing work for them in this pub so getting rid of a lot of coors stuff as they are rubbish. keeping stella though</v>
          </cell>
        </row>
        <row r="2574">
          <cell r="G2574" t="str">
            <v>bit of an estate boozer but got a fairly premium line up.</v>
          </cell>
        </row>
        <row r="2576">
          <cell r="G2576" t="str">
            <v>sell a fair bit of Guinness here.</v>
          </cell>
        </row>
        <row r="2577">
          <cell r="G2577" t="str">
            <v>set time with georgina but... was also the only one working at start of the shift with a few tables I'm already... not much of a fruitful talk aside corona is doing much better (summer) and complaining about gk price increase... emailing her for camden chat</v>
          </cell>
        </row>
        <row r="2581">
          <cell r="G2581" t="str">
            <v>Met georgina- in a winter loul- she noted the pub down the road just took it out, wasn't doing great.</v>
          </cell>
        </row>
        <row r="2582">
          <cell r="G2582" t="str">
            <v>talked activations and will send her ideas for quiz nights to boost it. (top 2 most expensive)</v>
          </cell>
        </row>
        <row r="2585">
          <cell r="G2585" t="str">
            <v>has 4 premade cocktail lines... people don't order ir much and she discounts it just cuz it saves her time... giving it till summer and might chuck it.... its under the bar space, no more lines</v>
          </cell>
        </row>
        <row r="2586">
          <cell r="G2586" t="str">
            <v>Tuesdays better</v>
          </cell>
        </row>
        <row r="2587">
          <cell r="G2587" t="str">
            <v>talked with georgy and matt briefly, busy but keem to set time to sit down, very open to Camden- Andy said no on the visit we had but I see it working and will try to play it right.</v>
          </cell>
        </row>
        <row r="2588">
          <cell r="G2588" t="str">
            <v>digital pub of the year award</v>
          </cell>
        </row>
        <row r="2589">
          <cell r="G2589" t="str">
            <v>Stella on doing well</v>
          </cell>
        </row>
        <row r="2590">
          <cell r="G2590" t="str">
            <v>great garden patch feels, camden ops</v>
          </cell>
        </row>
        <row r="2591">
          <cell r="G2591" t="str">
            <v>emailing boss man</v>
          </cell>
        </row>
        <row r="2592">
          <cell r="G2592" t="str">
            <v>Sean was supper helpful but not dm</v>
          </cell>
        </row>
        <row r="2593">
          <cell r="G2593" t="str">
            <v>hells just left for meantime last month</v>
          </cell>
        </row>
        <row r="2594">
          <cell r="G2594" t="str">
            <v>hells did great... meantime not so much but can't target gk</v>
          </cell>
        </row>
        <row r="2595">
          <cell r="G2595" t="str">
            <v>starpromen not doing great, but also on 2nd tbar- may be placement... he loves the recognition of hells and thinks I have a shot. great tips to email boss man</v>
          </cell>
        </row>
        <row r="2596">
          <cell r="G2596" t="str">
            <v>tally was quite ill with a neck injury on my visit, more complaining talk then beer... off for the next couple days butggoing to ring her Monday for pale rehash, couldn't stay on track</v>
          </cell>
        </row>
        <row r="2598">
          <cell r="G2598" t="str">
            <v>Stella doing much better</v>
          </cell>
        </row>
        <row r="2599">
          <cell r="G2599" t="str">
            <v>taking pravah sales... thinks she has too many lagers... go for pale?</v>
          </cell>
        </row>
        <row r="2600">
          <cell r="G2600" t="str">
            <v>brooklyn on its way put... but not sure what with yet... emailing dwvin for a meet</v>
          </cell>
        </row>
        <row r="2601">
          <cell r="G2601" t="str">
            <v>well rob doesnt want to talk</v>
          </cell>
        </row>
        <row r="2602">
          <cell r="G2602" t="str">
            <v>showed face but basically shewed me away</v>
          </cell>
        </row>
        <row r="2606">
          <cell r="G2606" t="str">
            <v>Site blocked off by roadworks so couldn’t gain access, opens 4PM</v>
          </cell>
        </row>
        <row r="2609">
          <cell r="G2609" t="str">
            <v>GM not convinced by Camden brands</v>
          </cell>
        </row>
        <row r="2612">
          <cell r="G2612" t="str">
            <v>Stella going ok, hells would work here and neck oil flies</v>
          </cell>
        </row>
        <row r="2614">
          <cell r="G2614" t="str">
            <v>Specialist real ale pub</v>
          </cell>
        </row>
        <row r="2616">
          <cell r="G2616" t="str">
            <v>Visit to follow up in summer</v>
          </cell>
        </row>
        <row r="2618">
          <cell r="G2618" t="str">
            <v>Glassware sent</v>
          </cell>
        </row>
        <row r="2619">
          <cell r="G2619" t="str">
            <v>magners on for 2 weeks (wanted op but maybe mag was cheeper)</v>
          </cell>
        </row>
        <row r="2620">
          <cell r="G2620" t="str">
            <v>asked for felt mats and parasols... magners?</v>
          </cell>
        </row>
        <row r="2623">
          <cell r="G2623" t="str">
            <v>Mick sent</v>
          </cell>
        </row>
        <row r="2624">
          <cell r="G2624" t="str">
            <v>Stella #2 vol.</v>
          </cell>
        </row>
        <row r="2625">
          <cell r="G2625" t="str">
            <v>Looking to Change from pravha</v>
          </cell>
        </row>
        <row r="2627">
          <cell r="G2627" t="str">
            <v>big Dave</v>
          </cell>
        </row>
        <row r="2628">
          <cell r="G2628">
            <v>7730406358</v>
          </cell>
        </row>
        <row r="2629">
          <cell r="G2629" t="str">
            <v>sent tnt reminder and op sampes</v>
          </cell>
        </row>
        <row r="2631">
          <cell r="G2631" t="str">
            <v>not open to stout but wants a cider , gonna give it a go</v>
          </cell>
        </row>
        <row r="2633">
          <cell r="G2633" t="str">
            <v>lovely people in the pub, very open to convo</v>
          </cell>
        </row>
        <row r="2634">
          <cell r="G2634" t="str">
            <v>cruzcampo might be ops (slow sales due to price ... OK with it now but see that changimg)</v>
          </cell>
        </row>
        <row r="2635">
          <cell r="G2635" t="str">
            <v>mixed forms eith oxcart - fix closed pock and trying to come back after 3</v>
          </cell>
        </row>
        <row r="2638">
          <cell r="G2638" t="str">
            <v>forms not pioulatig from last visit below</v>
          </cell>
        </row>
        <row r="2639">
          <cell r="G2639" t="str">
            <v>luke in,  not willing to share contact... but will pass card (didn't reach out last time.) great ops if I can get I'm contact with them... chat with him about Camden... little interest to talk about lineup</v>
          </cell>
        </row>
        <row r="2640">
          <cell r="G2640" t="str">
            <v>sent some euros goodies. very nice spit for the area.</v>
          </cell>
        </row>
        <row r="2641">
          <cell r="G2641" t="str">
            <v>rehashed corona install and Bud. survey rolling where the font can go. then need tnt and copy him on request email to james Pearson.</v>
          </cell>
        </row>
        <row r="2642">
          <cell r="G2642" t="str">
            <v>also looking for a mobile stella bar (last was stolen?) pinging jake on 1:1 next week</v>
          </cell>
        </row>
        <row r="2647">
          <cell r="G2647" t="str">
            <v>Josh is the leaseholder, he's had the place 8 years. Met one of the GMs.</v>
          </cell>
        </row>
        <row r="2649">
          <cell r="G2649" t="str">
            <v>Younger crowd, sports led.</v>
          </cell>
        </row>
        <row r="2651">
          <cell r="G2651" t="str">
            <v>Moretti best seller, Stella 3rd. Fosters/Coors/Amstel worst. Apparently they've tried Hells in here but it didn't perform. Corona could be a shout, follow up with Josh.</v>
          </cell>
        </row>
        <row r="2652">
          <cell r="G2652" t="str">
            <v>pricing sensitive- written on badges</v>
          </cell>
        </row>
        <row r="2653">
          <cell r="G2653" t="str">
            <v>Good chat still with am joe. been there 9 years and the other joe 15... no ops atm</v>
          </cell>
        </row>
        <row r="2656">
          <cell r="G2656" t="str">
            <v>GM and AM both called Joe. Crowd is mainly tradesman and locals, wet led, very price sensitive. Fosters, Coors, and Stella best performing.</v>
          </cell>
        </row>
        <row r="2658">
          <cell r="G2658" t="str">
            <v>No opps for SP brands here due to price sensitivity.</v>
          </cell>
        </row>
        <row r="2659">
          <cell r="G2659" t="str">
            <v>Marstons has sent them 4 flat kegs (maybe 2 months ago, got credits but told her to text me if it happens again, I cam at least talk to a kam )</v>
          </cell>
        </row>
        <row r="2660">
          <cell r="G2660" t="str">
            <v>talked stout last visit but probs not the right spot if they don't take guimnes off. holding for now</v>
          </cell>
        </row>
        <row r="2662">
          <cell r="G2662" t="str">
            <v>met his partner Claire thos time... but reply isn't showing Mt last visit with his name, woopsie</v>
          </cell>
        </row>
        <row r="2663">
          <cell r="G2663" t="str">
            <v>been emailing for months gk (checking with drazer to check xontacys om gk site)</v>
          </cell>
        </row>
        <row r="2664">
          <cell r="G2664" t="str">
            <v>Stella 2 kegs a week</v>
          </cell>
        </row>
        <row r="2665">
          <cell r="G2665" t="str">
            <v>madro/campo maybe 1</v>
          </cell>
        </row>
        <row r="2667">
          <cell r="G2667" t="str">
            <v>spoke ops for pale (and dual stock if nocking out both)</v>
          </cell>
        </row>
        <row r="2668">
          <cell r="G2668" t="str">
            <v xml:space="preserve">corona bottles do well, mention rona and sunsets campaign  </v>
          </cell>
        </row>
        <row r="2669">
          <cell r="G2669" t="str">
            <v>reminder to call in a couple weeks</v>
          </cell>
        </row>
        <row r="2670">
          <cell r="G2670" t="str">
            <v>beverely apparently just got out if the shower. passed om a pos order to the bartender.. little ops, perhaps hells for 1664. sent an email</v>
          </cell>
        </row>
        <row r="2675">
          <cell r="G2675" t="str">
            <v>t bar - sbow, carlsberg, kron, fosters, sbow, jn smiths</v>
          </cell>
        </row>
        <row r="2676">
          <cell r="G2676" t="str">
            <v>moretti font</v>
          </cell>
        </row>
        <row r="2677">
          <cell r="G2677" t="str">
            <v>cask x2</v>
          </cell>
        </row>
        <row r="2678">
          <cell r="G2678" t="str">
            <v>t bar - guinn, stella, kron, coors, fosters, jn smiths</v>
          </cell>
        </row>
        <row r="2680">
          <cell r="G2680" t="str">
            <v xml:space="preserve"> fosters stella carlsberg in that order</v>
          </cell>
        </row>
        <row r="2682">
          <cell r="G2682" t="str">
            <v>met Kim bar staff, Bev tennant not about</v>
          </cell>
        </row>
        <row r="2684">
          <cell r="G2684" t="str">
            <v>very value, just look after w stella</v>
          </cell>
        </row>
        <row r="2686">
          <cell r="G2686" t="str">
            <v>quite busy, full bar pic not approp. lots of fosters men</v>
          </cell>
        </row>
        <row r="2687">
          <cell r="G2687" t="str">
            <v>reap core lead pub but young daughter helping run the bar and got excited about Camden, pale most likely ipo js, gonna sample it around... the customers also helped sell it with me and showed excitement.  reminder to call chloe in a weekish</v>
          </cell>
        </row>
        <row r="2688">
          <cell r="G2688" t="str">
            <v>uneccisarily massive pub. multiple bars but all JS, COORS, STELLA AND GUINNY. and apparently doing pretty ungood business wise. no ops atm</v>
          </cell>
        </row>
        <row r="2691">
          <cell r="G2691" t="str">
            <v>Cathy ll</v>
          </cell>
        </row>
        <row r="2692">
          <cell r="G2692">
            <v>2085920431</v>
          </cell>
        </row>
        <row r="2694">
          <cell r="G2694" t="str">
            <v>tnt</v>
          </cell>
        </row>
        <row r="2695">
          <cell r="G2695" t="str">
            <v>she was an hour late to pur apt.. had loads of administrative luckily.</v>
          </cell>
        </row>
        <row r="2696">
          <cell r="G2696" t="str">
            <v>Good chat but very price sensitive at the moment as new to the pub. checking In in 2 months and note if we get any foc for gk</v>
          </cell>
        </row>
        <row r="2699">
          <cell r="G2699" t="str">
            <v>she's away but face timed me out of the country. texting her for meet first week june</v>
          </cell>
        </row>
        <row r="2700">
          <cell r="G2700" t="str">
            <v>Stella om, still #1 but decked out for fosters... though a nice looking pub. 👌</v>
          </cell>
        </row>
        <row r="2703">
          <cell r="G2703" t="str">
            <v>Met Tracy, Jane is the leaseholder but wasn't around. Jane is already retiring so the lease is up for grabs.</v>
          </cell>
        </row>
        <row r="2705">
          <cell r="G2705" t="str">
            <v>Very well looked after pub. Local crowd but more young people starting to come in.</v>
          </cell>
        </row>
        <row r="2707">
          <cell r="G2707" t="str">
            <v>Carlsberg and Stella best performing. Meantime Pale lowest. Aspall not pouring, spare line. Target these when new tenant comes in.</v>
          </cell>
        </row>
        <row r="2709">
          <cell r="G2709" t="str">
            <v>Also no Sky or BT.</v>
          </cell>
        </row>
        <row r="2710">
          <cell r="G2710" t="str">
            <v>Nice pub, Irish owner paddy (man)... "known for their guinnes" shewed away camden stout.</v>
          </cell>
        </row>
        <row r="2711">
          <cell r="G2711" t="str">
            <v>stoked about hells. neckoil is a bit better volume wise tho, 20p difference.</v>
          </cell>
        </row>
        <row r="2712">
          <cell r="G2712" t="str">
            <v>will have a think for camden dual stock and checking back in 2 months.</v>
          </cell>
        </row>
        <row r="2713">
          <cell r="G2713" t="str">
            <v>Katie kind for a chat but not looking to add another craft to the bar... thinks it may affect neckoil... noted hells is in her fridge and it doesn't really sell... sent bud buckets and a camden tin sign along with stella glasses. noted to fu in a couple months with any gk foc agaim</v>
          </cell>
        </row>
        <row r="2714">
          <cell r="G2714" t="str">
            <v>becks is doing 1 keg vs 4 before covid a week.. moretti replaced stella ages ago and is doing much better.... though he's not sure if it's before the abv went down... perhaps ops but will likely will be to protect becks tap, he said he'll called if he decideds to remove it first, got off well</v>
          </cell>
        </row>
        <row r="2716">
          <cell r="G2716" t="str">
            <v>free house across the street has mahou, op, hells, stout and pale... and he loves it there</v>
          </cell>
        </row>
        <row r="2717">
          <cell r="G2717" t="str">
            <v>Kate took over 9 weeks ago. won't make change for three months but is quite open to convo. says the customers have asked for more premium and coors will likely be first to go.... says guinnes is hit and miss, perhaps stout. reminder to call in three months</v>
          </cell>
        </row>
        <row r="2718">
          <cell r="G2718" t="str">
            <v>not at all a talker.</v>
          </cell>
        </row>
        <row r="2719">
          <cell r="G2719" t="str">
            <v>Stella on</v>
          </cell>
        </row>
        <row r="2720">
          <cell r="G2720" t="str">
            <v>couple 70s year old in the pub</v>
          </cell>
        </row>
        <row r="2721">
          <cell r="G2721" t="str">
            <v>all core brands</v>
          </cell>
        </row>
        <row r="2722">
          <cell r="G2722" t="str">
            <v>koppburg, rona and Bud filled in fridge</v>
          </cell>
        </row>
        <row r="2723">
          <cell r="G2723" t="str">
            <v>she's curious about what I tend to see stella go for £ - she is selling it for 5.60,</v>
          </cell>
        </row>
        <row r="2724">
          <cell r="G2724" t="str">
            <v>fosters 4.90, sam mig 5.60</v>
          </cell>
        </row>
        <row r="2726">
          <cell r="G2726" t="str">
            <v>music fests through the summer</v>
          </cell>
        </row>
        <row r="2728">
          <cell r="G2728" t="str">
            <v>looking at replacing a dummy font with maybe 0% or another ipa type... talked in depth of pale</v>
          </cell>
        </row>
        <row r="2730">
          <cell r="G2730" t="str">
            <v>been ll for 2 years... but she doesn't see pricing as her boss does so idk if she's actually licensee</v>
          </cell>
        </row>
        <row r="2732">
          <cell r="G2732" t="str">
            <v>sending fu in a week ish , reminder for tnt, and camden data</v>
          </cell>
        </row>
        <row r="2733">
          <cell r="G2733" t="str">
            <v>Stella at 5.10</v>
          </cell>
        </row>
        <row r="2734">
          <cell r="G2734" t="str">
            <v>peroni at 5.6</v>
          </cell>
        </row>
        <row r="2735">
          <cell r="G2735" t="str">
            <v>not much in convo, hard of hearing tender. left card</v>
          </cell>
        </row>
        <row r="2736">
          <cell r="G2736" t="str">
            <v>next to train station and 10 min walk from high street... hells may be ops with a good convo</v>
          </cell>
        </row>
        <row r="2737">
          <cell r="G2737" t="str">
            <v>gonna try for stella. but seems like quote a posh pub for the area, sending camden euros kit and having the conversation. virtually, she didn't show for our scheduled meet.......</v>
          </cell>
        </row>
        <row r="2738">
          <cell r="G2738" t="str">
            <v>steve and collet- stella phenomenal and hells needing aid. sending euros kit.  and proper glasses as he's using pale glasses</v>
          </cell>
        </row>
        <row r="2740">
          <cell r="G2740" t="str">
            <v>Stella does really well</v>
          </cell>
        </row>
        <row r="2742">
          <cell r="G2742" t="str">
            <v>Met Hannah tennant</v>
          </cell>
        </row>
        <row r="2744">
          <cell r="G2744" t="str">
            <v>Not interested in hells, really old crowd</v>
          </cell>
        </row>
        <row r="2745">
          <cell r="G2745" t="str">
            <v>set for camden euros packet and polly cups</v>
          </cell>
        </row>
        <row r="2746">
          <cell r="G2746" t="str">
            <v>removed hells for asahi and removed neckoil for campo.</v>
          </cell>
        </row>
        <row r="2747">
          <cell r="G2747" t="str">
            <v>corona ops and cider- wants to do a survey to see if she has to swap or can add line. talking to Shane the ll...</v>
          </cell>
        </row>
        <row r="2748">
          <cell r="G2748" t="str">
            <v>bridie not in ... Stella #1 vol</v>
          </cell>
        </row>
        <row r="2749">
          <cell r="G2749" t="str">
            <v>target moretti or amstell perhaps, tender says Stella is best and amstel is low (have fosters as am entry)</v>
          </cell>
        </row>
        <row r="2750">
          <cell r="G2750" t="str">
            <v>Stella stockist</v>
          </cell>
        </row>
        <row r="2752">
          <cell r="G2752" t="str">
            <v>Tennant is Bridie- not on site</v>
          </cell>
        </row>
        <row r="2754">
          <cell r="G2754" t="str">
            <v>Revisit as hells would do well, locals pub, affluent area</v>
          </cell>
        </row>
        <row r="2756">
          <cell r="G2756" t="str">
            <v>Very attractive pub with nice garden</v>
          </cell>
        </row>
        <row r="2757">
          <cell r="G2757" t="str">
            <v>Paul chatted well enough. Stella and madri same volumes, with fosters being best seller. no ops for hells (great location and by the water but older crowd) sent Stella pos request</v>
          </cell>
        </row>
        <row r="2758">
          <cell r="G2758" t="str">
            <v xml:space="preserve">rifle volunteer. </v>
          </cell>
        </row>
        <row r="2759">
          <cell r="G2759" t="str">
            <v>Newcastle red well in...</v>
          </cell>
        </row>
        <row r="2760">
          <cell r="G2760" t="str">
            <v>all leased gk stonegate and punch</v>
          </cell>
        </row>
        <row r="2762">
          <cell r="G2762" t="str">
            <v>stout on for a few months and their giving it away, just not selling with guinness still on.</v>
          </cell>
        </row>
        <row r="2763">
          <cell r="G2763" t="str">
            <v>they have it priced 10p more than guinnes and have a meeting tomorrow with the regional manager... likely coming off.</v>
          </cell>
        </row>
        <row r="2764">
          <cell r="G2764" t="str">
            <v>nigel isn't interested in pos or social assets. mentioned a sampling sesh, not interested, likely coming off</v>
          </cell>
        </row>
        <row r="2767">
          <cell r="G2767" t="str">
            <v>madri sales have died since cruzcampo coming on last month,  mentioned stella as part of his Convo tomorrow</v>
          </cell>
        </row>
        <row r="2768">
          <cell r="G2768" t="str">
            <v>Hazel bartender. says corona can do with a push... won't give me a contact but says they'll reach out to do so.</v>
          </cell>
        </row>
        <row r="2769">
          <cell r="G2769" t="str">
            <v>magners they fly through</v>
          </cell>
        </row>
        <row r="2770">
          <cell r="G2770" t="str">
            <v>and have aspals and strongbow (target at meet)</v>
          </cell>
        </row>
        <row r="2771">
          <cell r="G2771" t="str">
            <v>sending an email for meet...</v>
          </cell>
        </row>
        <row r="2772">
          <cell r="G2772" t="str">
            <v>out of nowhere boozer but nice inside, possible  corona ops</v>
          </cell>
        </row>
        <row r="2773">
          <cell r="G2773" t="str">
            <v>2 massive garden spaces</v>
          </cell>
        </row>
        <row r="2774">
          <cell r="G2774" t="str">
            <v>food led and quote busy at lunch time</v>
          </cell>
        </row>
        <row r="2775">
          <cell r="G2775" t="str">
            <v>40+ age in atm</v>
          </cell>
        </row>
        <row r="2776">
          <cell r="G2776" t="str">
            <v>Emma landlord- no sports, English food, closed by 10 destination pub. not looking to update as née lines for 3 weeks now... hazy day newest.  possibly target mid summer</v>
          </cell>
        </row>
        <row r="2777">
          <cell r="G2777" t="str">
            <v>becky holt rm</v>
          </cell>
        </row>
        <row r="2778">
          <cell r="G2778" t="str">
            <v>pushing him to put on campo</v>
          </cell>
        </row>
        <row r="2779">
          <cell r="G2779" t="str">
            <v>swapping fosters for carlsberg... due to customer demand</v>
          </cell>
        </row>
        <row r="2781">
          <cell r="G2781" t="str">
            <v>premiumizing the pub itself and camden in packaged but not ready to go forward on draught... strong df not doing well perhaps ops. or moretti down the road. revisit mid summer (leverage wind barriers for instal by request)</v>
          </cell>
        </row>
        <row r="2782">
          <cell r="G2782" t="str">
            <v>delayed stout install..  thought techs sent glasses for camden, nope had some I'm the car and dropped goodies and apologizef for the stout delay. Nice pub if punch ever relists anything</v>
          </cell>
        </row>
        <row r="2783">
          <cell r="G2783" t="str">
            <v>ran into the bbg tech, matt there.</v>
          </cell>
        </row>
        <row r="2786">
          <cell r="G2786" t="str">
            <v>Kelly bar staff said corona sells well</v>
          </cell>
        </row>
        <row r="2788">
          <cell r="G2788" t="str">
            <v>ryan not in</v>
          </cell>
        </row>
        <row r="2790">
          <cell r="G2790" t="str">
            <v>left my card</v>
          </cell>
        </row>
        <row r="2792">
          <cell r="G2792" t="str">
            <v>adnams dry hop not sold any more but on the bar</v>
          </cell>
        </row>
        <row r="2794">
          <cell r="G2794" t="str">
            <v>big garden too</v>
          </cell>
        </row>
        <row r="2795">
          <cell r="G2795" t="str">
            <v>Stella parasol x1 - told only approved for one unless adding a brand</v>
          </cell>
        </row>
        <row r="2796">
          <cell r="G2796" t="str">
            <v>runner</v>
          </cell>
        </row>
        <row r="2797">
          <cell r="G2797" t="str">
            <v>coaster</v>
          </cell>
        </row>
        <row r="2798">
          <cell r="G2798" t="str">
            <v>glass 10/20</v>
          </cell>
        </row>
        <row r="2801">
          <cell r="G2801" t="str">
            <v>Stella cuppler snapped</v>
          </cell>
        </row>
        <row r="2802">
          <cell r="G2802" t="str">
            <v>book a visit</v>
          </cell>
        </row>
        <row r="2803">
          <cell r="G2803" t="str">
            <v>07788373773- Adam</v>
          </cell>
        </row>
        <row r="2804">
          <cell r="G2804" t="str">
            <v xml:space="preserve">open daily </v>
          </cell>
        </row>
        <row r="2805">
          <cell r="G2805" t="str">
            <v>stonegate to fix</v>
          </cell>
        </row>
        <row r="2806">
          <cell r="G2806" t="str">
            <v>Charlotte not in</v>
          </cell>
        </row>
        <row r="2807">
          <cell r="G2807" t="str">
            <v>Megan on bar- Stella all well - mentioned camelden to add to tnt and contacting LL</v>
          </cell>
        </row>
        <row r="2808">
          <cell r="G2808" t="str">
            <v>Foster</v>
          </cell>
        </row>
        <row r="2809">
          <cell r="G2809" t="str">
            <v>moretti</v>
          </cell>
        </row>
        <row r="2810">
          <cell r="G2810" t="str">
            <v>madri</v>
          </cell>
        </row>
        <row r="2813">
          <cell r="G2813" t="str">
            <v>Atlantic Pale</v>
          </cell>
        </row>
        <row r="2814">
          <cell r="G2814" t="str">
            <v>carling df</v>
          </cell>
        </row>
        <row r="2815">
          <cell r="G2815" t="str">
            <v>aspall</v>
          </cell>
        </row>
        <row r="2816">
          <cell r="G2816" t="str">
            <v>coors</v>
          </cell>
        </row>
        <row r="2817">
          <cell r="G2817" t="str">
            <v>pravah ipo moretti</v>
          </cell>
        </row>
        <row r="2818">
          <cell r="G2818" t="str">
            <v>255 stella</v>
          </cell>
        </row>
        <row r="2820">
          <cell r="G2820" t="str">
            <v>send perf serve kit</v>
          </cell>
        </row>
        <row r="2821">
          <cell r="G2821" t="str">
            <v>Stuart Galloway</v>
          </cell>
        </row>
        <row r="2822">
          <cell r="G2822" t="str">
            <v>wants 5o%tnt but need to swap name to actual landlord ... rona thought and maybe hells</v>
          </cell>
        </row>
        <row r="2823">
          <cell r="G2823" t="str">
            <v>send Stella gear</v>
          </cell>
        </row>
        <row r="2827">
          <cell r="G2827" t="str">
            <v>Met Charlotte, new leaseholder as of June, super friendly.</v>
          </cell>
        </row>
        <row r="2829">
          <cell r="G2829" t="str">
            <v>Local village pub, getting food in ASAP, trying to draw in younger crowd and more families.</v>
          </cell>
        </row>
        <row r="2831">
          <cell r="G2831" t="str">
            <v>1 spare line, talked about Camden brands. Touch base again in a week or 2.</v>
          </cell>
        </row>
        <row r="2833">
          <cell r="G2833" t="str">
            <v>Charlotte - 07539104673</v>
          </cell>
        </row>
        <row r="2834">
          <cell r="G2834" t="str">
            <v>New landlord, Lee... added campo to the line up.. Stella still on, nice food led pub but off the main streets.... little ops</v>
          </cell>
        </row>
        <row r="2837">
          <cell r="G2837" t="str">
            <v>Met leaseholder Shauna, she's had the place 6 years. Very much a wet-led locals boozer.</v>
          </cell>
        </row>
        <row r="2839">
          <cell r="G2839" t="str">
            <v>Fosters best seller. Stella doing well. Carlsberg worst.ñĵkkkĺpq5ew</v>
          </cell>
        </row>
        <row r="2840">
          <cell r="G2840" t="str">
            <v>07900328611 Mark cell</v>
          </cell>
        </row>
        <row r="2841">
          <cell r="G2841" t="str">
            <v>where did thay come from by randy Travis</v>
          </cell>
        </row>
        <row r="2842">
          <cell r="G2842" t="str">
            <v>magners glasses please - Met Kevin, free of tie on kegs- pale ops... buy need to push</v>
          </cell>
        </row>
        <row r="2843">
          <cell r="G2843" t="str">
            <v xml:space="preserve"> </v>
          </cell>
        </row>
        <row r="2846">
          <cell r="G2846" t="str">
            <v>Met Kevin the leaseholder, he's had the place 30 years, very sound Irish fella.</v>
          </cell>
        </row>
        <row r="2848">
          <cell r="G2848" t="str">
            <v>Wet led locals pub on a busy high street so high footfall.</v>
          </cell>
        </row>
        <row r="2850">
          <cell r="G2850" t="str">
            <v>Carling and JS best sellers, Coors worst. Stella doing well, brought in new customers. Need more glasses ASAP.</v>
          </cell>
        </row>
        <row r="2852">
          <cell r="G2852" t="str">
            <v>Discussed BT sports deal, send Kev portfolio and highlight available brands as he's meeting his RM tomorrow!</v>
          </cell>
        </row>
        <row r="2853">
          <cell r="G2853" t="str">
            <v>07900328611 Mark cell</v>
          </cell>
        </row>
        <row r="2854">
          <cell r="G2854" t="str">
            <v>where did thay come from by randy Travis</v>
          </cell>
        </row>
        <row r="2855">
          <cell r="G2855" t="str">
            <v>magners glasses please</v>
          </cell>
        </row>
        <row r="2856">
          <cell r="G2856" t="str">
            <v xml:space="preserve"> </v>
          </cell>
        </row>
        <row r="2859">
          <cell r="G2859" t="str">
            <v>Met Kevin the leaseholder, he's had the place 30 years, very sound Irish fella.</v>
          </cell>
        </row>
        <row r="2861">
          <cell r="G2861" t="str">
            <v>Wet led locals pub on a busy high street so high footfall.</v>
          </cell>
        </row>
        <row r="2863">
          <cell r="G2863" t="str">
            <v>Carling and JS best sellers, Coors worst. Stella doing well, brought in new customers. Need more glasses ASAP.</v>
          </cell>
        </row>
        <row r="2865">
          <cell r="G2865" t="str">
            <v>Discussed BT sports deal, send Kev portfolio and highlight available brands as he's meeting his RM tomorrow!</v>
          </cell>
        </row>
        <row r="2866">
          <cell r="G2866" t="str">
            <v>hells 195 50l</v>
          </cell>
        </row>
        <row r="2867">
          <cell r="G2867" t="str">
            <v>pale 187 50l - 5.11</v>
          </cell>
        </row>
        <row r="2868">
          <cell r="G2868" t="str">
            <v>Stuart Galloway</v>
          </cell>
        </row>
        <row r="2869">
          <cell r="G2869" t="str">
            <v>moretti split. had longer 5.2</v>
          </cell>
        </row>
        <row r="2870">
          <cell r="G2870" t="str">
            <v>also wanting rona ipo madri - 4.11</v>
          </cell>
        </row>
        <row r="2871">
          <cell r="G2871" t="str">
            <v>text her tomorrow to confirm</v>
          </cell>
        </row>
        <row r="2874">
          <cell r="G2874" t="str">
            <v>Cheryl and Mark ll</v>
          </cell>
        </row>
        <row r="2875">
          <cell r="G2875" t="str">
            <v>19 years leased</v>
          </cell>
        </row>
        <row r="2876">
          <cell r="G2876" t="str">
            <v>sending Stella glass 20 and 10oz</v>
          </cell>
        </row>
        <row r="2878">
          <cell r="G2878" t="str">
            <v>mom said they are om holiday but could use some glasses</v>
          </cell>
        </row>
        <row r="2879">
          <cell r="G2879" t="str">
            <v>she's away but face timed me out of the country. texting her for meet first week june</v>
          </cell>
        </row>
        <row r="2880">
          <cell r="G2880" t="str">
            <v>Stella om, still #1 but decked out for fosters... though a nice looking pub. 👌</v>
          </cell>
        </row>
        <row r="2883">
          <cell r="G2883" t="str">
            <v>Met Tracy, Jane is the leaseholder but wasn't around. Jane is already retiring so the lease is up for grabs.</v>
          </cell>
        </row>
        <row r="2885">
          <cell r="G2885" t="str">
            <v>Very well looked after pub. Local crowd but more young people starting to come in.</v>
          </cell>
        </row>
        <row r="2887">
          <cell r="G2887" t="str">
            <v>Carlsberg and Stella best performing. Meantime Pale lowest. Aspall not pouring, spare line. Target these when new tenant comes in.</v>
          </cell>
        </row>
        <row r="2889">
          <cell r="G2889" t="str">
            <v>Also no Sky or BT.</v>
          </cell>
        </row>
        <row r="2890">
          <cell r="G2890" t="str">
            <v>140 -30l camden</v>
          </cell>
        </row>
        <row r="2891">
          <cell r="G2891" t="str">
            <v>112 -30l guinnes</v>
          </cell>
        </row>
        <row r="2893">
          <cell r="G2893" t="str">
            <v>neckoil and gamma up to 7.2, fosters at 5.60 and becks at 5.10</v>
          </cell>
        </row>
        <row r="2895">
          <cell r="G2895" t="str">
            <v>had Camden on their rotational at one point... open to again</v>
          </cell>
        </row>
        <row r="2896">
          <cell r="G2896" t="str">
            <v>Charlotte left literally moments before I got in.</v>
          </cell>
        </row>
        <row r="2897">
          <cell r="G2897" t="str">
            <v>Stella is 2nd to madri according to the bartender</v>
          </cell>
        </row>
        <row r="2898">
          <cell r="G2898" t="str">
            <v>emailing Brian for Charlotte's bumber</v>
          </cell>
        </row>
        <row r="2899">
          <cell r="G2899" t="str">
            <v>cider heavy, target strongbow</v>
          </cell>
        </row>
        <row r="2900">
          <cell r="G2900" t="str">
            <v>tender wasn't very giving with landlord info. tend to be gone on holiday often. magners not om draught (bi says so) but in packaged. core lead</v>
          </cell>
        </row>
        <row r="2901">
          <cell r="G2901" t="str">
            <v>coors #1 but location wise stella at least could be great for volume</v>
          </cell>
        </row>
        <row r="2902">
          <cell r="G2902" t="str">
            <v>moretti</v>
          </cell>
        </row>
        <row r="2903">
          <cell r="G2903" t="str">
            <v>campo</v>
          </cell>
        </row>
        <row r="2904">
          <cell r="G2904" t="str">
            <v>neck</v>
          </cell>
        </row>
        <row r="2905">
          <cell r="G2905" t="str">
            <v>Spal</v>
          </cell>
        </row>
        <row r="2906">
          <cell r="G2906" t="str">
            <v>guin</v>
          </cell>
        </row>
        <row r="2907">
          <cell r="G2907" t="str">
            <v>fost 4.60</v>
          </cell>
        </row>
        <row r="2908">
          <cell r="G2908" t="str">
            <v>carlsber 4.10- 10 keg a week</v>
          </cell>
        </row>
        <row r="2909">
          <cell r="G2909" t="str">
            <v>Stella 5 kegs a week</v>
          </cell>
        </row>
        <row r="2911">
          <cell r="G2911" t="str">
            <v>ch3ck beck after summer , wants to give neckoil a summer but try Camden after</v>
          </cell>
        </row>
        <row r="2913">
          <cell r="G2913" t="str">
            <v>boxing and gold fan- big chatter, work to keep him om track</v>
          </cell>
        </row>
        <row r="2915">
          <cell r="G2915" t="str">
            <v>royal exchange Sunday photos</v>
          </cell>
        </row>
        <row r="2916">
          <cell r="G2916" t="str">
            <v>old peculiar Ruby red ale thixtons</v>
          </cell>
        </row>
        <row r="2918">
          <cell r="G2918" t="str">
            <v>owns woolpack down the road - Charlotte and jess managers here (dm)</v>
          </cell>
        </row>
        <row r="2919">
          <cell r="G2919" t="str">
            <v>2 stella bases needed, different size</v>
          </cell>
        </row>
        <row r="2920">
          <cell r="G2920">
            <v>5686854</v>
          </cell>
        </row>
        <row r="2922">
          <cell r="G2922" t="str">
            <v>didn't realise my notes below before I popped in, was near another... but 1 parasol arrived broken, sending a note tk stavi for replacement. deb is at home so no chat. but these guys are stuck in their way and stout what do well here</v>
          </cell>
        </row>
        <row r="2924">
          <cell r="G2924" t="str">
            <v>sending glasses - Coasters -parasols</v>
          </cell>
        </row>
        <row r="2926">
          <cell r="G2926" t="str">
            <v>doing a refurb outside for summer</v>
          </cell>
        </row>
        <row r="2928">
          <cell r="G2928" t="str">
            <v>Mr Mrs Sam and deborah mcallan</v>
          </cell>
        </row>
        <row r="2929">
          <cell r="G2929" t="str">
            <v>owned for 20+ years</v>
          </cell>
        </row>
        <row r="2930">
          <cell r="G2930">
            <v>7557809709</v>
          </cell>
        </row>
        <row r="2933">
          <cell r="G2933" t="str">
            <v>straight up said no room for new explore and camden stout simply wouldn't sell here but requesting parasols and activation to help Stella sales (madri replaced pravah and is taking Stella sales -10%ly)</v>
          </cell>
        </row>
        <row r="2934">
          <cell r="G2934" t="str">
            <v>taking on hells for the euros</v>
          </cell>
        </row>
        <row r="2935">
          <cell r="G2935" t="str">
            <v>perhaps pale</v>
          </cell>
        </row>
        <row r="2936">
          <cell r="G2936" t="str">
            <v>call Monday.</v>
          </cell>
        </row>
        <row r="2937">
          <cell r="G2937" t="str">
            <v>Camden England or home team games free pint- mid June to August</v>
          </cell>
        </row>
        <row r="2941">
          <cell r="G2941" t="str">
            <v>Glenn LL - had this for 6 months</v>
          </cell>
        </row>
        <row r="2942">
          <cell r="G2942" t="str">
            <v>cruzcampo churned Stella</v>
          </cell>
        </row>
        <row r="2943">
          <cell r="G2943" t="str">
            <v>rona still in fridge</v>
          </cell>
        </row>
        <row r="2945">
          <cell r="G2945" t="str">
            <v>campo likely coming back off- just not doing so well</v>
          </cell>
        </row>
        <row r="2946">
          <cell r="G2946" t="str">
            <v>Jessica  manager</v>
          </cell>
        </row>
        <row r="2947">
          <cell r="G2947">
            <v>7308238310</v>
          </cell>
        </row>
        <row r="2948">
          <cell r="G2948" t="str">
            <v>she makes beer desicions-</v>
          </cell>
        </row>
        <row r="2950">
          <cell r="G2950" t="str">
            <v>Glenn owns many pubs (12) almost all leased under different rtm</v>
          </cell>
        </row>
        <row r="2951">
          <cell r="G2951" t="str">
            <v xml:space="preserve">    Paul mngr down the road at the maisons (gk) is his business partners husband- told to go see him and book with manager jess</v>
          </cell>
        </row>
        <row r="2958">
          <cell r="G2958" t="str">
            <v>foundry inns pulling out and Gk wanting pub back - no brand changes - likely taking 6 bells through admiral</v>
          </cell>
        </row>
        <row r="2959">
          <cell r="G2959" t="str">
            <v>left samps for all camden. ops for hells ipo moretti fu</v>
          </cell>
        </row>
        <row r="2960">
          <cell r="G2960" t="str">
            <v>th said low stout vol. 1 keg of guin a week and 1 keg of camden every 2 weeks</v>
          </cell>
        </row>
        <row r="2961">
          <cell r="G2961" t="str">
            <v>- Stella #1</v>
          </cell>
        </row>
        <row r="2963">
          <cell r="G2963" t="str">
            <v>asked for bits and bobs for pos support, sending</v>
          </cell>
        </row>
        <row r="2965">
          <cell r="G2965" t="str">
            <v>had the place since 8 momths, been in pubs for 18 years, camden on since Xmas and happy</v>
          </cell>
        </row>
        <row r="2966">
          <cell r="G2966" t="str">
            <v>d is jays wife</v>
          </cell>
        </row>
        <row r="2967">
          <cell r="G2967" t="str">
            <v>left camden samples</v>
          </cell>
        </row>
        <row r="2968">
          <cell r="G2968" t="str">
            <v>she said she's not behind the bar usually but campo and madri are top sellers. took some sales and moved morèti to #3</v>
          </cell>
        </row>
        <row r="2969">
          <cell r="G2969" t="str">
            <v>fosters is slow but nice to keep an entry beer on</v>
          </cell>
        </row>
        <row r="2973">
          <cell r="G2973" t="str">
            <v>Met leaseholder Jay. Got Smart Dispense but wants it taking out. High Street pub, biggest volume in the area.</v>
          </cell>
        </row>
        <row r="2975">
          <cell r="G2975" t="str">
            <v>Keep in touch as Hells and Pale would be perfect here.</v>
          </cell>
        </row>
        <row r="2976">
          <cell r="G2976" t="str">
            <v>tender passing email... sounds promising she had their schedules in front of her</v>
          </cell>
        </row>
        <row r="2978">
          <cell r="G2978" t="str">
            <v>Stella on nice food menu and large space.</v>
          </cell>
        </row>
        <row r="2979">
          <cell r="G2979" t="str">
            <v>left Stout at last call... no go scared to revert from guinnes</v>
          </cell>
        </row>
        <row r="2981">
          <cell r="G2981" t="str">
            <v>note to send unfiltered samps when gk lists. interest there.</v>
          </cell>
        </row>
        <row r="2983">
          <cell r="G2983" t="str">
            <v>Stella probably top volume of all brands</v>
          </cell>
        </row>
        <row r="2984">
          <cell r="G2984" t="str">
            <v>since Jan 2023</v>
          </cell>
        </row>
        <row r="2986">
          <cell r="G2986" t="str">
            <v>requesting mobile sampling bar for camden hells (not doing the best)</v>
          </cell>
        </row>
        <row r="2988">
          <cell r="G2988" t="str">
            <v>request budweiser bucket hats (only have 50)</v>
          </cell>
        </row>
        <row r="2990">
          <cell r="G2990" t="str">
            <v>Stella and camden tap handle upgrade request(can't create job site not in jl- best days are Charlie 07852881761- any day but thirsday- after 930)</v>
          </cell>
        </row>
        <row r="2992">
          <cell r="G2992" t="str">
            <v>requesting 10 parasols (told them I'd send for approval but would expect an instal pr two)</v>
          </cell>
        </row>
        <row r="2994">
          <cell r="G2994" t="str">
            <v>shot down pale S neckoil does them well and they have to have icebreaker</v>
          </cell>
        </row>
        <row r="2995">
          <cell r="G2995" t="str">
            <v>TV free on what offer?</v>
          </cell>
        </row>
        <row r="2996">
          <cell r="G2996" t="str">
            <v>Stella 20 and 10 and coast and runner</v>
          </cell>
        </row>
        <row r="2997">
          <cell r="G2997" t="str">
            <v>out of budget</v>
          </cell>
        </row>
        <row r="2998">
          <cell r="G2998" t="str">
            <v>Crawford is LL- in back but to busy to come up</v>
          </cell>
        </row>
        <row r="2999">
          <cell r="G2999" t="str">
            <v>left card - reminder to call for apt</v>
          </cell>
        </row>
        <row r="3000">
          <cell r="G3000" t="str">
            <v>met Jay and both his rms hannah and becky</v>
          </cell>
        </row>
        <row r="3001">
          <cell r="G3001" t="str">
            <v>had a great chat. where hosting a local mp interview- primising sight</v>
          </cell>
        </row>
        <row r="3002">
          <cell r="G3002" t="str">
            <v>wanting a reach out with what we are doing for euros and 6 parasols (loose agreed to pale ipo icebreaker- unsure yet with rm hannah)</v>
          </cell>
        </row>
        <row r="3003">
          <cell r="G3003" t="str">
            <v>left samps for camden range - they seem keen for the way they are turning the pub arouns</v>
          </cell>
        </row>
        <row r="3004">
          <cell r="G3004" t="str">
            <v>also owns five bells (gk) down the road</v>
          </cell>
        </row>
        <row r="3006">
          <cell r="G3006" t="str">
            <v>free of tie here, buys through gk tho</v>
          </cell>
        </row>
        <row r="3008">
          <cell r="G3008" t="str">
            <v>Thai restaurant- 30% wet sales.</v>
          </cell>
        </row>
        <row r="3009">
          <cell r="G3009" t="str">
            <v>hells on</v>
          </cell>
        </row>
        <row r="3010">
          <cell r="G3010" t="str">
            <v>wants pale ipo Flint eye in a few months (sales are dropping)- didn't target but he mentioned he only had it on for the incentive they had and also has 2 other gk brands on</v>
          </cell>
        </row>
        <row r="3012">
          <cell r="G3012" t="str">
            <v>stout might be an option ipo guinness.</v>
          </cell>
        </row>
        <row r="3013">
          <cell r="G3013" t="str">
            <v>send 5 camden shirts</v>
          </cell>
        </row>
        <row r="3015">
          <cell r="G3015" t="str">
            <v>wants mahou on bar... can free of tie do it</v>
          </cell>
        </row>
        <row r="3016">
          <cell r="G3016" t="str">
            <v>op glassware back in stock... 40£ though!!</v>
          </cell>
        </row>
        <row r="3017">
          <cell r="G3017" t="str">
            <v>checking on punk ipa delist for pale</v>
          </cell>
        </row>
        <row r="3018">
          <cell r="G3018" t="str">
            <v>are half pints available</v>
          </cell>
        </row>
        <row r="3022">
          <cell r="G3022" t="str">
            <v>dave</v>
          </cell>
        </row>
        <row r="3023">
          <cell r="G3023" t="str">
            <v>18 years LL</v>
          </cell>
        </row>
        <row r="3024">
          <cell r="G3024" t="str">
            <v>check in end of summer</v>
          </cell>
        </row>
        <row r="3025">
          <cell r="G3025">
            <v>7720061361</v>
          </cell>
        </row>
        <row r="3027">
          <cell r="G3027" t="str">
            <v>loads of guiness</v>
          </cell>
        </row>
        <row r="3029">
          <cell r="G3029" t="str">
            <v>punk ipa heading out and delisted... looking for a replacement in a couple months time</v>
          </cell>
        </row>
        <row r="3030">
          <cell r="G3030" t="str">
            <v>(?he over ordered punk to be stocked)</v>
          </cell>
        </row>
        <row r="3031">
          <cell r="G3031" t="str">
            <v>requests</v>
          </cell>
        </row>
        <row r="3032">
          <cell r="G3032" t="str">
            <v>op pints</v>
          </cell>
        </row>
        <row r="3033">
          <cell r="G3033" t="str">
            <v xml:space="preserve">leffe glasses </v>
          </cell>
        </row>
        <row r="3035">
          <cell r="G3035" t="str">
            <v>live and let live pub also owns - free</v>
          </cell>
        </row>
        <row r="3036">
          <cell r="G3036" t="str">
            <v>send budbepl kit... adding it back to fridge</v>
          </cell>
        </row>
        <row r="3037">
          <cell r="G3037" t="str">
            <v>remind him of camden data</v>
          </cell>
        </row>
        <row r="3038">
          <cell r="G3038" t="str">
            <v>won't do stout... does 3 kegs of guinny a week</v>
          </cell>
        </row>
        <row r="3039">
          <cell r="G3039" t="str">
            <v>pale sales well In cans... but not looking to upgrade much</v>
          </cell>
        </row>
        <row r="3040">
          <cell r="G3040" t="str">
            <v>- asked if we can send amy freebies for his wedding</v>
          </cell>
        </row>
        <row r="3045">
          <cell r="G3045" t="str">
            <v>spoke with Kelly bartender about entertainment  of the year award... music venue and food led pub.</v>
          </cell>
        </row>
        <row r="3047">
          <cell r="G3047" t="str">
            <v>samnewson@live.co.uk</v>
          </cell>
        </row>
        <row r="3050">
          <cell r="G3050" t="str">
            <v>corona in the fridge but not comfy talking beer aside from pricing... Sam not in, try again later</v>
          </cell>
        </row>
        <row r="3051">
          <cell r="G3051" t="str">
            <v>May 8th survey date- for unfiltered.</v>
          </cell>
        </row>
        <row r="3052">
          <cell r="G3052" t="str">
            <v>festival this weekend....</v>
          </cell>
        </row>
        <row r="3057">
          <cell r="G3057" t="str">
            <v>New fonts in</v>
          </cell>
        </row>
        <row r="3058">
          <cell r="G3058" t="str">
            <v>6 and cocktail quad</v>
          </cell>
        </row>
        <row r="3059">
          <cell r="G3059" t="str">
            <v>got updated number- sorting survey date</v>
          </cell>
        </row>
        <row r="3062">
          <cell r="G3062" t="str">
            <v>budweiser promo set on staci</v>
          </cell>
        </row>
        <row r="3064">
          <cell r="G3064" t="str">
            <v>May 11 bar ready for pouring  ... trio</v>
          </cell>
        </row>
        <row r="3066">
          <cell r="G3066" t="str">
            <v xml:space="preserve">huk taking tbar off and removing to fonts of 19th April </v>
          </cell>
        </row>
        <row r="3068">
          <cell r="G3068" t="str">
            <v>magners leaving</v>
          </cell>
        </row>
        <row r="3069">
          <cell r="G3069" t="str">
            <v>madri inches moreti Brixton guinness fonts</v>
          </cell>
        </row>
        <row r="3071">
          <cell r="G3071" t="str">
            <v>Stella down the road but wait till camden trip done</v>
          </cell>
        </row>
        <row r="3073">
          <cell r="G3073" t="str">
            <v>check on tnt 50% options before install</v>
          </cell>
        </row>
        <row r="3074">
          <cell r="G3074" t="str">
            <v>New fonts in</v>
          </cell>
        </row>
        <row r="3075">
          <cell r="G3075" t="str">
            <v>6 and cocktail quad</v>
          </cell>
        </row>
        <row r="3076">
          <cell r="G3076" t="str">
            <v>got updated number- sorting survey date</v>
          </cell>
        </row>
        <row r="3079">
          <cell r="G3079" t="str">
            <v>budweiser promo set on staci</v>
          </cell>
        </row>
        <row r="3081">
          <cell r="G3081" t="str">
            <v>May 11 bar ready for pouring  ... trio</v>
          </cell>
        </row>
        <row r="3083">
          <cell r="G3083" t="str">
            <v xml:space="preserve">huk taking tbar off and removing to fonts of 19th April </v>
          </cell>
        </row>
        <row r="3085">
          <cell r="G3085" t="str">
            <v>magners leaving</v>
          </cell>
        </row>
        <row r="3086">
          <cell r="G3086" t="str">
            <v>madri inches moreti Brixton guinness fonts</v>
          </cell>
        </row>
        <row r="3088">
          <cell r="G3088" t="str">
            <v>Stella down the road but wait till camden trip done</v>
          </cell>
        </row>
        <row r="3090">
          <cell r="G3090" t="str">
            <v>check on tnt 50% options before install</v>
          </cell>
        </row>
        <row r="3091">
          <cell r="G3091" t="str">
            <v>New refurb through gk. ops galore . sending paul another not.. not in</v>
          </cell>
        </row>
        <row r="3094">
          <cell r="G3094" t="str">
            <v>Paul is manager</v>
          </cell>
        </row>
        <row r="3095">
          <cell r="G3095" t="str">
            <v>doing refurbishment in march- designer came in already for Rehaul esteticLly</v>
          </cell>
        </row>
        <row r="3097">
          <cell r="G3097" t="str">
            <v>late Feb reminder to check in for a proper meeting (calling Monday when LL is in for a meeting)</v>
          </cell>
        </row>
        <row r="3099">
          <cell r="G3099" t="str">
            <v>20 taps and 9 of them are duplicates- 3 casks</v>
          </cell>
        </row>
        <row r="3100">
          <cell r="G3100" t="str">
            <v>just missed michael- typical in weekdays, didn't respond to last email. sending another</v>
          </cell>
        </row>
        <row r="3103">
          <cell r="G3103" t="str">
            <v>spoke with phillipa- immediately noted she doesn't want to talk to me</v>
          </cell>
        </row>
        <row r="3104">
          <cell r="G3104" t="str">
            <v>but did give me the landlords name and email</v>
          </cell>
        </row>
        <row r="3105">
          <cell r="G3105" t="str">
            <v>he's in 5 days a week, next on Thursday.</v>
          </cell>
        </row>
        <row r="3106">
          <cell r="G3106" t="str">
            <v>Michael bond - qh@queenheadhethersett.co.uk</v>
          </cell>
        </row>
        <row r="3108">
          <cell r="G3108" t="str">
            <v>left samples Camden and emailed him about maybe tnt - no sky or anything</v>
          </cell>
        </row>
        <row r="3109">
          <cell r="G3109" t="str">
            <v>just one regular TV</v>
          </cell>
        </row>
        <row r="3110">
          <cell r="G3110" t="str">
            <v>had a good chat with Scott. but wanted pale and no longer listed</v>
          </cell>
        </row>
        <row r="3111">
          <cell r="G3111" t="str">
            <v>ops for stout ipo pale but unsure... friends with river garden Thorpe ll. they copy each other on line up and if you're in on one... the other might suit.</v>
          </cell>
        </row>
        <row r="3116">
          <cell r="G3116" t="str">
            <v>nicky was painting house, still very kind and keen to chat</v>
          </cell>
        </row>
        <row r="3117">
          <cell r="G3117" t="str">
            <v>Brixton lager swapped for pale- been a week - thought to change to Camden (only if pale isn't well - reminder to check in a 3 weeks time)</v>
          </cell>
        </row>
        <row r="3118">
          <cell r="G3118" t="str">
            <v>- he closed during covid, sold, and bought it back in September.</v>
          </cell>
        </row>
        <row r="3119">
          <cell r="G3119" t="str">
            <v>not keen on Heineken 0, left corona cero</v>
          </cell>
        </row>
        <row r="3121">
          <cell r="G3121" t="str">
            <v>scott- 07738220417</v>
          </cell>
        </row>
        <row r="3122">
          <cell r="G3122" t="str">
            <v>nicky is his wife</v>
          </cell>
        </row>
        <row r="3123">
          <cell r="G3123" t="str">
            <v>Mark Neild is the new RM</v>
          </cell>
        </row>
        <row r="3124">
          <cell r="G3124" t="str">
            <v>- REMINDER in mid March to check on Brixton swap</v>
          </cell>
        </row>
        <row r="3130">
          <cell r="G3130" t="str">
            <v>Met Nicky the tenant, only been in since Sept. Stella sells the best at 5.00, thinking about taking Brixton off as not selling and charging 6.20 a pint. Left samples of stout, will back next week.</v>
          </cell>
        </row>
        <row r="3131">
          <cell r="G3131" t="str">
            <v>san mig ops for pale</v>
          </cell>
        </row>
        <row r="3132">
          <cell r="G3132" t="str">
            <v>leverage parasols- check back in</v>
          </cell>
        </row>
        <row r="3133">
          <cell r="G3133" t="str">
            <v>4 barrels a week of madri and fosters</v>
          </cell>
        </row>
        <row r="3134">
          <cell r="G3134" t="str">
            <v>Stella #3</v>
          </cell>
        </row>
        <row r="3135">
          <cell r="G3135" t="str">
            <v>Guinness booming</v>
          </cell>
        </row>
        <row r="3136">
          <cell r="G3136" t="str">
            <v>light peek at leffe talk with food menu</v>
          </cell>
        </row>
        <row r="3137">
          <cell r="G3137" t="str">
            <v>nightmare of an op install</v>
          </cell>
        </row>
        <row r="3138">
          <cell r="G3138" t="str">
            <v>keg put of stock</v>
          </cell>
        </row>
        <row r="3139">
          <cell r="G3139" t="str">
            <v>when came in stock, it was a faulty keg, tech came put and poured out half the barrel and 10 pints of strongbow and emptied a keg of 60/40</v>
          </cell>
        </row>
        <row r="3140">
          <cell r="G3140" t="str">
            <v>feels he is owed more than just a keg given the other loss... also has to have huk come put to check their beers as all now are flat</v>
          </cell>
        </row>
        <row r="3145">
          <cell r="G3145" t="str">
            <v>Jason LL 07939114447</v>
          </cell>
        </row>
        <row r="3147">
          <cell r="G3147" t="str">
            <v>has had pub 3 years</v>
          </cell>
        </row>
        <row r="3149">
          <cell r="G3149" t="str">
            <v>swapped moretti for Madrid and its just not doing great but apprehensive to take it off</v>
          </cell>
        </row>
        <row r="3151">
          <cell r="G3151" t="str">
            <v>strongnowDF is a dumby font and thinking about putting on pale- if he likes,  he'll talk to mick his RM and will do a survey for a font.... maybe even hells dual font... noted ill call friday and see how it is for him (tnt and six nations offers excited him toward this)</v>
          </cell>
        </row>
        <row r="3152">
          <cell r="G3152" t="str">
            <v>bartender called Sam and she's off today. ringing layer for a visit</v>
          </cell>
        </row>
        <row r="3154">
          <cell r="G3154" t="str">
            <v>Stella top seller... area could be good ops for camden but it's a pub tucketed in the corner.. could go either way but didn't go in, had a chat outside with bartender</v>
          </cell>
        </row>
        <row r="3155">
          <cell r="G3155" t="str">
            <v>check in with no phone answer for survey</v>
          </cell>
        </row>
        <row r="3157">
          <cell r="G3157" t="str">
            <v>6 parasols and stella light. request... let him know I have to send for approval - can do if he takes the trio his son agreed to last week... dodged calls because they'd have to charge 6.5 a pint. pale is best ops... not to reach out when stout pricing goes down (frazer confirmed)</v>
          </cell>
        </row>
        <row r="3159">
          <cell r="G3159" t="str">
            <v>send 2 bud parasols now?</v>
          </cell>
        </row>
        <row r="3162">
          <cell r="G3162" t="str">
            <v>met Connor the son... survey set for trio</v>
          </cell>
        </row>
        <row r="3163">
          <cell r="G3163" t="str">
            <v>waiting on price increase for tbar changes. wants to stay at 5 a pint... Camden won't make it but pale is an op if we can get him over the edge</v>
          </cell>
        </row>
        <row r="3164">
          <cell r="G3164" t="str">
            <v>just won pub of the year and resigning 5 year lease</v>
          </cell>
        </row>
        <row r="3168">
          <cell r="G3168" t="str">
            <v>doesn't think the cellar boy is settling properly</v>
          </cell>
        </row>
        <row r="3169">
          <cell r="G3169" t="str">
            <v>something at an angle and filling with air-</v>
          </cell>
        </row>
        <row r="3170">
          <cell r="G3170" t="str">
            <v>high losage</v>
          </cell>
        </row>
        <row r="3171">
          <cell r="G3171">
            <v>7880</v>
          </cell>
        </row>
        <row r="3175">
          <cell r="G3175" t="str">
            <v>Mat Daz, detests Stonegate</v>
          </cell>
        </row>
        <row r="3177">
          <cell r="G3177" t="str">
            <v>doesn’t want to breach the £5 barrier on draught</v>
          </cell>
        </row>
        <row r="3179">
          <cell r="G3179" t="str">
            <v>stella sells well, getting hopical storm due to TT funding cask marque</v>
          </cell>
        </row>
        <row r="3181">
          <cell r="G3181" t="str">
            <v>left samples of PA to swap for Sharps, explorer Hells but stocked in SG managed so not keen</v>
          </cell>
        </row>
        <row r="3182">
          <cell r="G3182" t="str">
            <v>dit with jake. daughter confirmed she be there but wasn't. jake taught no ops anyways. sent text if she needs any support with Stella</v>
          </cell>
        </row>
        <row r="3186">
          <cell r="G3186" t="str">
            <v>Caroline LL</v>
          </cell>
        </row>
        <row r="3187">
          <cell r="G3187" t="str">
            <v>fans of stand alone fonts- mention camden post box</v>
          </cell>
        </row>
        <row r="3189">
          <cell r="G3189">
            <v>746231166</v>
          </cell>
        </row>
        <row r="3190">
          <cell r="G3190" t="str">
            <v>Wednesday  better day</v>
          </cell>
        </row>
        <row r="3191">
          <cell r="G3191" t="str">
            <v>taking a bath- schedule to come visit on a wednesday</v>
          </cell>
        </row>
        <row r="3192">
          <cell r="G3192" t="str">
            <v>dit with jake.</v>
          </cell>
        </row>
        <row r="3193">
          <cell r="G3193" t="str">
            <v>ops for hells ipo sam mig. email ros data/free keg? and stout.</v>
          </cell>
        </row>
        <row r="3194">
          <cell r="G3194" t="str">
            <v>wait to see how free of tie is doing outside in summer opening. leverage two more parasols</v>
          </cell>
        </row>
        <row r="3200">
          <cell r="G3200" t="str">
            <v>Meeting with Matt this morning to discuss Camden Pale. Agreed to install IPO BrewDog IPA.</v>
          </cell>
        </row>
        <row r="3203">
          <cell r="G3203" t="str">
            <v>Met AM Ben, nice lad. GM is Matt, back next Monday. Leaseholder is Chris.</v>
          </cell>
        </row>
        <row r="3205">
          <cell r="G3205" t="str">
            <v>Chris has had the place 16 years. High Street pub, high footfall. Moretti and Fosters best sellers.</v>
          </cell>
        </row>
        <row r="3207">
          <cell r="G3207" t="str">
            <v>Punk IPA worst seller, target for Camden Pale. Passed off with Madri for not sending POS, could leave door open for Hells too.</v>
          </cell>
        </row>
        <row r="3209">
          <cell r="G3209" t="str">
            <v>theship@gidea-park.co.uk</v>
          </cell>
        </row>
        <row r="3210">
          <cell r="G3210" t="str">
            <v>dit with jake... agreed pale prior but reverted and learned it also won't work their anyhow</v>
          </cell>
        </row>
        <row r="3215">
          <cell r="G3215" t="str">
            <v>all beer are on stand alone fonts</v>
          </cell>
        </row>
        <row r="3217">
          <cell r="G3217">
            <v>7957958099</v>
          </cell>
        </row>
        <row r="3218">
          <cell r="G3218" t="str">
            <v>Michael ll</v>
          </cell>
        </row>
        <row r="3219">
          <cell r="G3219" t="str">
            <v>sending loads of pos- he keeps getting told no when asking for it?</v>
          </cell>
        </row>
        <row r="3221">
          <cell r="G3221" t="str">
            <v>sent pale samples to target joh.smiths... says its the older clientel and would like to reach younger more craft</v>
          </cell>
        </row>
        <row r="3222">
          <cell r="G3222" t="str">
            <v>Stella number 4 volume. send Shawn a note for support?</v>
          </cell>
        </row>
        <row r="3223">
          <cell r="G3223" t="str">
            <v>Lawrence curious about unfiltered but aware he can't do both Stella and unfiltered wouldn't do well where he is. gave him a sample any how. carslberg cheapest option. is best sales . little ops</v>
          </cell>
        </row>
        <row r="3226">
          <cell r="G3226" t="str">
            <v>cruzcampo 4.90</v>
          </cell>
        </row>
        <row r="3227">
          <cell r="G3227" t="str">
            <v xml:space="preserve"> half barrel- desperately wants to swap it but it's on cost!</v>
          </cell>
        </row>
        <row r="3228">
          <cell r="G3228" t="str">
            <v>Camden- corona ? too premium?</v>
          </cell>
        </row>
        <row r="3229">
          <cell r="G3229" t="str">
            <v>magners not doing so well- how to support?</v>
          </cell>
        </row>
        <row r="3230">
          <cell r="G3230" t="str">
            <v>neck oil 5.30</v>
          </cell>
        </row>
        <row r="3232">
          <cell r="G3232" t="str">
            <v>Shawn lease holder-07488272883</v>
          </cell>
        </row>
        <row r="3233">
          <cell r="G3233" t="str">
            <v>Says that the Stella glassware never delivered on Friday.So I checked with stacey , but this is the second time he said this and they where. last time he told me to send 2 cases a month and wouldn't talk to me further... shewed me out the door again today... ouch</v>
          </cell>
        </row>
        <row r="3238">
          <cell r="G3238" t="str">
            <v>Paul is LL</v>
          </cell>
        </row>
        <row r="3240">
          <cell r="G3240" t="str">
            <v>came to say hi but acted very busy 'right at opening?</v>
          </cell>
        </row>
        <row r="3241">
          <cell r="G3241" t="str">
            <v>"all I need from you"</v>
          </cell>
        </row>
        <row r="3242">
          <cell r="G3242" t="str">
            <v>wouldn't say hi properly or share names just wanted glassware auto shipped once a month and then stood up... awkward and speedy but tip toe around Rude?</v>
          </cell>
        </row>
        <row r="3243">
          <cell r="G3243" t="str">
            <v>Met Nigel</v>
          </cell>
        </row>
        <row r="3245">
          <cell r="G3245" t="str">
            <v>Runs a proper traditional boozer</v>
          </cell>
        </row>
        <row r="3247">
          <cell r="G3247" t="str">
            <v>Tier 2 due to prime location in Fitzrovia</v>
          </cell>
        </row>
        <row r="3249">
          <cell r="G3249" t="str">
            <v>99% draught volume, small amount of bottles and spirits</v>
          </cell>
        </row>
        <row r="3251">
          <cell r="G3251" t="str">
            <v>Stella on to stay, does really well</v>
          </cell>
        </row>
        <row r="3253">
          <cell r="G3253" t="str">
            <v>POS, glassware and t shirts sent</v>
          </cell>
        </row>
        <row r="3256">
          <cell r="G3256" t="str">
            <v>HATES craft beer</v>
          </cell>
        </row>
        <row r="3258">
          <cell r="G3258" t="str">
            <v>Wouldn’t entertain convo on Camden, hells would sell but he’s not interested</v>
          </cell>
        </row>
        <row r="3259">
          <cell r="G3259" t="str">
            <v>dit</v>
          </cell>
        </row>
        <row r="3262">
          <cell r="G3262" t="str">
            <v>Met Phillips right hand woman, ops manager for four sites</v>
          </cell>
        </row>
        <row r="3264">
          <cell r="G3264" t="str">
            <v>Possibly taking on all about eve</v>
          </cell>
        </row>
        <row r="3267">
          <cell r="G3267" t="str">
            <v>Hells definitely staying on as strong seller</v>
          </cell>
        </row>
        <row r="3270">
          <cell r="G3270" t="str">
            <v>Aim to get into hope Fitzrovia’s too</v>
          </cell>
        </row>
        <row r="3273">
          <cell r="G3273" t="str">
            <v>Met Phillip</v>
          </cell>
        </row>
        <row r="3275">
          <cell r="G3275" t="str">
            <v>Multiple operator</v>
          </cell>
        </row>
        <row r="3277">
          <cell r="G3277" t="str">
            <v>4 sites - may take on all about eve</v>
          </cell>
        </row>
        <row r="3278">
          <cell r="G3278" t="str">
            <v>Wants a package for his bass sites but seems pretty unlikely but will ask</v>
          </cell>
        </row>
        <row r="3281">
          <cell r="G3281" t="str">
            <v>New leaseholder Phillip</v>
          </cell>
        </row>
        <row r="3284">
          <cell r="G3284" t="str">
            <v>Reraise - Camden pale now pouring!</v>
          </cell>
        </row>
        <row r="3286">
          <cell r="G3286" t="str">
            <v>Stout seed Yas been sewn</v>
          </cell>
        </row>
        <row r="3288">
          <cell r="G3288" t="str">
            <v>Phillip is Irish so will be a tough job convincing him</v>
          </cell>
        </row>
        <row r="3290">
          <cell r="G3290" t="str">
            <v>Coors taking over as PB, HUK have dropped ball</v>
          </cell>
        </row>
        <row r="3293">
          <cell r="G3293" t="str">
            <v>Finally got in front of Michael who has agreed to take on Camden pale IPO punk ipa</v>
          </cell>
        </row>
        <row r="3296">
          <cell r="G3296" t="str">
            <v>Would be interested in stout and off menu if/when stocked</v>
          </cell>
        </row>
        <row r="3298">
          <cell r="G3298" t="str">
            <v>Madri has replaced Asahi</v>
          </cell>
        </row>
        <row r="3300">
          <cell r="G3300" t="str">
            <v>Becks has come out for freedom</v>
          </cell>
        </row>
        <row r="3301">
          <cell r="G3301" t="str">
            <v>dit</v>
          </cell>
        </row>
        <row r="3305">
          <cell r="G3305" t="str">
            <v>Olly @FR GROUP</v>
          </cell>
        </row>
        <row r="3309">
          <cell r="G3309" t="str">
            <v>Glassware sent book in with Olly for NY</v>
          </cell>
        </row>
        <row r="3311">
          <cell r="G3311" t="str">
            <v>Site buzzing with POS</v>
          </cell>
        </row>
        <row r="3313">
          <cell r="G3313" t="str">
            <v>get in front of Olly - Pale IPO meantime !</v>
          </cell>
        </row>
        <row r="3314">
          <cell r="G3314" t="str">
            <v>POS and glassware ordered</v>
          </cell>
        </row>
        <row r="3316">
          <cell r="G3316" t="str">
            <v>Olly is contact</v>
          </cell>
        </row>
        <row r="3318">
          <cell r="G3318" t="str">
            <v>Look to pale IPO MEANTIME</v>
          </cell>
        </row>
        <row r="3321">
          <cell r="G3321" t="str">
            <v>FR group</v>
          </cell>
        </row>
        <row r="3323">
          <cell r="G3323" t="str">
            <v>Olly is contact</v>
          </cell>
        </row>
        <row r="3325">
          <cell r="G3325" t="str">
            <v>Spoke to George, glassware needed</v>
          </cell>
        </row>
        <row r="3327">
          <cell r="G3327" t="str">
            <v>Hells still flying, ideally want pale in for meantime but need to chat to olly</v>
          </cell>
        </row>
        <row r="3328">
          <cell r="G3328" t="str">
            <v>They are swapping out sand Miguel, fosters, Carling and strongbow and Stella. Just got on so theoretically, there is Ops - lots of cask... pale ops</v>
          </cell>
        </row>
        <row r="3329">
          <cell r="G3329" t="str">
            <v>Stella doing much better</v>
          </cell>
        </row>
        <row r="3330">
          <cell r="G3330" t="str">
            <v>taking pravah sales... thinks she has too many lagers... go for pale?</v>
          </cell>
        </row>
        <row r="3331">
          <cell r="G3331" t="str">
            <v>devin lives on site but 5pm is typical</v>
          </cell>
        </row>
        <row r="3335">
          <cell r="G3335" t="str">
            <v xml:space="preserve"> open but potentially one for hells</v>
          </cell>
        </row>
        <row r="3338">
          <cell r="G3338" t="str">
            <v>Stella pouring</v>
          </cell>
        </row>
        <row r="3340">
          <cell r="G3340" t="str">
            <v>Met hols</v>
          </cell>
        </row>
        <row r="3342">
          <cell r="G3342" t="str">
            <v>Performing well</v>
          </cell>
        </row>
        <row r="3344">
          <cell r="G3344" t="str">
            <v>Peroni as a potential target</v>
          </cell>
        </row>
        <row r="3345">
          <cell r="G3345" t="str">
            <v>peroni most costly and doing ..okay ops?</v>
          </cell>
        </row>
        <row r="3346">
          <cell r="G3346" t="str">
            <v>Stella top volume, under san mig</v>
          </cell>
        </row>
        <row r="3347">
          <cell r="G3347" t="str">
            <v>dan not in</v>
          </cell>
        </row>
        <row r="3348">
          <cell r="G3348" t="str">
            <v>hard and awckward to get him to chat. push a bit.</v>
          </cell>
        </row>
        <row r="3349">
          <cell r="G3349" t="str">
            <v>just added juicy ipa... landlord of two years... has bt sports, now aware of our deal with bt</v>
          </cell>
        </row>
        <row r="3350">
          <cell r="G3350" t="str">
            <v>prodominitly ale pub - pale camden ops next visit</v>
          </cell>
        </row>
        <row r="3351">
          <cell r="G3351" t="str">
            <v>Nice garden</v>
          </cell>
        </row>
        <row r="3352">
          <cell r="G3352" t="str">
            <v>Michelle's usually I'm Thursday and Friday</v>
          </cell>
        </row>
        <row r="3357">
          <cell r="G3357" t="str">
            <v>Michelle in mist days but missed her</v>
          </cell>
        </row>
        <row r="3358">
          <cell r="G3358" t="str">
            <v>has quiz night and mostly affluent retired people</v>
          </cell>
        </row>
        <row r="3359">
          <cell r="G3359" t="str">
            <v>carling doing poor- possible swap for hells</v>
          </cell>
        </row>
        <row r="3360">
          <cell r="G3360" t="str">
            <v>not much of a talker at the bar, no contact info.. told to go to Facebook</v>
          </cell>
        </row>
        <row r="3367">
          <cell r="G3367" t="str">
            <v>good chat w Michelle</v>
          </cell>
        </row>
        <row r="3369">
          <cell r="G3369" t="str">
            <v>40+ drinkers, corona not really caught on, price point being main issue</v>
          </cell>
        </row>
        <row r="3370">
          <cell r="G3370" t="str">
            <v>pale doing okay, new craft place opening next door closes at 10 so want an option</v>
          </cell>
        </row>
        <row r="3372">
          <cell r="G3372" t="str">
            <v>see how corona does during world cup, look at activations</v>
          </cell>
        </row>
        <row r="3373">
          <cell r="G3373" t="str">
            <v>one to keep.supprted</v>
          </cell>
        </row>
        <row r="3375">
          <cell r="G3375" t="str">
            <v>the regular hardcore are all kron drinkers, michelle has tried to get off, no chance</v>
          </cell>
        </row>
        <row r="3376">
          <cell r="G3376" t="str">
            <v>TR - DIT with Israel</v>
          </cell>
        </row>
        <row r="3378">
          <cell r="G3378" t="str">
            <v>Stella top pourer</v>
          </cell>
        </row>
        <row r="3379">
          <cell r="G3379" t="str">
            <v>Bud doing okay ish</v>
          </cell>
        </row>
        <row r="3380">
          <cell r="G3380" t="str">
            <v>Sandra and Martin are lease holders</v>
          </cell>
        </row>
        <row r="3381">
          <cell r="G3381" t="str">
            <v>pub phone 01279730351</v>
          </cell>
        </row>
        <row r="3382">
          <cell r="G3382" t="str">
            <v>Heineken replaced coors</v>
          </cell>
        </row>
        <row r="3383">
          <cell r="G3383" t="str">
            <v>sending both Stella glasses</v>
          </cell>
        </row>
        <row r="3384">
          <cell r="G3384" t="str">
            <v>Charlotte bartender at the time</v>
          </cell>
        </row>
        <row r="3388">
          <cell r="G3388" t="str">
            <v>Met leaseholder, top bloke. Stella best seller, Bud 2nd. Cruzcampo just come in for Fosters.</v>
          </cell>
        </row>
        <row r="3390">
          <cell r="G3390" t="str">
            <v>Coors worst performing, ask Amdy for pricing for Corona and Camden brands. If financially feasible, could be an option.</v>
          </cell>
        </row>
        <row r="3391">
          <cell r="G3391" t="str">
            <v>call Richard tomorrow</v>
          </cell>
        </row>
        <row r="3392">
          <cell r="G3392" t="str">
            <v>becks doing better now, just went through a lul</v>
          </cell>
        </row>
        <row r="3397">
          <cell r="G3397" t="str">
            <v>spoke with bartender Sally, Richard in Thailand till late march. swap asahi for cruzcampo</v>
          </cell>
        </row>
        <row r="3398">
          <cell r="G3398" t="str">
            <v>becks doing pour but "will never remove due to customer wanting"</v>
          </cell>
        </row>
        <row r="3399">
          <cell r="G3399" t="str">
            <v>send Stella bar mat, and half pints</v>
          </cell>
        </row>
        <row r="3400">
          <cell r="G3400" t="str">
            <v>mentioned tnt and a craft option. left card</v>
          </cell>
        </row>
        <row r="3406">
          <cell r="G3406" t="str">
            <v>Richard in bed, chatted tk Chrissy. Very mixed crowd in here, decent amount of young people. Affluent area. Best seller Moretti, Stella 2nd. Asahi most expensive at £6.30, been in here 7 months, target for Hells. Call landlines after 4pm to catch Richard.</v>
          </cell>
        </row>
        <row r="3409">
          <cell r="G3409" t="str">
            <v>stella top seller, fosters</v>
          </cell>
        </row>
        <row r="3410">
          <cell r="G3410" t="str">
            <v>coors does well - all v price lead</v>
          </cell>
        </row>
        <row r="3412">
          <cell r="G3412" t="str">
            <v>stella glasses pints + halves, send some becks</v>
          </cell>
        </row>
        <row r="3414">
          <cell r="G3414" t="str">
            <v>moretti does alright, does seem stella as prem as it gets</v>
          </cell>
        </row>
        <row r="3415">
          <cell r="G3415" t="str">
            <v>older crowd, don't attract the kids 'thank god'</v>
          </cell>
        </row>
        <row r="3416">
          <cell r="G3416" t="str">
            <v>call/text richard let him know swung by</v>
          </cell>
        </row>
        <row r="3418">
          <cell r="G3418" t="str">
            <v>got kron and amstel too, could be woeth pitching hells to richard over phone</v>
          </cell>
        </row>
        <row r="3420">
          <cell r="G3420" t="str">
            <v>yvonne bar staff chatted to, richard not around</v>
          </cell>
        </row>
        <row r="3422">
          <cell r="G3422" t="str">
            <v>send stuff as the in then follow up</v>
          </cell>
        </row>
        <row r="3423">
          <cell r="G3423" t="str">
            <v>swapping strongbow with op - send request</v>
          </cell>
        </row>
        <row r="3424">
          <cell r="G3424" t="str">
            <v>ops for unfiltered</v>
          </cell>
        </row>
        <row r="3426">
          <cell r="G3426" t="str">
            <v>dropped samps- Orsett dog and partridge visited</v>
          </cell>
        </row>
        <row r="3427">
          <cell r="G3427" t="str">
            <v>out of trust budget</v>
          </cell>
        </row>
        <row r="3428">
          <cell r="G3428" t="str">
            <v>send epl</v>
          </cell>
        </row>
        <row r="3429">
          <cell r="G3429" t="str">
            <v>and stella nicknacks</v>
          </cell>
        </row>
        <row r="3430">
          <cell r="G3430" t="str">
            <v>send 2 stella badges</v>
          </cell>
        </row>
        <row r="3431">
          <cell r="G3431" t="str">
            <v>round or oval</v>
          </cell>
        </row>
        <row r="3432">
          <cell r="G3432" t="str">
            <v>Big on showing face and visiting the pub. "guiness is the only that cares about their products and show face once a momth"</v>
          </cell>
        </row>
        <row r="3437">
          <cell r="G3437" t="str">
            <v>Andrew LL</v>
          </cell>
        </row>
        <row r="3438">
          <cell r="G3438">
            <v>7397523439</v>
          </cell>
        </row>
        <row r="3440">
          <cell r="G3440" t="str">
            <v>he met me in my car and was ready to tell me to leave- but after learning who I was he talked to me about what's going on in town today and we are booking another day for me yo visit</v>
          </cell>
        </row>
        <row r="3442">
          <cell r="G3442" t="str">
            <v>all pubs in Harlow are closed for the day (gypsies funeral and all are worried about problems)</v>
          </cell>
        </row>
        <row r="3443">
          <cell r="G3443" t="str">
            <v>bud epl kit</v>
          </cell>
        </row>
        <row r="3444">
          <cell r="G3444" t="str">
            <v>Stella link</v>
          </cell>
        </row>
        <row r="3446">
          <cell r="G3446" t="str">
            <v>no ops - had for 15 months and line the same... all is doing them well (swapped js for inches only)</v>
          </cell>
        </row>
        <row r="3447">
          <cell r="G3447" t="str">
            <v>paula not in but manager asked for aid for charity nught hampers</v>
          </cell>
        </row>
        <row r="3450">
          <cell r="G3450" t="str">
            <v>met Paula (LL)- 07788481349</v>
          </cell>
        </row>
        <row r="3451">
          <cell r="G3451" t="str">
            <v>she's from Liverpool and has had this pub. 9 years</v>
          </cell>
        </row>
        <row r="3453">
          <cell r="G3453" t="str">
            <v>does quiz and karaoke</v>
          </cell>
        </row>
        <row r="3455">
          <cell r="G3455" t="str">
            <v>has tnt - asked if she can retroactively receive discount for the Stella that's on (CHARG3S 4.65 a pint)</v>
          </cell>
        </row>
        <row r="3457">
          <cell r="G3457" t="str">
            <v>guiness doesn't sell well but scared to take it off as 'people expect it in a pub 'good branding'"</v>
          </cell>
        </row>
        <row r="3459">
          <cell r="G3459" t="str">
            <v>coors might be an opportunity to target (left hells and pale)</v>
          </cell>
        </row>
        <row r="3461">
          <cell r="G3461" t="str">
            <v>removing strongbow for inches (only sells 8 pints of strongbow a week)</v>
          </cell>
        </row>
        <row r="3462">
          <cell r="G3462" t="str">
            <v>shona not in... bartender .mentioned camden not doing the best (fosters is) told her tl have shona send me a note if she needs some help</v>
          </cell>
        </row>
        <row r="3463">
          <cell r="G3463" t="str">
            <v>reverted on trio as if she didn't originally want all. Still gonna visit again happy with the install tho</v>
          </cell>
        </row>
        <row r="3466">
          <cell r="G3466" t="str">
            <v>amy... 07860352120 LL</v>
          </cell>
        </row>
        <row r="3468">
          <cell r="G3468" t="str">
            <v>installing hells next week</v>
          </cell>
        </row>
        <row r="3469">
          <cell r="G3469" t="str">
            <v>wants hells on post box and stout</v>
          </cell>
        </row>
        <row r="3472">
          <cell r="G3472" t="str">
            <v>Daniel is new bdm in place of phil- finding him to call</v>
          </cell>
        </row>
        <row r="3473">
          <cell r="G3473" t="str">
            <v>gk...not punch</v>
          </cell>
        </row>
        <row r="3475">
          <cell r="G3475" t="str">
            <v>met Connor the son... survey set for trio</v>
          </cell>
        </row>
        <row r="3476">
          <cell r="G3476" t="str">
            <v>put another local stout om since last visit... does want camden but rotational</v>
          </cell>
        </row>
        <row r="3477">
          <cell r="G3477" t="str">
            <v>bring hersey yuengling from home next visit for Mark</v>
          </cell>
        </row>
        <row r="3478">
          <cell r="G3478" t="str">
            <v>wants brewery tour on install</v>
          </cell>
        </row>
        <row r="3481">
          <cell r="G3481" t="str">
            <v>Gk</v>
          </cell>
        </row>
        <row r="3482">
          <cell r="G3482" t="str">
            <v>Stoutbsamp request -</v>
          </cell>
        </row>
        <row r="3483">
          <cell r="G3483" t="str">
            <v>Mark and Marlow (or collin)</v>
          </cell>
        </row>
        <row r="3484">
          <cell r="G3484" t="str">
            <v>Real ale pub</v>
          </cell>
        </row>
        <row r="3486">
          <cell r="G3486" t="str">
            <v>Award survey</v>
          </cell>
        </row>
        <row r="3487">
          <cell r="G3487" t="str">
            <v>text link to perf serve</v>
          </cell>
        </row>
        <row r="3488">
          <cell r="G3488" t="str">
            <v>send Bud epl kit</v>
          </cell>
        </row>
        <row r="3489">
          <cell r="G3489" t="str">
            <v>bar runners</v>
          </cell>
        </row>
        <row r="3491">
          <cell r="G3491" t="str">
            <v>met the LOVELY karen- happy to talk but very busy for lunch. sending an email and scheduling a better time</v>
          </cell>
        </row>
        <row r="3492">
          <cell r="G3492" t="str">
            <v>Terri 5 years leased</v>
          </cell>
        </row>
        <row r="3493">
          <cell r="G3493" t="str">
            <v>Stella kit sending him a link</v>
          </cell>
        </row>
        <row r="3494">
          <cell r="G3494" t="str">
            <v>sending Bud epl kit</v>
          </cell>
        </row>
        <row r="3495">
          <cell r="G3495" t="str">
            <v>left hells and pale samples (rona and stout won't happen) - ale likely... customers are asking for starpromen and pravah... but he's still researching what to do to replace neckoil that came out last week... mentions bt deal but 20£ didn't matter much to him</v>
          </cell>
        </row>
        <row r="3496">
          <cell r="G3496" t="str">
            <v>check back in next 2 weeks.</v>
          </cell>
        </row>
        <row r="3502">
          <cell r="G3502" t="str">
            <v>Met Tel again - choosing to go down madri route and thatchers</v>
          </cell>
        </row>
        <row r="3504">
          <cell r="G3504" t="str">
            <v>not keen to go down Corona route and going down the madri route</v>
          </cell>
        </row>
        <row r="3506">
          <cell r="G3506" t="str">
            <v>thinks fosters is semi premium</v>
          </cell>
        </row>
        <row r="3507">
          <cell r="G3507" t="str">
            <v>Steven bartender passed Geoffs cell#</v>
          </cell>
        </row>
        <row r="3509">
          <cell r="G3509" t="str">
            <v>cruzcamp just got on this month , replacing san mig. (two taps) and flying out the door... also have madri (maybe tackle). neckoil been on 5 months and really on selling on weekends to the younger crowd. Stella and guinnes are top sellers. moretti doing okay... fosters and carlsberg a cheaper option but fine sales.</v>
          </cell>
        </row>
        <row r="3510">
          <cell r="G3510" t="str">
            <v>had Camden 6 months ago... took the lease and didn't sell well.</v>
          </cell>
        </row>
        <row r="3512">
          <cell r="G3512" t="str">
            <v>has two tbars and requested branded tao handles</v>
          </cell>
        </row>
        <row r="3514">
          <cell r="G3514" t="str">
            <v>send Stella perf text</v>
          </cell>
        </row>
        <row r="3515">
          <cell r="G3515" t="str">
            <v>turned to hive 5 months ago</v>
          </cell>
        </row>
        <row r="3517">
          <cell r="G3517" t="str">
            <v>send Bud epl kit</v>
          </cell>
        </row>
        <row r="3518">
          <cell r="G3518" t="str">
            <v>sign up for perfect serve</v>
          </cell>
        </row>
        <row r="3520">
          <cell r="G3520" t="str">
            <v>Flint eye leaving but not sure what</v>
          </cell>
        </row>
        <row r="3521">
          <cell r="G3521" t="str">
            <v>customers have asked for fosters/carling(tho be doesn't want this for the pub)</v>
          </cell>
        </row>
        <row r="3522">
          <cell r="G3522" t="str">
            <v>mentioned camden and piped up on that</v>
          </cell>
        </row>
        <row r="3523">
          <cell r="G3523" t="str">
            <v>sending to proper rep</v>
          </cell>
        </row>
        <row r="3524">
          <cell r="G3524" t="str">
            <v>not welcoming or open to talk  landlady</v>
          </cell>
        </row>
        <row r="3525">
          <cell r="G3525" t="str">
            <v>doesn't want stella perf serve "local pub and doesn't want them sitting at tables???"</v>
          </cell>
        </row>
        <row r="3526">
          <cell r="G3526" t="str">
            <v>finally removing the delisted camden hells and pale from the post box font... moving the stout on it (off the tbar- keeping that a dummy to replace with stella... wants this installed but it's not om her ordering system anymore... calling g Mark nield her rm)</v>
          </cell>
        </row>
        <row r="3532">
          <cell r="G3532" t="str">
            <v>next Tuesday 07723336745</v>
          </cell>
        </row>
        <row r="3533">
          <cell r="G3533" t="str">
            <v>Chelsea went to America- spike with her sweet son (Patrick?)</v>
          </cell>
        </row>
        <row r="3534">
          <cell r="G3534" t="str">
            <v>hells and pale still on... but I thought it delisted in punch</v>
          </cell>
        </row>
        <row r="3535">
          <cell r="G3535" t="str">
            <v>maybe going through ooold beer. ops to replace font with stella and move stout on the post box</v>
          </cell>
        </row>
        <row r="3539">
          <cell r="G3539" t="str">
            <v>Chelsea is leaseholder, wasnt around so chatted to bar staff.</v>
          </cell>
        </row>
        <row r="3541">
          <cell r="G3541" t="str">
            <v>Mixed crowd, wet led. Quirky little place next to the train station. Hells and Pale in here and do well. Guinness best seller. Left Stout samples.</v>
          </cell>
        </row>
        <row r="3543">
          <cell r="G3543" t="str">
            <v>Chelsea interested, call tomorrow.</v>
          </cell>
        </row>
        <row r="3544">
          <cell r="G3544" t="str">
            <v>we requested stout instal with gk last week of Feb... now 2nd week April with no response. told Justin to give his rm a call and see if we get a response that way. also sorting brewery tickets for his head bartender... who basically sold the camden to him for me.</v>
          </cell>
        </row>
        <row r="3548">
          <cell r="G3548" t="str">
            <v>Justin LL</v>
          </cell>
        </row>
        <row r="3549">
          <cell r="G3549" t="str">
            <v>in for about 6 months - currently copartner with other landlords of 12 years that are on their way out</v>
          </cell>
        </row>
        <row r="3551">
          <cell r="G3551" t="str">
            <v>very nice, food led pub,  not much volume though</v>
          </cell>
        </row>
        <row r="3553">
          <cell r="G3553" t="str">
            <v>bartender Tom 07533089230</v>
          </cell>
        </row>
        <row r="3554">
          <cell r="G3554" t="str">
            <v>going to camden brewery for mates day - see if I can do anything</v>
          </cell>
        </row>
        <row r="3556">
          <cell r="G3556" t="str">
            <v>getting stout on ipo inches- testing with free keg as bonus - will replace guinnes after bar refit</v>
          </cell>
        </row>
        <row r="3558">
          <cell r="G3558" t="str">
            <v>check back in a few weeks and looking to do a post box survey.... possibly opening up 3 spots on the tbar.</v>
          </cell>
        </row>
        <row r="3559">
          <cell r="G3559" t="str">
            <v>budweiser promo set on staci</v>
          </cell>
        </row>
        <row r="3561">
          <cell r="G3561" t="str">
            <v>May 11 bar ready for pouring  ... trio</v>
          </cell>
        </row>
        <row r="3563">
          <cell r="G3563" t="str">
            <v xml:space="preserve">huk taking tbar off and removing to fonts of 19th April </v>
          </cell>
        </row>
        <row r="3565">
          <cell r="G3565" t="str">
            <v>magners leaving</v>
          </cell>
        </row>
        <row r="3566">
          <cell r="G3566" t="str">
            <v>madri inches moreti Brixton guinness fonts</v>
          </cell>
        </row>
        <row r="3568">
          <cell r="G3568" t="str">
            <v>Stella down the road but wait till camden trip done</v>
          </cell>
        </row>
        <row r="3570">
          <cell r="G3570" t="str">
            <v>check on tnt 50% options before install</v>
          </cell>
        </row>
        <row r="3571">
          <cell r="G3571" t="str">
            <v>corona no long on</v>
          </cell>
        </row>
        <row r="3572">
          <cell r="G3572" t="str">
            <v>loads of cask--- pale convo for later</v>
          </cell>
        </row>
        <row r="3573">
          <cell r="G3573" t="str">
            <v>likes quirky stuff</v>
          </cell>
        </row>
        <row r="3574">
          <cell r="G3574" t="str">
            <v>took ages for gk to approve cobra but now doing x2 better than anything</v>
          </cell>
        </row>
        <row r="3575">
          <cell r="G3575" t="str">
            <v>open to stout</v>
          </cell>
        </row>
        <row r="3576">
          <cell r="G3576" t="str">
            <v>and to start bt for 50%</v>
          </cell>
        </row>
        <row r="3579">
          <cell r="G3579" t="str">
            <v>Super happy with Corona - also now have moretti and brooklyn pilsner - opted for pilsner on price rather than Hells</v>
          </cell>
        </row>
        <row r="3581">
          <cell r="G3581" t="str">
            <v>passing my details to sister site to pick up on Hells</v>
          </cell>
        </row>
        <row r="3582">
          <cell r="G3582" t="str">
            <v>free pint with every burger or meal</v>
          </cell>
        </row>
        <row r="3583">
          <cell r="G3583" t="str">
            <v>cruzcampo replaced hells</v>
          </cell>
        </row>
        <row r="3588">
          <cell r="G3588" t="str">
            <v>Vamsi not around - got his phone number - bar staff not very informative</v>
          </cell>
        </row>
        <row r="3589">
          <cell r="G3589" t="str">
            <v>checked in with Tom on thrusday. Still no refurb update from huk for tbar</v>
          </cell>
        </row>
        <row r="3590">
          <cell r="G3590" t="str">
            <v>unfiltered and op likely going on</v>
          </cell>
        </row>
        <row r="3595">
          <cell r="G3595" t="str">
            <v>met Tom LL (his brother Sam works for bbg)</v>
          </cell>
        </row>
        <row r="3596">
          <cell r="G3596" t="str">
            <v>we pre promised 1 or 2 kegs for installs</v>
          </cell>
        </row>
        <row r="3598">
          <cell r="G3598" t="str">
            <v>swapping inches for orchardpig</v>
          </cell>
        </row>
        <row r="3599">
          <cell r="G3599" t="str">
            <v>amstell for unfiltered</v>
          </cell>
        </row>
        <row r="3600">
          <cell r="G3600" t="str">
            <v>and maybe moretti for Camden hells</v>
          </cell>
        </row>
        <row r="3602">
          <cell r="G3602" t="str">
            <v>he wants op samples sent</v>
          </cell>
        </row>
        <row r="3603">
          <cell r="G3603" t="str">
            <v>doing a bar refit with Heineken (adding a 6th line)- after that's done he will contact for install</v>
          </cell>
        </row>
        <row r="3604">
          <cell r="G3604" t="str">
            <v>hells top 2 ... they are stoked about it</v>
          </cell>
        </row>
        <row r="3605">
          <cell r="G3605" t="str">
            <v>carling ops pale dual? stout?</v>
          </cell>
        </row>
        <row r="3606">
          <cell r="G3606" t="str">
            <v>Mark or matt bartender - all staff very welcoming</v>
          </cell>
        </row>
        <row r="3608">
          <cell r="G3608" t="str">
            <v>looking for patio to deck out...</v>
          </cell>
        </row>
        <row r="3610">
          <cell r="G3610" t="str">
            <v>building a madri and aspall outdoor pump</v>
          </cell>
        </row>
        <row r="3611">
          <cell r="G3611" t="str">
            <v>boosting the garden hard for summer</v>
          </cell>
        </row>
        <row r="3612">
          <cell r="G3612" t="str">
            <v>hells not going anywhere but wants aide for ros...and rsp...hampers for shuffle boards and rona</v>
          </cell>
        </row>
        <row r="3614">
          <cell r="G3614" t="str">
            <v>he's happy to add things to the fridge</v>
          </cell>
        </row>
        <row r="3616">
          <cell r="G3616" t="str">
            <v>madri getting decked for now but very open to Camden... send ros and rsp data for pale dual</v>
          </cell>
        </row>
        <row r="3618">
          <cell r="G3618" t="str">
            <v>"I don't want something for nothing happy to change up"... tap though warry</v>
          </cell>
        </row>
        <row r="3619">
          <cell r="G3619" t="str">
            <v>send Stella coasters when in stock</v>
          </cell>
        </row>
        <row r="3621">
          <cell r="G3621" t="str">
            <v>send budbtl campaigns and stella perf activation</v>
          </cell>
        </row>
        <row r="3623">
          <cell r="G3623" t="str">
            <v>unfiltered likely going in after refurb... send a check in on husbands health</v>
          </cell>
        </row>
        <row r="3624">
          <cell r="G3624" t="str">
            <v>Lydia bartender said come on a Thursday</v>
          </cell>
        </row>
        <row r="3625">
          <cell r="G3625" t="str">
            <v>and book with him</v>
          </cell>
        </row>
        <row r="3626">
          <cell r="G3626" t="str">
            <v>pale ops</v>
          </cell>
        </row>
        <row r="3629">
          <cell r="G3629" t="str">
            <v>Andy co owner , he lives closer so is in more often</v>
          </cell>
        </row>
        <row r="3630">
          <cell r="G3630" t="str">
            <v>Stella half and Camden hells glasses</v>
          </cell>
        </row>
        <row r="3631">
          <cell r="G3631" t="str">
            <v>xxl tshirts requested. hell give a couple away as people try give</v>
          </cell>
        </row>
        <row r="3633">
          <cell r="G3633" t="str">
            <v>Met Steve - lovely bloke</v>
          </cell>
        </row>
        <row r="3635">
          <cell r="G3635" t="str">
            <v>happy ipswich are promoted, get massive footfall from that</v>
          </cell>
        </row>
        <row r="3637">
          <cell r="G3637" t="str">
            <v>14 out cooler and 4 spare lines in python - discussed moving hobgoblin to tbar and putting hells alongside Pale on a dual icon font</v>
          </cell>
        </row>
        <row r="3639">
          <cell r="G3639" t="str">
            <v>picking up next friday</v>
          </cell>
        </row>
        <row r="3640">
          <cell r="G3640" t="str">
            <v>he's ill and not co.ing down. sending a note about the bt he asked for</v>
          </cell>
        </row>
        <row r="3641">
          <cell r="G3641" t="str">
            <v>one is cancelled tho..</v>
          </cell>
        </row>
        <row r="3643">
          <cell r="G3643" t="str">
            <v>Paul son manager Nd dad Paul LL</v>
          </cell>
        </row>
        <row r="3644">
          <cell r="G3644">
            <v>7511689063</v>
          </cell>
        </row>
        <row r="3646">
          <cell r="G3646" t="str">
            <v>Amber bartender</v>
          </cell>
        </row>
        <row r="3647">
          <cell r="G3647" t="str">
            <v>not in sending a text</v>
          </cell>
        </row>
        <row r="3648">
          <cell r="G3648" t="str">
            <v>sent Stella glassware and camden signs... sales boosting since patties day. apparently, guinnes drinkers transitioning to Camden</v>
          </cell>
        </row>
        <row r="3649">
          <cell r="G3649" t="str">
            <v>has another leased punch pub Bell at Danbury</v>
          </cell>
        </row>
        <row r="3650">
          <cell r="G3650" t="str">
            <v>getting with Mark nield today</v>
          </cell>
        </row>
        <row r="3651">
          <cell r="G3651" t="str">
            <v>mentioned getting into his other pub - working on making it make money... he didn't want that pub and might not keep it</v>
          </cell>
        </row>
        <row r="3656">
          <cell r="G3656" t="str">
            <v>Katie bartender</v>
          </cell>
        </row>
        <row r="3657">
          <cell r="G3657" t="str">
            <v>thought stout was off but is still on</v>
          </cell>
        </row>
        <row r="3658">
          <cell r="G3658" t="str">
            <v>wouldn't give number to me for jim-</v>
          </cell>
        </row>
        <row r="3662">
          <cell r="G3662" t="str">
            <v>Chat with Jim about Stout, seems keen to give it a run, call on Thursday at 6 to discuss.</v>
          </cell>
        </row>
        <row r="3664">
          <cell r="G3664" t="str">
            <v>more hack halves, stella halves</v>
          </cell>
        </row>
        <row r="3665">
          <cell r="G3665" t="str">
            <v>runners for both</v>
          </cell>
        </row>
        <row r="3667">
          <cell r="G3667" t="str">
            <v>jim owner - HELLS ON FOR FOSTERS OI OI</v>
          </cell>
        </row>
        <row r="3669">
          <cell r="G3669" t="str">
            <v>esta unbr font</v>
          </cell>
        </row>
        <row r="3670">
          <cell r="G3670" t="str">
            <v>t bar - stella, moretti, fosters</v>
          </cell>
        </row>
        <row r="3671">
          <cell r="G3671" t="str">
            <v>thatchers unbr font</v>
          </cell>
        </row>
        <row r="3672">
          <cell r="G3672" t="str">
            <v>guinness font x4</v>
          </cell>
        </row>
        <row r="3673">
          <cell r="G3673" t="str">
            <v>cask x3 - all tribute pale ale</v>
          </cell>
        </row>
        <row r="3674">
          <cell r="G3674" t="str">
            <v>4 out smirnoff cocktail font</v>
          </cell>
        </row>
        <row r="3675">
          <cell r="G3675" t="str">
            <v>camden pale on unbr font</v>
          </cell>
        </row>
        <row r="3676">
          <cell r="G3676" t="str">
            <v>t bar 2 - amstel, moretti, fosters</v>
          </cell>
        </row>
        <row r="3677">
          <cell r="G3677" t="str">
            <v>estrella unbr font</v>
          </cell>
        </row>
        <row r="3678">
          <cell r="G3678" t="str">
            <v>Mick sent</v>
          </cell>
        </row>
        <row r="3679">
          <cell r="G3679" t="str">
            <v>Stella #2 vol.</v>
          </cell>
        </row>
        <row r="3680">
          <cell r="G3680" t="str">
            <v>Looking to Change from pravha</v>
          </cell>
        </row>
        <row r="3682">
          <cell r="G3682" t="str">
            <v>big Dave</v>
          </cell>
        </row>
        <row r="3683">
          <cell r="G3683">
            <v>7730406358</v>
          </cell>
        </row>
        <row r="3684">
          <cell r="G3684" t="str">
            <v>sent tnt reminder and op sampes</v>
          </cell>
        </row>
        <row r="3686">
          <cell r="G3686" t="str">
            <v>not open to stout but wants a cider , gonna give it a go</v>
          </cell>
        </row>
        <row r="3688">
          <cell r="G3688" t="str">
            <v>lovely people in the pub, very open to convo</v>
          </cell>
        </row>
        <row r="3689">
          <cell r="G3689" t="str">
            <v>cruzcampo might be ops (slow sales due to price ... OK with it now but see that changimg)</v>
          </cell>
        </row>
        <row r="3690">
          <cell r="G3690" t="str">
            <v>Mick sent</v>
          </cell>
        </row>
        <row r="3691">
          <cell r="G3691" t="str">
            <v>Colin ll</v>
          </cell>
        </row>
        <row r="3692">
          <cell r="G3692" t="str">
            <v>No Stella</v>
          </cell>
        </row>
        <row r="3693">
          <cell r="G3693" t="str">
            <v>becks on</v>
          </cell>
        </row>
        <row r="3695">
          <cell r="G3695" t="str">
            <v>set up bidweiser promotion for Premier league</v>
          </cell>
        </row>
        <row r="3697">
          <cell r="G3697" t="str">
            <v>gorgeous and massive garden ops - unfiltered ops with new twnnet</v>
          </cell>
        </row>
        <row r="3699">
          <cell r="G3699" t="str">
            <v>admiral is kicking him out and he is gutted..  played therapist with him and the poor man teared up. lost his wife this last year and struggling with the pub. going to early retirement-- community is Trying to keep the pub a pub vs housing</v>
          </cell>
        </row>
        <row r="3700">
          <cell r="G3700" t="str">
            <v>Admiral</v>
          </cell>
        </row>
        <row r="3701">
          <cell r="G3701">
            <v>100</v>
          </cell>
        </row>
        <row r="3702">
          <cell r="G3702" t="str">
            <v>3rd</v>
          </cell>
        </row>
        <row r="3703">
          <cell r="G3703" t="str">
            <v>12 thur-fri</v>
          </cell>
        </row>
        <row r="3705">
          <cell r="G3705" t="str">
            <v>Red stripe target</v>
          </cell>
        </row>
        <row r="3706">
          <cell r="G3706" t="str">
            <v>They like quirkiness</v>
          </cell>
        </row>
        <row r="3708">
          <cell r="G3708" t="str">
            <v>fuiness not leaving the bar but open to creating a new line</v>
          </cell>
        </row>
        <row r="3710">
          <cell r="G3710" t="str">
            <v>Mick Sheridan sent</v>
          </cell>
        </row>
        <row r="3711">
          <cell r="G3711" t="str">
            <v>Emily or Freddie ll</v>
          </cell>
        </row>
        <row r="3712">
          <cell r="G3712">
            <v>7471151042</v>
          </cell>
        </row>
        <row r="3714">
          <cell r="G3714" t="str">
            <v>check if he can retroactively sign up for perfect serve (3 kegs a week and doesn't think its doing well)</v>
          </cell>
        </row>
        <row r="3715">
          <cell r="G3715" t="str">
            <v>Martin ll of 14 months</v>
          </cell>
        </row>
        <row r="3716">
          <cell r="G3716">
            <v>7793200111</v>
          </cell>
        </row>
        <row r="3717">
          <cell r="G3717" t="str">
            <v>martin@theredlion.net</v>
          </cell>
        </row>
        <row r="3719">
          <cell r="G3719" t="str">
            <v>check on bar runners and perfect serve -ooo</v>
          </cell>
        </row>
        <row r="3720">
          <cell r="G3720" t="str">
            <v>send parasols - boost sales, only a couple a week</v>
          </cell>
        </row>
        <row r="3721">
          <cell r="G3721" t="str">
            <v>check on wind barrier - no option in staci but maybe the team?</v>
          </cell>
        </row>
        <row r="3723">
          <cell r="G3723" t="str">
            <v>sending a tech to replace tap handle</v>
          </cell>
        </row>
        <row r="3724">
          <cell r="G3724">
            <v>7724586966</v>
          </cell>
        </row>
        <row r="3725">
          <cell r="G3725" t="str">
            <v>Johnny  ll of 6 months</v>
          </cell>
        </row>
        <row r="3727">
          <cell r="G3727" t="str">
            <v>pale on - though he's not a person fan but it sells well next to cruzcampo</v>
          </cell>
        </row>
        <row r="3729">
          <cell r="G3729" t="str">
            <v>he adores Brixton</v>
          </cell>
        </row>
        <row r="3731">
          <cell r="G3731" t="str">
            <v>send him g garden deck out options and fit a 1 line bar in trade</v>
          </cell>
        </row>
        <row r="3732">
          <cell r="G3732" t="str">
            <v>also send beer options</v>
          </cell>
        </row>
        <row r="3734">
          <cell r="G3734" t="str">
            <v>freaking gorgeous ops</v>
          </cell>
        </row>
        <row r="3735">
          <cell r="G3735" t="str">
            <v>next Tuesday 07723336745</v>
          </cell>
        </row>
        <row r="3736">
          <cell r="G3736" t="str">
            <v>Chelsea went to America- spike with her sweet son (Patrick?)</v>
          </cell>
        </row>
        <row r="3737">
          <cell r="G3737" t="str">
            <v>hells and pale still on... but I thought it delisted in punch</v>
          </cell>
        </row>
        <row r="3738">
          <cell r="G3738" t="str">
            <v>maybe going through ooold beer. ops to replace font with stella and move stout on the post box</v>
          </cell>
        </row>
        <row r="3742">
          <cell r="G3742" t="str">
            <v>Chelsea is leaseholder, wasnt around so chatted to bar staff.</v>
          </cell>
        </row>
        <row r="3744">
          <cell r="G3744" t="str">
            <v>Mixed crowd, wet led. Quirky little place next to the train station. Hells and Pale in here and do well. Guinness best seller. Left Stout samples.</v>
          </cell>
        </row>
        <row r="3746">
          <cell r="G3746" t="str">
            <v>Chelsea interested, call tomorrow.</v>
          </cell>
        </row>
        <row r="3747">
          <cell r="G3747" t="str">
            <v>Katherine ll of 22 years</v>
          </cell>
        </row>
        <row r="3749">
          <cell r="G3749" t="str">
            <v>p: 07919412157</v>
          </cell>
        </row>
        <row r="3750">
          <cell r="G3750" t="str">
            <v>sent coasters and tshirts</v>
          </cell>
        </row>
        <row r="3752">
          <cell r="G3752" t="str">
            <v>moretti going out for madri (lead brewer coors is doing their garden for it)</v>
          </cell>
        </row>
        <row r="3754">
          <cell r="G3754" t="str">
            <v>carlsberg and stella and moretti top volume</v>
          </cell>
        </row>
        <row r="3756">
          <cell r="G3756" t="str">
            <v>wants plastic cups and not chalice stella glasses</v>
          </cell>
        </row>
        <row r="3757">
          <cell r="G3757" t="str">
            <v>likely little ops for craft</v>
          </cell>
        </row>
        <row r="3758">
          <cell r="G3758" t="str">
            <v>lou not about- changing LL in a couple weeks. told to come back rhen</v>
          </cell>
        </row>
        <row r="3762">
          <cell r="G3762" t="str">
            <v>oldy worldy pub. lou is the landlady but she was busy. dropped some stout samples off as they said they sell a fair bit of Guinness. also dropped some corona cero samples off as they don't have much 0% beers in.</v>
          </cell>
        </row>
        <row r="3764">
          <cell r="G3764" t="str">
            <v>Stella does pretty well there but said if they need anything to give me a shout.</v>
          </cell>
        </row>
        <row r="3765">
          <cell r="G3765" t="str">
            <v>sent doubles stella glasses</v>
          </cell>
        </row>
        <row r="3766">
          <cell r="G3766" t="str">
            <v>ll not in- emailed them nicki</v>
          </cell>
        </row>
        <row r="3767">
          <cell r="G3767" t="str">
            <v>chris ll was organising cellar when I visited</v>
          </cell>
        </row>
        <row r="3768">
          <cell r="G3768" t="str">
            <v>cero in the fridge</v>
          </cell>
        </row>
        <row r="3770">
          <cell r="G3770" t="str">
            <v>Atlantic ops for pale? Atlantic doing great though</v>
          </cell>
        </row>
        <row r="3772">
          <cell r="G3772" t="str">
            <v>thought camden but opted for meckoil - revisit in months time</v>
          </cell>
        </row>
        <row r="3774">
          <cell r="G3774" t="str">
            <v>pool tables and nice vibes- craft ops next to neck</v>
          </cell>
        </row>
        <row r="3776">
          <cell r="G3776" t="str">
            <v>euros budweiser pos</v>
          </cell>
        </row>
        <row r="3777">
          <cell r="G3777" t="str">
            <v>budweiser rona hamper  send</v>
          </cell>
        </row>
        <row r="3779">
          <cell r="G3779" t="str">
            <v>the Yarmouth- his perfect serve pos arrived to right name and zip but had their address and line address.</v>
          </cell>
        </row>
        <row r="3780">
          <cell r="G3780" t="str">
            <v>send 10 and 20 and coasters</v>
          </cell>
        </row>
        <row r="3781">
          <cell r="G3781" t="str">
            <v>Heather   ll for 30+ years</v>
          </cell>
        </row>
        <row r="3783">
          <cell r="G3783" t="str">
            <v>heatherbuckland@btconnect.com</v>
          </cell>
        </row>
        <row r="3784">
          <cell r="G3784" t="str">
            <v>email her so she has contact (out of cards)</v>
          </cell>
        </row>
        <row r="3787">
          <cell r="G3787" t="str">
            <v>send Stella support</v>
          </cell>
        </row>
        <row r="3788">
          <cell r="G3788" t="str">
            <v>no ops</v>
          </cell>
        </row>
        <row r="3789">
          <cell r="G3789" t="str">
            <v>like what they like... not broke don't fix minded</v>
          </cell>
        </row>
        <row r="3790">
          <cell r="G3790" t="str">
            <v>Sarah divorced- ex husband still running</v>
          </cell>
        </row>
        <row r="3791">
          <cell r="G3791" t="str">
            <v>richard</v>
          </cell>
        </row>
        <row r="3793">
          <cell r="G3793" t="str">
            <v>pale ops ipo shipyard</v>
          </cell>
        </row>
        <row r="3794">
          <cell r="G3794" t="str">
            <v>carling and stella top volume 50p difference</v>
          </cell>
        </row>
        <row r="3795">
          <cell r="G3795" t="str">
            <v>doesn't sell very well</v>
          </cell>
        </row>
        <row r="3797">
          <cell r="G3797" t="str">
            <v>also thinking of changing moretti or campo- sending hells - leveraged for stella parasols and extra pos</v>
          </cell>
        </row>
        <row r="3801">
          <cell r="G3801" t="str">
            <v>Stella stockist - followed up on issue from BDM - need glassware and POS</v>
          </cell>
        </row>
        <row r="3803">
          <cell r="G3803" t="str">
            <v>Sarah - LL sells really well, just put madri in, and have moretti too, no further opportunity</v>
          </cell>
        </row>
        <row r="3804">
          <cell r="G3804">
            <v>7854360734</v>
          </cell>
        </row>
        <row r="3805">
          <cell r="G3805" t="str">
            <v>Gemma</v>
          </cell>
        </row>
        <row r="3806">
          <cell r="G3806" t="str">
            <v>New LL since August</v>
          </cell>
        </row>
        <row r="3807">
          <cell r="G3807" t="str">
            <v>never in prior to 5pm</v>
          </cell>
        </row>
        <row r="3811">
          <cell r="G3811" t="str">
            <v>Stella stockist, met Wayne LL leaving in May, as retiring and moving to Norfolk, Stella is a best seller, with moretti, they work together - happy with line up as moving on soon</v>
          </cell>
        </row>
        <row r="3813">
          <cell r="G3813" t="str">
            <v>Corona could work here however may not pay price point as seem price sensitive, Stella 4.80 a pint</v>
          </cell>
        </row>
        <row r="3815">
          <cell r="G3815" t="str">
            <v>Martin Obey no longer RM, Graham is now RM</v>
          </cell>
        </row>
        <row r="3816">
          <cell r="G3816" t="str">
            <v>Alison mngr (desocion maker)</v>
          </cell>
        </row>
        <row r="3817">
          <cell r="G3817">
            <v>7766078080</v>
          </cell>
        </row>
        <row r="3818">
          <cell r="G3818" t="str">
            <v>check stella tap handle new timeline</v>
          </cell>
        </row>
        <row r="3819">
          <cell r="G3819" t="str">
            <v>agreed corona when getting warmer</v>
          </cell>
        </row>
        <row r="3825">
          <cell r="G3825" t="str">
            <v>Anthony and Julia not in - LL, stella stockist, have loads of Glassware, said screaming out for moretti</v>
          </cell>
        </row>
        <row r="3827">
          <cell r="G3827" t="str">
            <v>Corona good opp here</v>
          </cell>
        </row>
        <row r="3828">
          <cell r="G3828" t="str">
            <v>jade</v>
          </cell>
        </row>
        <row r="3829">
          <cell r="G3829">
            <v>7514843806</v>
          </cell>
        </row>
        <row r="3831">
          <cell r="G3831" t="str">
            <v>b0103096</v>
          </cell>
        </row>
        <row r="3833">
          <cell r="G3833" t="str">
            <v>tipsy cow- same issue</v>
          </cell>
        </row>
        <row r="3834">
          <cell r="G3834" t="str">
            <v>beverely ll</v>
          </cell>
        </row>
        <row r="3838">
          <cell r="G3838" t="str">
            <v>t bar - sbow, carlsberg, kron, fosters, sbow, jn smiths</v>
          </cell>
        </row>
        <row r="3839">
          <cell r="G3839" t="str">
            <v>moretti font</v>
          </cell>
        </row>
        <row r="3840">
          <cell r="G3840" t="str">
            <v>cask x2</v>
          </cell>
        </row>
        <row r="3841">
          <cell r="G3841" t="str">
            <v>t bar - guinn, stella, kron, coors, fosters, jn smiths</v>
          </cell>
        </row>
        <row r="3843">
          <cell r="G3843" t="str">
            <v xml:space="preserve"> fosters stella carlsberg in that order</v>
          </cell>
        </row>
        <row r="3845">
          <cell r="G3845" t="str">
            <v>met Kim bar staff, Bev tennant not about</v>
          </cell>
        </row>
        <row r="3847">
          <cell r="G3847" t="str">
            <v>very value, just look after w stella</v>
          </cell>
        </row>
        <row r="3849">
          <cell r="G3849" t="str">
            <v>quite busy, full bar pic not approp. lots of fosters men</v>
          </cell>
        </row>
        <row r="3850">
          <cell r="G3850" t="str">
            <v>send pic of Stella new font</v>
          </cell>
        </row>
        <row r="3851">
          <cell r="G3851" t="str">
            <v>rush?</v>
          </cell>
        </row>
        <row r="3853">
          <cell r="G3853" t="str">
            <v>send perfect sevlrve info</v>
          </cell>
        </row>
        <row r="3855">
          <cell r="G3855" t="str">
            <v>07966234180 Laura ll of 13 years</v>
          </cell>
        </row>
        <row r="3856">
          <cell r="G3856" t="str">
            <v>Katie LL (says so but she keeps saying "my boss" probably more the bar manager)</v>
          </cell>
        </row>
        <row r="3858">
          <cell r="G3858" t="str">
            <v>07399638260 send perfect serve</v>
          </cell>
        </row>
        <row r="3859">
          <cell r="G3859" t="str">
            <v>Camden craft benefits and corona draft interwst</v>
          </cell>
        </row>
        <row r="3862">
          <cell r="G3862" t="str">
            <v>Rona up 50</v>
          </cell>
        </row>
        <row r="3863">
          <cell r="G3863" t="str">
            <v>Stella up 25</v>
          </cell>
        </row>
        <row r="3864">
          <cell r="G3864" t="str">
            <v>Bud CHURN?</v>
          </cell>
        </row>
        <row r="3865">
          <cell r="G3865" t="str">
            <v>Stella pints and coasters</v>
          </cell>
        </row>
        <row r="3866">
          <cell r="G3866" t="str">
            <v>and I'll send Stella perfect info</v>
          </cell>
        </row>
        <row r="3868">
          <cell r="G3868" t="str">
            <v>Jackie 07867761406</v>
          </cell>
        </row>
        <row r="3870">
          <cell r="G3870" t="str">
            <v>jacquiemorabuck@msn.com</v>
          </cell>
        </row>
        <row r="3871">
          <cell r="G3871" t="str">
            <v>Unfiltered just installed</v>
          </cell>
        </row>
        <row r="3872">
          <cell r="G3872" t="str">
            <v>loads of "issues" ironing out getting them on the phone or open for the day or picking up all their pos being fully delivered</v>
          </cell>
        </row>
        <row r="3874">
          <cell r="G3874" t="str">
            <v>sending all new Unfiltered pos, Bud and op and rona</v>
          </cell>
        </row>
        <row r="3876">
          <cell r="G3876" t="str">
            <v>late night quirky venue</v>
          </cell>
        </row>
        <row r="3878">
          <cell r="G3878" t="str">
            <v>we are now lead brewer with unfiltered</v>
          </cell>
        </row>
        <row r="3885">
          <cell r="G3885" t="str">
            <v>met nick and lesley - nick thinks camden is going to decline??? no winning him over feels we sold out when stocking in supermarkets and had a tesco opposite selling camden so people moan about price etc</v>
          </cell>
        </row>
        <row r="3886">
          <cell r="G3886" t="str">
            <v>rona on</v>
          </cell>
        </row>
        <row r="3887">
          <cell r="G3887" t="str">
            <v>revised for sunsets</v>
          </cell>
        </row>
        <row r="3888">
          <cell r="G3888" t="str">
            <v>fu</v>
          </cell>
        </row>
        <row r="3889">
          <cell r="G3889" t="str">
            <v>glen</v>
          </cell>
        </row>
        <row r="3890">
          <cell r="G3890" t="str">
            <v>freaking gorgeous pub</v>
          </cell>
        </row>
        <row r="3892">
          <cell r="G3892" t="str">
            <v>no craft</v>
          </cell>
        </row>
        <row r="3893">
          <cell r="G3893" t="str">
            <v>but loads of craft and sunset options</v>
          </cell>
        </row>
        <row r="3894">
          <cell r="G3894" t="str">
            <v>no room for growth</v>
          </cell>
        </row>
        <row r="3895">
          <cell r="G3895" t="str">
            <v>but stella will always stay on</v>
          </cell>
        </row>
        <row r="3896">
          <cell r="G3896" t="str">
            <v>Paul and bar mngr not interested in a convo for more aside from pos</v>
          </cell>
        </row>
        <row r="3900">
          <cell r="G3900" t="str">
            <v>t bar 1 side room -fosters font not used</v>
          </cell>
        </row>
        <row r="3901">
          <cell r="G3901" t="str">
            <v>t bar - guinn, carlsberg, coors, moretti, stella</v>
          </cell>
        </row>
        <row r="3902">
          <cell r="G3902" t="str">
            <v xml:space="preserve"> </v>
          </cell>
        </row>
        <row r="3903">
          <cell r="G3903" t="str">
            <v>main back bar</v>
          </cell>
        </row>
        <row r="3904">
          <cell r="G3904" t="str">
            <v>landlord font</v>
          </cell>
        </row>
        <row r="3905">
          <cell r="G3905" t="str">
            <v>t bar 1 - fksters, aspall, stella, carlsberg, guinn, spare</v>
          </cell>
        </row>
        <row r="3906">
          <cell r="G3906" t="str">
            <v>t bar 2 - moretti, spare, amstel, fosters, guinn, coors</v>
          </cell>
        </row>
        <row r="3908">
          <cell r="G3908" t="str">
            <v>chatted to Paul, quite set in his ways, not convinced by prem, pushed corona and camden but v hesitant</v>
          </cell>
        </row>
        <row r="3909">
          <cell r="G3909" t="str">
            <v>core lagers that sell well</v>
          </cell>
        </row>
        <row r="3911">
          <cell r="G3911" t="str">
            <v>push camden, send samples. push becks and that try +1, ALSO BT DEAL</v>
          </cell>
        </row>
        <row r="3913">
          <cell r="G3913" t="str">
            <v>paulwilliams2178@sky.com</v>
          </cell>
        </row>
        <row r="3914">
          <cell r="G3914">
            <v>7852880773</v>
          </cell>
        </row>
        <row r="3915">
          <cell r="G3915" t="str">
            <v>nicki barmngr daughter</v>
          </cell>
        </row>
        <row r="3916">
          <cell r="G3916" t="str">
            <v>of</v>
          </cell>
        </row>
        <row r="3917">
          <cell r="G3917" t="str">
            <v>Barry ll</v>
          </cell>
        </row>
        <row r="3919">
          <cell r="G3919" t="str">
            <v>spoke to ll therapist about stonegatebleSing issues- renewing for 10 years</v>
          </cell>
        </row>
        <row r="3920">
          <cell r="G3920" t="str">
            <v>fosters Is number one but he has 3 taps and 2 are unused- talking to Nickolet about Camden and rona brands on next meet</v>
          </cell>
        </row>
        <row r="3921">
          <cell r="G3921" t="str">
            <v>nicki ll</v>
          </cell>
        </row>
        <row r="3922">
          <cell r="G3922" t="str">
            <v>at a funeral</v>
          </cell>
        </row>
        <row r="3923">
          <cell r="G3923" t="str">
            <v>says she'll call me</v>
          </cell>
        </row>
        <row r="3924">
          <cell r="G3924" t="str">
            <v>Gemma leased since 2022</v>
          </cell>
        </row>
        <row r="3925">
          <cell r="G3925" t="str">
            <v>coming back next month for new tnt deal and camden</v>
          </cell>
        </row>
        <row r="3926">
          <cell r="G3926">
            <v>7917417981</v>
          </cell>
        </row>
        <row r="3927">
          <cell r="G3927" t="str">
            <v>Carol LL</v>
          </cell>
        </row>
        <row r="3928">
          <cell r="G3928" t="str">
            <v>retiring next month- forced by the newish stonegate purchase</v>
          </cell>
        </row>
        <row r="3929">
          <cell r="G3929" t="str">
            <v>top 100.... for Boddington</v>
          </cell>
        </row>
        <row r="3930">
          <cell r="G3930" t="str">
            <v>she's sure to push my card to the new landlords</v>
          </cell>
        </row>
        <row r="3932">
          <cell r="G3932" t="str">
            <v>2 guinness taps... maybe target</v>
          </cell>
        </row>
        <row r="3933">
          <cell r="G3933" t="str">
            <v>stonwgate- craft union</v>
          </cell>
        </row>
        <row r="3934">
          <cell r="G3934" t="str">
            <v>changing over to Martsons</v>
          </cell>
        </row>
        <row r="3935">
          <cell r="G3935" t="str">
            <v>2nd</v>
          </cell>
        </row>
        <row r="3936">
          <cell r="G3936" t="str">
            <v>Admiral</v>
          </cell>
        </row>
        <row r="3937">
          <cell r="G3937">
            <v>100</v>
          </cell>
        </row>
        <row r="3938">
          <cell r="G3938" t="str">
            <v>@2</v>
          </cell>
        </row>
        <row r="3939">
          <cell r="G3939" t="str">
            <v>rob and Jane LL (have cell)</v>
          </cell>
        </row>
        <row r="3941">
          <cell r="G3941" t="str">
            <v>retiring in march 2nd - visiting I'm couple weeks</v>
          </cell>
        </row>
        <row r="3942">
          <cell r="G3942" t="str">
            <v>carling and calrsberg both on--- target and coors</v>
          </cell>
        </row>
        <row r="3943">
          <cell r="G3943" t="str">
            <v>Rodmngr</v>
          </cell>
        </row>
        <row r="3944">
          <cell r="G3944" t="str">
            <v>says Barry Barry darraugh arnt in often- have a few pubs</v>
          </cell>
        </row>
        <row r="3946">
          <cell r="G3946" t="str">
            <v>2 blank taps- mentioned met mick rm and thought camden samples to send (sent Stella coasters)</v>
          </cell>
        </row>
        <row r="3948">
          <cell r="G3948" t="str">
            <v>Charlotte not in</v>
          </cell>
        </row>
        <row r="3949">
          <cell r="G3949" t="str">
            <v>Megan on bar- Stella all well - mentioned camelden to add to tnt and contacting LL</v>
          </cell>
        </row>
        <row r="3955">
          <cell r="G3955" t="str">
            <v>Met Charlotte, new leaseholder as of June, super friendly.</v>
          </cell>
        </row>
        <row r="3957">
          <cell r="G3957" t="str">
            <v>Local village pub, getting food in ASAP, trying to draw in younger crowd and more families.</v>
          </cell>
        </row>
        <row r="3959">
          <cell r="G3959" t="str">
            <v>1 spare line, talked about Camden brands. Touch base again in a week or 2.</v>
          </cell>
        </row>
        <row r="3961">
          <cell r="G3961" t="str">
            <v>Charlotte - 07539104673</v>
          </cell>
        </row>
        <row r="3962">
          <cell r="G3962" t="str">
            <v>07900328611 Mark cell</v>
          </cell>
        </row>
        <row r="3966">
          <cell r="G3966" t="str">
            <v>Met Kevin the leaseholder, he's had the place 30 years, very sound Irish fella.</v>
          </cell>
        </row>
        <row r="3968">
          <cell r="G3968" t="str">
            <v>Wet led locals pub on a busy high street so high footfall.</v>
          </cell>
        </row>
        <row r="3970">
          <cell r="G3970" t="str">
            <v>Carling and JS best sellers, Coors worst. Stella doing well, brought in new customers. Need more glasses ASAP.</v>
          </cell>
        </row>
        <row r="3972">
          <cell r="G3972" t="str">
            <v>Discussed BT sports deal, send Kev portfolio and highlight available brands as he's meeting his RM tomorrow!</v>
          </cell>
        </row>
        <row r="3973">
          <cell r="G3973" t="str">
            <v>Cheryl and Mark ll</v>
          </cell>
        </row>
        <row r="3974">
          <cell r="G3974" t="str">
            <v>19 years leased</v>
          </cell>
        </row>
        <row r="3975">
          <cell r="G3975" t="str">
            <v>sending Stella glass 20 and 10oz</v>
          </cell>
        </row>
        <row r="3977">
          <cell r="G3977" t="str">
            <v>mom said they are om holiday but could use some glasses</v>
          </cell>
        </row>
        <row r="3978">
          <cell r="G3978" t="str">
            <v>Caroline LL</v>
          </cell>
        </row>
        <row r="3979">
          <cell r="G3979" t="str">
            <v>fans of stand alone fonts- mention camden post box</v>
          </cell>
        </row>
        <row r="3981">
          <cell r="G3981">
            <v>746231166</v>
          </cell>
        </row>
        <row r="3982">
          <cell r="G3982" t="str">
            <v>Wednesday  better day</v>
          </cell>
        </row>
        <row r="3983">
          <cell r="G3983" t="str">
            <v>taking a bath- schedule to come visit on a wednesday</v>
          </cell>
        </row>
        <row r="3984">
          <cell r="G3984" t="str">
            <v>all beer are on stand alone fonts</v>
          </cell>
        </row>
        <row r="3986">
          <cell r="G3986">
            <v>7957958099</v>
          </cell>
        </row>
        <row r="3987">
          <cell r="G3987" t="str">
            <v>Michael ll</v>
          </cell>
        </row>
        <row r="3988">
          <cell r="G3988" t="str">
            <v>sending loads of pos- he keeps getting told no when asking for it?</v>
          </cell>
        </row>
        <row r="3990">
          <cell r="G3990" t="str">
            <v>sent pale samples to target joh.smiths... says its the older clientel and would like to reach younger more craft</v>
          </cell>
        </row>
        <row r="3991">
          <cell r="G3991" t="str">
            <v>Cathy ll</v>
          </cell>
        </row>
        <row r="3992">
          <cell r="G3992">
            <v>2085920431</v>
          </cell>
        </row>
        <row r="3994">
          <cell r="G3994" t="str">
            <v>tnt</v>
          </cell>
        </row>
        <row r="3995">
          <cell r="G3995" t="str">
            <v>Trust</v>
          </cell>
        </row>
        <row r="3996">
          <cell r="G3996">
            <v>100</v>
          </cell>
        </row>
        <row r="3997">
          <cell r="G3997" t="str">
            <v>Stella perfect serve free pint convo</v>
          </cell>
        </row>
        <row r="3998">
          <cell r="G3998" t="str">
            <v>jane</v>
          </cell>
        </row>
        <row r="4003">
          <cell r="G4003" t="str">
            <v>Jo not around, chat with bar staff. Seems there's an empty line - target for Hells.</v>
          </cell>
        </row>
        <row r="4006">
          <cell r="G4006" t="str">
            <v>chatted to Jo manager -getting madri put in on spare line</v>
          </cell>
        </row>
        <row r="4007">
          <cell r="G4007" t="str">
            <v>jo: 07982671910</v>
          </cell>
        </row>
        <row r="4011">
          <cell r="G4011" t="str">
            <v>stella and fosters top</v>
          </cell>
        </row>
        <row r="4013">
          <cell r="G4013" t="str">
            <v>send some pale samples - john smiths dying off but got their loyalists, seemed pretty convinced - send samples then whack on follow up</v>
          </cell>
        </row>
        <row r="4015">
          <cell r="G4015" t="str">
            <v>all good on stella pos</v>
          </cell>
        </row>
        <row r="4017">
          <cell r="G4017" t="str">
            <v>san miguel for corona a nah - says got solid san mig drinkers then corona does well on bottles</v>
          </cell>
        </row>
        <row r="4018">
          <cell r="G4018">
            <v>7526831182</v>
          </cell>
        </row>
        <row r="4019">
          <cell r="G4019" t="str">
            <v>Jay LL</v>
          </cell>
        </row>
        <row r="4021">
          <cell r="G4021" t="str">
            <v>amy bartender</v>
          </cell>
        </row>
        <row r="4022">
          <cell r="G4022" t="str">
            <v>Stella does well but not comfortable talking about bar line up really</v>
          </cell>
        </row>
        <row r="4023">
          <cell r="G4023">
            <v>100</v>
          </cell>
        </row>
        <row r="4024">
          <cell r="G4024" t="str">
            <v>Admiral</v>
          </cell>
        </row>
        <row r="4025">
          <cell r="G4025" t="str">
            <v>@2</v>
          </cell>
        </row>
        <row r="4026">
          <cell r="G4026" t="str">
            <v>#4</v>
          </cell>
        </row>
        <row r="4028">
          <cell r="G4028" t="str">
            <v>Liam</v>
          </cell>
        </row>
        <row r="4029">
          <cell r="G4029">
            <v>7941947012</v>
          </cell>
        </row>
        <row r="4031">
          <cell r="G4031" t="str">
            <v>pale install and font</v>
          </cell>
        </row>
        <row r="4032">
          <cell r="G4032" t="str">
            <v>pale survey</v>
          </cell>
        </row>
        <row r="4034">
          <cell r="G4034" t="str">
            <v>Stella on a font</v>
          </cell>
        </row>
        <row r="4036">
          <cell r="G4036" t="str">
            <v>Signed up for stella perfexlct serve</v>
          </cell>
        </row>
        <row r="4037">
          <cell r="G4037" t="str">
            <v>needham180@hotmail.co.uk</v>
          </cell>
        </row>
        <row r="4038">
          <cell r="G4038" t="str">
            <v>Chris LL</v>
          </cell>
        </row>
        <row r="4039">
          <cell r="G4039" t="str">
            <v>23 years</v>
          </cell>
        </row>
        <row r="4041">
          <cell r="G4041" t="str">
            <v>not in ATM</v>
          </cell>
        </row>
        <row r="4042">
          <cell r="G4042" t="str">
            <v>Kelly bartender passed on email to schedule visot</v>
          </cell>
        </row>
        <row r="4043">
          <cell r="G4043" t="str">
            <v>op up 600</v>
          </cell>
        </row>
        <row r="4044">
          <cell r="G4044" t="str">
            <v>Stella up 9</v>
          </cell>
        </row>
        <row r="4046">
          <cell r="G4046" t="str">
            <v>Jean paul rm as of today- looking for new cask lines</v>
          </cell>
        </row>
        <row r="4048">
          <cell r="G4048" t="str">
            <v>Sophie 07532278855</v>
          </cell>
        </row>
        <row r="4049">
          <cell r="G4049" t="str">
            <v>Andrew ll</v>
          </cell>
        </row>
        <row r="4051">
          <cell r="G4051" t="str">
            <v>looking for parasols... leveraged instal for them in summer she said</v>
          </cell>
        </row>
        <row r="4052">
          <cell r="G4052" t="str">
            <v>Sophie make bar decisions and Andrew aids -</v>
          </cell>
        </row>
        <row r="4053">
          <cell r="G4053" t="str">
            <v>Stella 1/2 and St 20 - Red bar mats</v>
          </cell>
        </row>
        <row r="4057">
          <cell r="G4057" t="str">
            <v>pe6 9pb - send same</v>
          </cell>
        </row>
        <row r="4058">
          <cell r="G4058" t="str">
            <v>Stella 20</v>
          </cell>
        </row>
        <row r="4059">
          <cell r="G4059" t="str">
            <v>black horse - free horse</v>
          </cell>
        </row>
        <row r="4060">
          <cell r="G4060" t="str">
            <v>allen</v>
          </cell>
        </row>
        <row r="4062">
          <cell r="G4062" t="str">
            <v>Harry bar mngr</v>
          </cell>
        </row>
        <row r="4063">
          <cell r="G4063">
            <v>7577435149</v>
          </cell>
        </row>
        <row r="4066">
          <cell r="G4066" t="str">
            <v>talking upgrade tap handles ' so people go to the second bar too</v>
          </cell>
        </row>
        <row r="4069">
          <cell r="G4069" t="str">
            <v>they have hells and pale on at the other free house- open to here... left samples and talked postbox ipo smironoff that isn't doing well</v>
          </cell>
        </row>
        <row r="4071">
          <cell r="G4071" t="str">
            <v>fosters target and perhaps neckoil ipo pale</v>
          </cell>
        </row>
        <row r="4072">
          <cell r="G4072" t="str">
            <v>rm meeting</v>
          </cell>
        </row>
        <row r="4073">
          <cell r="G4073" t="str">
            <v>send new pale badge</v>
          </cell>
        </row>
        <row r="4076">
          <cell r="G4076" t="str">
            <v>info@theoldspring.co.uk</v>
          </cell>
        </row>
        <row r="4077">
          <cell r="G4077" t="str">
            <v>they come in at night... someone already came in from bbg just a couple hours before me but they didn't leave a card.</v>
          </cell>
        </row>
        <row r="4079">
          <cell r="G4079" t="str">
            <v>steve or omar ll of castle-</v>
          </cell>
        </row>
        <row r="4082">
          <cell r="G4082" t="str">
            <v>Met Troy, camden not the best seller compared to brewdog and neck oil</v>
          </cell>
        </row>
        <row r="4084">
          <cell r="G4084" t="str">
            <v>ABK sells well</v>
          </cell>
        </row>
        <row r="4085">
          <cell r="G4085" t="str">
            <v>discussed adding hells onto bar on a postbox to drive RoS</v>
          </cell>
        </row>
        <row r="4087">
          <cell r="G4087" t="str">
            <v>checked cellar - space in cooler but couldn’t see in python so survey would be needed</v>
          </cell>
        </row>
        <row r="4089">
          <cell r="G4089" t="str">
            <v>said he will reach out to me if keen</v>
          </cell>
        </row>
        <row r="4090">
          <cell r="G4090" t="str">
            <v>trudy LL</v>
          </cell>
        </row>
        <row r="4092">
          <cell r="G4092" t="str">
            <v>told to Google phone number and call for visit, busy</v>
          </cell>
        </row>
        <row r="4093">
          <cell r="G4093" t="str">
            <v>doesn't think the cellar boy is settling properly</v>
          </cell>
        </row>
        <row r="4094">
          <cell r="G4094" t="str">
            <v>something at an angle and filling with air-</v>
          </cell>
        </row>
        <row r="4095">
          <cell r="G4095" t="str">
            <v>high losage</v>
          </cell>
        </row>
        <row r="4096">
          <cell r="G4096">
            <v>7880</v>
          </cell>
        </row>
        <row r="4100">
          <cell r="G4100" t="str">
            <v>Mat Daz, detests Stonegate</v>
          </cell>
        </row>
        <row r="4102">
          <cell r="G4102" t="str">
            <v>doesn’t want to breach the £5 barrier on draught</v>
          </cell>
        </row>
        <row r="4104">
          <cell r="G4104" t="str">
            <v>stella sells well, getting hopical storm due to TT funding cask marque</v>
          </cell>
        </row>
        <row r="4106">
          <cell r="G4106" t="str">
            <v>left samples of PA to swap for Sharps, explorer Hells but stocked in SG managed so not keen</v>
          </cell>
        </row>
        <row r="4107">
          <cell r="G4107" t="str">
            <v>carling font and tap</v>
          </cell>
        </row>
        <row r="4108">
          <cell r="G4108" t="str">
            <v>aspalls new font</v>
          </cell>
        </row>
        <row r="4110">
          <cell r="G4110" t="str">
            <v>can't use left side of bar</v>
          </cell>
        </row>
        <row r="4111">
          <cell r="G4111" t="str">
            <v>taste funny</v>
          </cell>
        </row>
        <row r="4112">
          <cell r="G4112" t="str">
            <v>find lead brewer and have her contact to replace and not lime cleaners need replaced note</v>
          </cell>
        </row>
        <row r="4114">
          <cell r="G4114" t="str">
            <v>tin</v>
          </cell>
        </row>
        <row r="4115">
          <cell r="G4115" t="str">
            <v>Kim ll &amp; Mike</v>
          </cell>
        </row>
        <row r="4116">
          <cell r="G4116" t="str">
            <v>since September</v>
          </cell>
        </row>
        <row r="4117">
          <cell r="G4117">
            <v>7734427553</v>
          </cell>
        </row>
        <row r="4118">
          <cell r="G4118" t="str">
            <v>ll very ill and rushing pit the door for thr kid pickup.</v>
          </cell>
        </row>
        <row r="4119">
          <cell r="G4119" t="str">
            <v>not too stoked to talk. try again later pre school let out.</v>
          </cell>
        </row>
        <row r="4120">
          <cell r="G4120">
            <v>7790593389</v>
          </cell>
        </row>
        <row r="4121">
          <cell r="G4121" t="str">
            <v>Lauren- LL</v>
          </cell>
        </row>
        <row r="4123">
          <cell r="G4123" t="str">
            <v>Stella top 3 in volume</v>
          </cell>
        </row>
        <row r="4124">
          <cell r="G4124" t="str">
            <v>carslberg number 1</v>
          </cell>
        </row>
        <row r="4126">
          <cell r="G4126" t="str">
            <v>fosters and moretti target</v>
          </cell>
        </row>
        <row r="4127">
          <cell r="G4127" t="str">
            <v>ashliegh (man) 3 year LL</v>
          </cell>
        </row>
        <row r="4128">
          <cell r="G4128" t="str">
            <v>pool and darts league</v>
          </cell>
        </row>
        <row r="4129">
          <cell r="G4129" t="str">
            <v>tnt on</v>
          </cell>
        </row>
        <row r="4130">
          <cell r="G4130" t="str">
            <v>madri does meh</v>
          </cell>
        </row>
        <row r="4131">
          <cell r="G4131">
            <v>7553599030</v>
          </cell>
        </row>
        <row r="4133">
          <cell r="G4133" t="str">
            <v>madri doing meh'</v>
          </cell>
        </row>
        <row r="4134">
          <cell r="G4134" t="str">
            <v>reviews the barplan every 4 months- noted to call him in may</v>
          </cell>
        </row>
        <row r="4135">
          <cell r="G4135" t="str">
            <v>rona in fridge- mentioned 0</v>
          </cell>
        </row>
        <row r="4137">
          <cell r="G4137" t="str">
            <v>Tina LL</v>
          </cell>
        </row>
        <row r="4138">
          <cell r="G4138" t="str">
            <v>info@thefalconwalton.com</v>
          </cell>
        </row>
        <row r="4140">
          <cell r="G4140" t="str">
            <v>Stella and moretti are top volume... only 5p difference</v>
          </cell>
        </row>
        <row r="4141">
          <cell r="G4141" t="str">
            <v>does lots of guiness</v>
          </cell>
        </row>
        <row r="4143">
          <cell r="G4143" t="str">
            <v>John Smith possible target</v>
          </cell>
        </row>
        <row r="4144">
          <cell r="G4144" t="str">
            <v>every other day except Tuesday</v>
          </cell>
        </row>
        <row r="4145">
          <cell r="G4145" t="str">
            <v>goy email to schedule visit</v>
          </cell>
        </row>
        <row r="4147">
          <cell r="G4147" t="str">
            <v>pravah. and neck oil top volume</v>
          </cell>
        </row>
        <row r="4148">
          <cell r="G4148" t="str">
            <v>Stella sparce seller</v>
          </cell>
        </row>
        <row r="4149">
          <cell r="G4149" t="str">
            <v>Camden not on any more- campo replaced?</v>
          </cell>
        </row>
        <row r="4150">
          <cell r="G4150" t="str">
            <v>rona font is not bubbling... booking a tech visit</v>
          </cell>
        </row>
        <row r="4151">
          <cell r="G4151" t="str">
            <v>send rona glasses</v>
          </cell>
        </row>
        <row r="4153">
          <cell r="G4153" t="str">
            <v>Wood fired blpizza room</v>
          </cell>
        </row>
        <row r="4154">
          <cell r="G4154" t="str">
            <v>pool room and out door bar</v>
          </cell>
        </row>
        <row r="4155">
          <cell r="G4155" t="str">
            <v>all separate areas outside</v>
          </cell>
        </row>
        <row r="4157">
          <cell r="G4157" t="str">
            <v>gorgeous quirky pub and down to explore more crafts and courtney is interested in the post box for camden in garden for summer</v>
          </cell>
        </row>
        <row r="4159">
          <cell r="G4159" t="str">
            <v>courtney 07534692721</v>
          </cell>
        </row>
        <row r="4160">
          <cell r="G4160" t="str">
            <v>John 07930371082</v>
          </cell>
        </row>
        <row r="4166">
          <cell r="G4166" t="str">
            <v>half of magners</v>
          </cell>
        </row>
        <row r="4168">
          <cell r="G4168" t="str">
            <v>chass projector</v>
          </cell>
        </row>
        <row r="4170">
          <cell r="G4170" t="str">
            <v>camden pos, runners, coasters, send couple of tin badges</v>
          </cell>
        </row>
        <row r="4171">
          <cell r="G4171" t="str">
            <v>bud stuff for world cup</v>
          </cell>
        </row>
        <row r="4173">
          <cell r="G4173" t="str">
            <v>chatted to john LL hells going well, just neex some more awareness as round side bit, pos will help</v>
          </cell>
        </row>
        <row r="4175">
          <cell r="G4175" t="str">
            <v>w outdoor bar is keen on postbox for camden, means pale as additional product, can then get on main bar if sales good</v>
          </cell>
        </row>
        <row r="4176">
          <cell r="G4176" t="str">
            <v>follow up and get sorted</v>
          </cell>
        </row>
        <row r="4177">
          <cell r="G4177" t="str">
            <v>Met bob good chat and open to talk</v>
          </cell>
        </row>
        <row r="4178">
          <cell r="G4178">
            <v>7983801960</v>
          </cell>
        </row>
        <row r="4179">
          <cell r="G4179" t="str">
            <v>May go down 1 tap just he doesn't get that kind of business.. if he does it will be bud- let him know if he goes that route- let me know and we can explore our other brands and make more profit too.</v>
          </cell>
        </row>
        <row r="4180">
          <cell r="G4180" t="str">
            <v>Stella is 70% of his volume</v>
          </cell>
        </row>
        <row r="4181">
          <cell r="G4181" t="str">
            <v>trade workers and 40-65 age</v>
          </cell>
        </row>
        <row r="4182">
          <cell r="G4182" t="str">
            <v>craft not option</v>
          </cell>
        </row>
        <row r="4185">
          <cell r="G4185" t="str">
            <v xml:space="preserve"> Bob. Working man's pub. Has 3 of our brands for the BT deal, one to just keep happy.</v>
          </cell>
        </row>
        <row r="4186">
          <cell r="G4186" t="str">
            <v>neckoil replaced Atlantic</v>
          </cell>
        </row>
        <row r="4187">
          <cell r="G4187" t="str">
            <v>amstel possible target</v>
          </cell>
        </row>
        <row r="4188">
          <cell r="G4188" t="str">
            <v>quiz every other week and bingo and karaoke</v>
          </cell>
        </row>
        <row r="4189">
          <cell r="G4189" t="str">
            <v>live music</v>
          </cell>
        </row>
        <row r="4190">
          <cell r="G4190" t="str">
            <v>07828663285 jacqui LOVES the pale before I brought it up and was interested in tnt as people leave if they don't have a game on</v>
          </cell>
        </row>
        <row r="4191">
          <cell r="G4191" t="str">
            <v>Paul let's jacqui run the bar program and is desision maker</v>
          </cell>
        </row>
        <row r="4195">
          <cell r="G4195" t="str">
            <v>Jacqui new manager, Paul LL. Atlantic Pale performing very bad, 5 pints last week- target for Camden Pale.</v>
          </cell>
        </row>
        <row r="4198">
          <cell r="G4198" t="str">
            <v>magners install for kingtones</v>
          </cell>
        </row>
        <row r="4200">
          <cell r="G4200" t="str">
            <v>get lots of pos support - 8 tables</v>
          </cell>
        </row>
        <row r="4201">
          <cell r="G4201" t="str">
            <v>stella parasols, general stella support</v>
          </cell>
        </row>
        <row r="4203">
          <cell r="G4203" t="str">
            <v>stella doing solid</v>
          </cell>
        </row>
        <row r="4205">
          <cell r="G4205" t="str">
            <v>estrella out for madri, san mig out for coors</v>
          </cell>
        </row>
        <row r="4207">
          <cell r="G4207" t="str">
            <v>coors deal so nah to new brands</v>
          </cell>
        </row>
        <row r="4209">
          <cell r="G4209" t="str">
            <v>doing sky at all, stella glassware for all:</v>
          </cell>
        </row>
        <row r="4210">
          <cell r="G4210" t="str">
            <v>white horse CM8</v>
          </cell>
        </row>
        <row r="4211">
          <cell r="G4211" t="str">
            <v>whatsheaf near chelmsford, foody, estrella does well,</v>
          </cell>
        </row>
        <row r="4212">
          <cell r="G4212" t="str">
            <v>falstead - chequers, only 3 months, gonna get foody, affluent area</v>
          </cell>
        </row>
        <row r="4214">
          <cell r="G4214" t="str">
            <v>ALL ESTRELLA FOR MADRI AND SANMIG FOR COORS</v>
          </cell>
        </row>
        <row r="4217">
          <cell r="G4217" t="str">
            <v>estrella br font</v>
          </cell>
        </row>
        <row r="4218">
          <cell r="G4218" t="str">
            <v>t bar 1 - guinn, sanmig, carlsberg, amstel, stella</v>
          </cell>
        </row>
        <row r="4219">
          <cell r="G4219" t="str">
            <v>t bar 2 - kstone wildberry, sbow cloudy, kstone apple</v>
          </cell>
        </row>
        <row r="4220">
          <cell r="G4220" t="str">
            <v>single font wainwright golden beer</v>
          </cell>
        </row>
        <row r="4221">
          <cell r="G4221" t="str">
            <v>cask x4 - 61 deep + bombardier amber ale</v>
          </cell>
        </row>
        <row r="4223">
          <cell r="G4223" t="str">
            <v>side bar:</v>
          </cell>
        </row>
        <row r="4224">
          <cell r="G4224" t="str">
            <v>t bar - estrella, carlsb, sanmig</v>
          </cell>
        </row>
        <row r="4225">
          <cell r="G4225" t="str">
            <v>double font - kingstone 1 and 2</v>
          </cell>
        </row>
        <row r="4226">
          <cell r="G4226" t="str">
            <v>4 cocktail font</v>
          </cell>
        </row>
        <row r="4227">
          <cell r="G4227" t="str">
            <v>mick LL</v>
          </cell>
        </row>
        <row r="4228">
          <cell r="G4228" t="str">
            <v>32 years leased</v>
          </cell>
        </row>
        <row r="4229">
          <cell r="G4229" t="str">
            <v>Boddington on 30 years</v>
          </cell>
        </row>
        <row r="4231">
          <cell r="G4231" t="str">
            <v>thatchers on but a dummy font.... though he's not keen to put anything else on... thatchers may come back in summer (sweeter and doesn't last as long) but his customers are also 90 ish and stick to core</v>
          </cell>
        </row>
        <row r="4232">
          <cell r="G4232" t="str">
            <v>madri and stella top pours</v>
          </cell>
        </row>
        <row r="4233">
          <cell r="G4233" t="str">
            <v>sells a fair amount of each brand... fosters I see coming off in a years time (seemed unsure of it) - lovely garden with a view of the hill</v>
          </cell>
        </row>
        <row r="4235">
          <cell r="G4235" t="str">
            <v>not to keen on craft because of the small town</v>
          </cell>
        </row>
        <row r="4237">
          <cell r="G4237" t="str">
            <v>Martin is LL</v>
          </cell>
        </row>
        <row r="4239">
          <cell r="G4239" t="str">
            <v>has a pub dog and turtle! Hahaha</v>
          </cell>
        </row>
        <row r="4240">
          <cell r="G4240" t="str">
            <v>Justin LL</v>
          </cell>
        </row>
        <row r="4241">
          <cell r="G4241" t="str">
            <v>in for about 6 months - currently copartner with other landlords of 12 years that are on their way out</v>
          </cell>
        </row>
        <row r="4243">
          <cell r="G4243" t="str">
            <v>very nice, food led pub,  not much volume though</v>
          </cell>
        </row>
        <row r="4245">
          <cell r="G4245" t="str">
            <v>bartender Tom 07533089230</v>
          </cell>
        </row>
        <row r="4246">
          <cell r="G4246" t="str">
            <v>going to camden brewery for mates day - see if I can do anything</v>
          </cell>
        </row>
        <row r="4248">
          <cell r="G4248" t="str">
            <v>getting stout on ipo inches- testing with free keg as bonus - will replace guinnes after bar refit</v>
          </cell>
        </row>
        <row r="4250">
          <cell r="G4250" t="str">
            <v>check back in a few weeks and looking to do a post box survey.... possibly opening up 3 spots on the tbar.</v>
          </cell>
        </row>
        <row r="4251">
          <cell r="G4251" t="str">
            <v>Glenn LL - had this for 6 months</v>
          </cell>
        </row>
        <row r="4252">
          <cell r="G4252" t="str">
            <v>cruzcampo churned Stella</v>
          </cell>
        </row>
        <row r="4253">
          <cell r="G4253" t="str">
            <v>rona still in fridge</v>
          </cell>
        </row>
        <row r="4255">
          <cell r="G4255" t="str">
            <v>campo likely coming back off- just not doing so well</v>
          </cell>
        </row>
        <row r="4256">
          <cell r="G4256" t="str">
            <v>Jessica  manager</v>
          </cell>
        </row>
        <row r="4257">
          <cell r="G4257">
            <v>7308238310</v>
          </cell>
        </row>
        <row r="4258">
          <cell r="G4258" t="str">
            <v>she makes beer desicions-</v>
          </cell>
        </row>
        <row r="4260">
          <cell r="G4260" t="str">
            <v>Glenn owns many pubs (12) almost all leased under different rtm</v>
          </cell>
        </row>
        <row r="4261">
          <cell r="G4261" t="str">
            <v xml:space="preserve">    Paul mngr down the road at the maisons (gk) is his business partners husband- told to go see him and book with manager jess</v>
          </cell>
        </row>
        <row r="4268">
          <cell r="G4268" t="str">
            <v>foundry inns pulling out and Gk wanting pub back - no brand changes - likely taking 6 bells through admiral</v>
          </cell>
        </row>
        <row r="4269">
          <cell r="G4269" t="str">
            <v>spoke with Martin LL</v>
          </cell>
        </row>
        <row r="4270">
          <cell r="G4270" t="str">
            <v>Had it for 26 year</v>
          </cell>
        </row>
        <row r="4271">
          <cell r="G4271" t="str">
            <v>pool and darts league</v>
          </cell>
        </row>
        <row r="4273">
          <cell r="G4273" t="str">
            <v>has tailored his lineup over the years and has something for everyone... Happy with what he has but if anything drops down he is open... check in at end of year</v>
          </cell>
        </row>
        <row r="4274">
          <cell r="G4274" t="str">
            <v>info@theoldspring.co.uk</v>
          </cell>
        </row>
        <row r="4275">
          <cell r="G4275" t="str">
            <v>they come in at night... someone already came in from bbg just a couple hours before me but they didn't leave a card.</v>
          </cell>
        </row>
        <row r="4277">
          <cell r="G4277" t="str">
            <v>steve or omar ll of castle-</v>
          </cell>
        </row>
        <row r="4280">
          <cell r="G4280" t="str">
            <v>Met Troy, camden not the best seller compared to brewdog and neck oil</v>
          </cell>
        </row>
        <row r="4282">
          <cell r="G4282" t="str">
            <v>ABK sells well</v>
          </cell>
        </row>
        <row r="4283">
          <cell r="G4283" t="str">
            <v>discussed adding hells onto bar on a postbox to drive RoS</v>
          </cell>
        </row>
        <row r="4285">
          <cell r="G4285" t="str">
            <v>checked cellar - space in cooler but couldn’t see in python so survey would be needed</v>
          </cell>
        </row>
        <row r="4287">
          <cell r="G4287" t="str">
            <v>said he will reach out to me if keen</v>
          </cell>
        </row>
        <row r="4288">
          <cell r="G4288" t="str">
            <v>spoke with Kelly bartender about entertainment  of the year award... music venue and food led pub.</v>
          </cell>
        </row>
        <row r="4290">
          <cell r="G4290" t="str">
            <v>samnewson@live.co.uk</v>
          </cell>
        </row>
        <row r="4293">
          <cell r="G4293" t="str">
            <v>corona in the fridge but not comfy talking beer aside from pricing... Sam not in, try again later</v>
          </cell>
        </row>
        <row r="4294">
          <cell r="G4294" t="str">
            <v>dave</v>
          </cell>
        </row>
        <row r="4295">
          <cell r="G4295" t="str">
            <v>18 years LL</v>
          </cell>
        </row>
        <row r="4296">
          <cell r="G4296" t="str">
            <v>check in end of summer</v>
          </cell>
        </row>
        <row r="4297">
          <cell r="G4297">
            <v>7720061361</v>
          </cell>
        </row>
        <row r="4299">
          <cell r="G4299" t="str">
            <v>loads of guiness</v>
          </cell>
        </row>
        <row r="4301">
          <cell r="G4301" t="str">
            <v>punk ipa heading out and delisted... looking for a replacement in a couple months time</v>
          </cell>
        </row>
        <row r="4302">
          <cell r="G4302" t="str">
            <v>(?he over ordered punk to be stocked)</v>
          </cell>
        </row>
        <row r="4303">
          <cell r="G4303" t="str">
            <v>requests</v>
          </cell>
        </row>
        <row r="4304">
          <cell r="G4304" t="str">
            <v>op pints</v>
          </cell>
        </row>
        <row r="4305">
          <cell r="G4305" t="str">
            <v xml:space="preserve">leffe glasses </v>
          </cell>
        </row>
        <row r="4307">
          <cell r="G4307" t="str">
            <v>live and let live pub also owns - free</v>
          </cell>
        </row>
        <row r="4308">
          <cell r="G4308" t="str">
            <v>Megan at home with the new baby - met husband</v>
          </cell>
        </row>
        <row r="4310">
          <cell r="G4310" t="str">
            <v>talked Camden stout</v>
          </cell>
        </row>
        <row r="4311">
          <cell r="G4311" t="str">
            <v>had hells on and just like to switch it up</v>
          </cell>
        </row>
        <row r="4313">
          <cell r="G4313" t="str">
            <v>Tom at bread line - theford . his friend , free of tie, asked to contact him</v>
          </cell>
        </row>
        <row r="4314">
          <cell r="G4314" t="str">
            <v>got Karen's number to fall when not working the kitchen</v>
          </cell>
        </row>
        <row r="4319">
          <cell r="G4319" t="str">
            <v>Met Karen - Manageress</v>
          </cell>
        </row>
        <row r="4321">
          <cell r="G4321" t="str">
            <v>Stella best seller then carlsberg and fosters</v>
          </cell>
        </row>
        <row r="4323">
          <cell r="G4323" t="str">
            <v>camden on 50p a bottle as doesn’t sell</v>
          </cell>
        </row>
        <row r="4325">
          <cell r="G4325" t="str">
            <v>mixed demographic older in day younger at night</v>
          </cell>
        </row>
        <row r="4327">
          <cell r="G4327" t="str">
            <v>need glassware and bar runners for stella</v>
          </cell>
        </row>
        <row r="4328">
          <cell r="G4328" t="str">
            <v>Adrian 2 years in May</v>
          </cell>
        </row>
        <row r="4329">
          <cell r="G4329" t="str">
            <v>bridgehouseStNeots1@gmail.com</v>
          </cell>
        </row>
        <row r="4331">
          <cell r="G4331" t="str">
            <v>Ben bartender had a good talk</v>
          </cell>
        </row>
        <row r="4333">
          <cell r="G4333" t="str">
            <v>Brixton on a few months</v>
          </cell>
        </row>
        <row r="4334">
          <cell r="G4334" t="str">
            <v>most expensive but still sells fair enough - maybe a tackle</v>
          </cell>
        </row>
        <row r="4335">
          <cell r="G4335" t="str">
            <v>Gk</v>
          </cell>
        </row>
        <row r="4336">
          <cell r="G4336" t="str">
            <v>Stoutbsamp request -</v>
          </cell>
        </row>
        <row r="4337">
          <cell r="G4337" t="str">
            <v>Mark and Marlow (or collin)</v>
          </cell>
        </row>
        <row r="4338">
          <cell r="G4338" t="str">
            <v>Real ale pub</v>
          </cell>
        </row>
        <row r="4340">
          <cell r="G4340" t="str">
            <v>Award survey</v>
          </cell>
        </row>
        <row r="4341">
          <cell r="G4341" t="str">
            <v>DIT with RM lee</v>
          </cell>
        </row>
        <row r="4342">
          <cell r="G4342" t="str">
            <v>met Amy other LL</v>
          </cell>
        </row>
        <row r="4343">
          <cell r="G4343" t="str">
            <v>rona worst pour- on tbar vs font- sending pos</v>
          </cell>
        </row>
        <row r="4344">
          <cell r="G4344" t="str">
            <v>also signed up for rona sunset last year and got left behind... gonna try again this year</v>
          </cell>
        </row>
        <row r="4349">
          <cell r="G4349" t="str">
            <v>Anthony not in - day off so will call him on sunsets</v>
          </cell>
        </row>
        <row r="4351">
          <cell r="G4351" t="str">
            <v>staff say corona selling well and PoS arrived</v>
          </cell>
        </row>
        <row r="4352">
          <cell r="G4352" t="str">
            <v>dit with rm Lee jarvis</v>
          </cell>
        </row>
        <row r="4354">
          <cell r="G4354" t="str">
            <v>steve mngr</v>
          </cell>
        </row>
        <row r="4355">
          <cell r="G4355" t="str">
            <v>Pete and Francis LL own 4 other pubs in general area</v>
          </cell>
        </row>
        <row r="4357">
          <cell r="G4357" t="str">
            <v>cocktail bar not much beer vol</v>
          </cell>
        </row>
        <row r="4358">
          <cell r="G4358" t="str">
            <v>Katie LL</v>
          </cell>
        </row>
        <row r="4360">
          <cell r="G4360" t="str">
            <v>fairly against Stella on the bar, her core brands are all doing her well</v>
          </cell>
        </row>
        <row r="4361">
          <cell r="G4361" t="str">
            <v>moretti best seller</v>
          </cell>
        </row>
        <row r="4362">
          <cell r="G4362" t="str">
            <v>neckoil hit and miss - thinking to change up</v>
          </cell>
        </row>
        <row r="4363">
          <cell r="G4363" t="str">
            <v>curious about Camden stout along side of guiness</v>
          </cell>
        </row>
        <row r="4364">
          <cell r="G4364" t="str">
            <v>back Wednesday</v>
          </cell>
        </row>
        <row r="4365">
          <cell r="G4365">
            <v>7507937146</v>
          </cell>
        </row>
        <row r="4369">
          <cell r="G4369" t="str">
            <v>Mo is leaseholder, she's not around today, back in tomorrow, give a call at lunchtime. Left stout samples.</v>
          </cell>
        </row>
        <row r="4371">
          <cell r="G4371" t="str">
            <v>Chatted with Chris. Mixed crowd but slightly older, wet led.</v>
          </cell>
        </row>
        <row r="4373">
          <cell r="G4373" t="str">
            <v>Best seller is Stella and worst is Madri, but only came in 4 months ago.</v>
          </cell>
        </row>
        <row r="4375">
          <cell r="G4375" t="str">
            <v>Send Stella glasses and beer mats.</v>
          </cell>
        </row>
        <row r="4376">
          <cell r="G4376" t="str">
            <v>Cullenjane41@gmail.com</v>
          </cell>
        </row>
        <row r="4377">
          <cell r="G4377" t="str">
            <v>Send Stella both glasses</v>
          </cell>
        </row>
        <row r="4379">
          <cell r="G4379" t="str">
            <v>Jane's partner is in the hospital</v>
          </cell>
        </row>
        <row r="4380">
          <cell r="G4380" t="str">
            <v>emailing for meet</v>
          </cell>
        </row>
        <row r="4381">
          <cell r="G4381" t="str">
            <v>Tracy</v>
          </cell>
        </row>
        <row r="4382">
          <cell r="G4382">
            <v>7762141393</v>
          </cell>
        </row>
        <row r="4383">
          <cell r="G4383" t="str">
            <v>2yrs leased</v>
          </cell>
        </row>
        <row r="4384">
          <cell r="G4384" t="str">
            <v>Joe</v>
          </cell>
        </row>
        <row r="4385">
          <cell r="G4385">
            <v>7940335161</v>
          </cell>
        </row>
        <row r="4387">
          <cell r="G4387" t="str">
            <v>Michelle bartender</v>
          </cell>
        </row>
        <row r="4389">
          <cell r="G4389" t="str">
            <v>on holiday- calling next week</v>
          </cell>
        </row>
        <row r="4391">
          <cell r="G4391" t="str">
            <v>has tnt</v>
          </cell>
        </row>
        <row r="4392">
          <cell r="G4392" t="str">
            <v>met Tom LL (his brother Sam works for bbg)</v>
          </cell>
        </row>
        <row r="4393">
          <cell r="G4393" t="str">
            <v>we pre promised 1 or 2 kegs for installs</v>
          </cell>
        </row>
        <row r="4395">
          <cell r="G4395" t="str">
            <v>swapping inches for orchardpig</v>
          </cell>
        </row>
        <row r="4396">
          <cell r="G4396" t="str">
            <v>amstell for unfiltered</v>
          </cell>
        </row>
        <row r="4397">
          <cell r="G4397" t="str">
            <v>and maybe moretti for Camden hells</v>
          </cell>
        </row>
        <row r="4399">
          <cell r="G4399" t="str">
            <v>he wants op samples sent</v>
          </cell>
        </row>
        <row r="4400">
          <cell r="G4400" t="str">
            <v>doing a bar refit with Heineken (adding a 6th line)- after that's done he will contact for install</v>
          </cell>
        </row>
        <row r="4401">
          <cell r="G4401" t="str">
            <v>rid of neckoil for Laine Sonar IPA- craft rotation (thinking stout possibility)</v>
          </cell>
        </row>
        <row r="4402">
          <cell r="G4402" t="str">
            <v>if not pravah is doing me and another option</v>
          </cell>
        </row>
        <row r="4403">
          <cell r="G4403" t="str">
            <v>met john- caks auditor was in at the same time.</v>
          </cell>
        </row>
        <row r="4405">
          <cell r="G4405" t="str">
            <v>John 07891299684</v>
          </cell>
        </row>
        <row r="4406">
          <cell r="G4406" t="str">
            <v>reminder to check in a months time</v>
          </cell>
        </row>
        <row r="4411">
          <cell r="G4411" t="str">
            <v>John and Claire are the leaseholders, weren't around so chatted to bartender.</v>
          </cell>
        </row>
        <row r="4413">
          <cell r="G4413" t="str">
            <v>They've had the place a year, plans to return in the New Year.</v>
          </cell>
        </row>
        <row r="4415">
          <cell r="G4415" t="str">
            <v>Stella in here and goes well.</v>
          </cell>
        </row>
        <row r="4417">
          <cell r="G4417" t="str">
            <v>Left Stout samples, call on Wednesday to discuss.</v>
          </cell>
        </row>
        <row r="4418">
          <cell r="G4418" t="str">
            <v>Paul son manager Nd dad Paul LL</v>
          </cell>
        </row>
        <row r="4419">
          <cell r="G4419">
            <v>7511689063</v>
          </cell>
        </row>
        <row r="4421">
          <cell r="G4421" t="str">
            <v>Amber bartender</v>
          </cell>
        </row>
        <row r="4422">
          <cell r="G4422" t="str">
            <v>not in sending a text</v>
          </cell>
        </row>
        <row r="4423">
          <cell r="G4423" t="str">
            <v>dave LL for 18 years - free of tie on kegs</v>
          </cell>
        </row>
        <row r="4424">
          <cell r="G4424">
            <v>7768958422</v>
          </cell>
        </row>
        <row r="4425">
          <cell r="G4425" t="str">
            <v>gk</v>
          </cell>
        </row>
        <row r="4427">
          <cell r="G4427" t="str">
            <v>had hells and pale on 2 years ago and replaced with neckoil- keeping mind open for trio down the road</v>
          </cell>
        </row>
        <row r="4430">
          <cell r="G4430" t="str">
            <v>round badge</v>
          </cell>
        </row>
        <row r="4431">
          <cell r="G4431" t="str">
            <v>stout on 2nd tbar ipo level head</v>
          </cell>
        </row>
        <row r="4432">
          <cell r="G4432" t="str">
            <v>DIT WITH MATT</v>
          </cell>
        </row>
        <row r="4435">
          <cell r="G4435" t="str">
            <v>Spoke to Scott's. Crisps haven't arrived yet but he received an email saying they will thid week. nothing needed as hesnoretty stocked up.</v>
          </cell>
        </row>
        <row r="4436">
          <cell r="G4436" t="str">
            <v>DIT MATT</v>
          </cell>
        </row>
        <row r="4440">
          <cell r="G4440" t="str">
            <v>met mark - LL</v>
          </cell>
        </row>
        <row r="4442">
          <cell r="G4442" t="str">
            <v>stella coors and carling best sellers</v>
          </cell>
        </row>
        <row r="4444">
          <cell r="G4444" t="str">
            <v>has murphy’s due to price point to guinness</v>
          </cell>
        </row>
        <row r="4446">
          <cell r="G4446" t="str">
            <v>quite a core pub</v>
          </cell>
        </row>
        <row r="4448">
          <cell r="G4448" t="str">
            <v>needed glassware so sent in</v>
          </cell>
        </row>
        <row r="4450">
          <cell r="G4450" t="str">
            <v>said never seen a rep from us</v>
          </cell>
        </row>
        <row r="4452">
          <cell r="G4452" t="str">
            <v>handed BC over</v>
          </cell>
        </row>
        <row r="4454">
          <cell r="G4454" t="str">
            <v>Andy Brady is rm</v>
          </cell>
        </row>
        <row r="4455">
          <cell r="G4455" t="str">
            <v>DIT WITH MATT</v>
          </cell>
        </row>
        <row r="4458">
          <cell r="G4458" t="str">
            <v>Liam away - back on Monday wanted to catch up after last time and use to get in to sam</v>
          </cell>
        </row>
        <row r="4459">
          <cell r="G4459" t="str">
            <v>DIT WITH MATT</v>
          </cell>
        </row>
        <row r="4462">
          <cell r="G4462" t="str">
            <v>Sam not available - met Jed other owner</v>
          </cell>
        </row>
        <row r="4464">
          <cell r="G4464" t="str">
            <v>has microbrewery and free of tie on all cask</v>
          </cell>
        </row>
        <row r="4466">
          <cell r="G4466" t="str">
            <v>stella good seller, as well as red stripe and staropramen</v>
          </cell>
        </row>
        <row r="4468">
          <cell r="G4468" t="str">
            <v>had to cut call short as Taylor’s arrived with beer delivery</v>
          </cell>
        </row>
        <row r="4470">
          <cell r="G4470" t="str">
            <v>has a wake in today also</v>
          </cell>
        </row>
        <row r="4472">
          <cell r="G4472" t="str">
            <v>wants coasters</v>
          </cell>
        </row>
        <row r="4473">
          <cell r="G4473" t="str">
            <v>Andrew LL</v>
          </cell>
        </row>
        <row r="4474">
          <cell r="G4474">
            <v>7397523439</v>
          </cell>
        </row>
        <row r="4476">
          <cell r="G4476" t="str">
            <v>he met me in my car and was ready to tell me to leave- but after learning who I was he talked to me about what's going on in town today and we are booking another day for me yo visit</v>
          </cell>
        </row>
        <row r="4478">
          <cell r="G4478" t="str">
            <v>all pubs in Harlow are closed for the day (gypsies funeral and all are worried about problems)</v>
          </cell>
        </row>
        <row r="4479">
          <cell r="G4479" t="str">
            <v>Julia LL</v>
          </cell>
        </row>
        <row r="4480">
          <cell r="G4480" t="str">
            <v>5 years leased</v>
          </cell>
        </row>
        <row r="4481">
          <cell r="G4481">
            <v>7762989298</v>
          </cell>
        </row>
        <row r="4483">
          <cell r="G4483" t="str">
            <v>checking in next week on Camden samples and tnt vs bt sports info (she gets it for 250 atm)</v>
          </cell>
        </row>
        <row r="4485">
          <cell r="G4485" t="str">
            <v>Stella taken off main bar- on tap in second bar (less visable)</v>
          </cell>
        </row>
        <row r="4487">
          <cell r="G4487" t="str">
            <v>send Stella 20oz</v>
          </cell>
        </row>
        <row r="4488">
          <cell r="G4488" t="str">
            <v>runners</v>
          </cell>
        </row>
        <row r="4489">
          <cell r="G4489" t="str">
            <v>wants buckets (think just corona icebuckets)</v>
          </cell>
        </row>
        <row r="4490">
          <cell r="G4490" t="str">
            <v>Darren</v>
          </cell>
        </row>
        <row r="4491">
          <cell r="G4491">
            <v>7743466496</v>
          </cell>
        </row>
        <row r="4492">
          <cell r="G4492" t="str">
            <v>only about open a week</v>
          </cell>
        </row>
        <row r="4493">
          <cell r="G4493" t="str">
            <v>turned craft union from leased</v>
          </cell>
        </row>
        <row r="4494">
          <cell r="G4494" t="str">
            <v>Colin LL</v>
          </cell>
        </row>
        <row r="4496">
          <cell r="G4496" t="str">
            <v>only moved in early Dec.</v>
          </cell>
        </row>
        <row r="4497">
          <cell r="G4497" t="str">
            <v>not making changes for a few months to fill it up.</v>
          </cell>
        </row>
        <row r="4499">
          <cell r="G4499" t="str">
            <v>morettit most expensive and best seller</v>
          </cell>
        </row>
        <row r="4500">
          <cell r="G4500" t="str">
            <v>3kegs of guines a month... not at all willing to add stout</v>
          </cell>
        </row>
        <row r="4501">
          <cell r="G4501" t="str">
            <v>lager heavy drinkers... food led- mix of everything roast dinners and  crepes- 60 covers a night on average</v>
          </cell>
        </row>
        <row r="4502">
          <cell r="G4502" t="str">
            <v>no sports</v>
          </cell>
        </row>
        <row r="4503">
          <cell r="G4503" t="str">
            <v>Chris LL</v>
          </cell>
        </row>
        <row r="4504">
          <cell r="G4504">
            <v>7544225137</v>
          </cell>
        </row>
        <row r="4506">
          <cell r="G4506" t="str">
            <v>took off standard magners and put a dummy cruzcampo on- aspalls just took the sales</v>
          </cell>
        </row>
        <row r="4508">
          <cell r="G4508" t="str">
            <v>cruzcampo in six months and is doing top two with stella</v>
          </cell>
        </row>
        <row r="4510">
          <cell r="G4510" t="str">
            <v>has an extra line and campo on a dummy tab on the tbar</v>
          </cell>
        </row>
        <row r="4512">
          <cell r="G4512" t="str">
            <v>carlsberg may be a target down the road</v>
          </cell>
        </row>
        <row r="4514">
          <cell r="G4514" t="str">
            <v>not tnt- doesn't want that crowd and also doesn't bring enough people</v>
          </cell>
        </row>
        <row r="4516">
          <cell r="G4516" t="str">
            <v>thinking pale and hells dual stock</v>
          </cell>
        </row>
        <row r="4517">
          <cell r="G4517" t="str">
            <v>reminder to call next week</v>
          </cell>
        </row>
        <row r="4518">
          <cell r="G4518" t="str">
            <v>monday</v>
          </cell>
        </row>
        <row r="4519">
          <cell r="G4519" t="str">
            <v xml:space="preserve">Alison Smith LL </v>
          </cell>
        </row>
        <row r="4521">
          <cell r="G4521" t="str">
            <v>won't give contact</v>
          </cell>
        </row>
        <row r="4523">
          <cell r="G4523" t="str">
            <v>they have tnt - popping by next Monday to bring samples</v>
          </cell>
        </row>
        <row r="4525">
          <cell r="G4525" t="str">
            <v>live music on Saturdays</v>
          </cell>
        </row>
        <row r="4526">
          <cell r="G4526" t="str">
            <v>Andrew lowson</v>
          </cell>
        </row>
        <row r="4527">
          <cell r="G4527" t="str">
            <v>contact@nelsonsheadpubstives.co.uk</v>
          </cell>
        </row>
        <row r="4528">
          <cell r="G4528" t="str">
            <v>p:01480494146</v>
          </cell>
        </row>
        <row r="4530">
          <cell r="G4530" t="str">
            <v>moves to hive a year ago</v>
          </cell>
        </row>
        <row r="4532">
          <cell r="G4532" t="str">
            <v>fosters £3.8</v>
          </cell>
        </row>
        <row r="4533">
          <cell r="G4533" t="str">
            <v>moretti 50p more than San mig but both sell very well ams about equal volumes</v>
          </cell>
        </row>
        <row r="4534">
          <cell r="G4534" t="str">
            <v>carling prob going out for hells- and excited about Stout next to guiness</v>
          </cell>
        </row>
        <row r="4535">
          <cell r="G4535" t="str">
            <v>talked tnt</v>
          </cell>
        </row>
        <row r="4536">
          <cell r="G4536" t="str">
            <v>- his friend leases a pub in goldmenchester and apparently I Brought samples there- hey talked together and will both probably be going forward</v>
          </cell>
        </row>
        <row r="4538">
          <cell r="G4538" t="str">
            <v>reminder to follow up with both pubs in a weeks time</v>
          </cell>
        </row>
        <row r="4543">
          <cell r="G4543" t="str">
            <v>11am meet on monday 12</v>
          </cell>
        </row>
        <row r="4544">
          <cell r="G4544">
            <v>7754349575</v>
          </cell>
        </row>
        <row r="4545">
          <cell r="G4545" t="str">
            <v>damo</v>
          </cell>
        </row>
        <row r="4546">
          <cell r="G4546" t="str">
            <v>tnt sports have- bringing samples</v>
          </cell>
        </row>
        <row r="4550">
          <cell r="G4550" t="str">
            <v>madri</v>
          </cell>
        </row>
        <row r="4551">
          <cell r="G4551" t="str">
            <v>fosters</v>
          </cell>
        </row>
        <row r="4552">
          <cell r="G4552" t="str">
            <v>top pourers</v>
          </cell>
        </row>
        <row r="4554">
          <cell r="G4554" t="str">
            <v>carling maybe a good target</v>
          </cell>
        </row>
        <row r="4555">
          <cell r="G4555" t="str">
            <v>Mon open at 3 @12</v>
          </cell>
        </row>
        <row r="4557">
          <cell r="G4557" t="str">
            <v>Theresa LL bartender is sending my card to her... she's never consistently in</v>
          </cell>
        </row>
        <row r="4558">
          <cell r="G4558" t="str">
            <v>talked to bartender- didnt wamt to talk or give LL info- said she would send a pic of my card to the LL and told me a wake is coming in soon as a bit of shew</v>
          </cell>
        </row>
        <row r="4559">
          <cell r="G4559" t="str">
            <v>Charles Wells - Chris is his bdm</v>
          </cell>
        </row>
        <row r="4560">
          <cell r="G4560" t="str">
            <v>open 15 Dec</v>
          </cell>
        </row>
        <row r="4562">
          <cell r="G4562" t="str">
            <v>turned managed- was a tnt lead from tj- still got info and will talk to managed bdm</v>
          </cell>
        </row>
        <row r="4564">
          <cell r="G4564" t="str">
            <v>madrix2 and Fosterx2 3.9 top - 500 pints</v>
          </cell>
        </row>
        <row r="4565">
          <cell r="G4565" t="str">
            <v>pravah 150</v>
          </cell>
        </row>
        <row r="4566">
          <cell r="G4566" t="str">
            <v>foghorn (hard to move as brewery thing- but not selling)</v>
          </cell>
        </row>
        <row r="4567">
          <cell r="G4567" t="str">
            <v>guiness</v>
          </cell>
        </row>
        <row r="4568">
          <cell r="G4568" t="str">
            <v>aspalls</v>
          </cell>
        </row>
        <row r="4570">
          <cell r="G4570" t="str">
            <v>madri font replace for Corona</v>
          </cell>
        </row>
        <row r="4571">
          <cell r="G4571" t="str">
            <v>second fosters replaced with hells</v>
          </cell>
        </row>
        <row r="4572">
          <cell r="G4572" t="str">
            <v>1 keg of Stella a week #1 pourer</v>
          </cell>
        </row>
        <row r="4574">
          <cell r="G4574" t="str">
            <v>Had pale at one point</v>
          </cell>
        </row>
        <row r="4575">
          <cell r="G4575" t="str">
            <v>Madri #2</v>
          </cell>
        </row>
        <row r="4576">
          <cell r="G4576" t="str">
            <v>Neckoil 6.7</v>
          </cell>
        </row>
        <row r="4578">
          <cell r="G4578" t="str">
            <v>Have extra lined</v>
          </cell>
        </row>
        <row r="4579">
          <cell r="G4579" t="str">
            <v>Gk</v>
          </cell>
        </row>
        <row r="4580">
          <cell r="G4580" t="str">
            <v>LeaSe up next month- danielle LL- was Hudson renamed year and a half ago</v>
          </cell>
        </row>
        <row r="4583">
          <cell r="G4583" t="str">
            <v>danielle LL - 07392217733</v>
          </cell>
        </row>
        <row r="4585">
          <cell r="G4585" t="str">
            <v>Very cost conscious- feel like a "slave" with greeneking rules and prices and moving into coffee shop going forward</v>
          </cell>
        </row>
        <row r="4586">
          <cell r="G4586" t="str">
            <v>Katie bartender</v>
          </cell>
        </row>
        <row r="4587">
          <cell r="G4587" t="str">
            <v>thought stout was off but is still on</v>
          </cell>
        </row>
        <row r="4588">
          <cell r="G4588" t="str">
            <v>wouldn't give number to me for jim-</v>
          </cell>
        </row>
        <row r="4592">
          <cell r="G4592" t="str">
            <v>Chat with Jim about Stout, seems keen to give it a run, call on Thursday at 6 to discuss.</v>
          </cell>
        </row>
        <row r="4594">
          <cell r="G4594" t="str">
            <v>more hack halves, stella halves</v>
          </cell>
        </row>
        <row r="4595">
          <cell r="G4595" t="str">
            <v>runners for both</v>
          </cell>
        </row>
        <row r="4597">
          <cell r="G4597" t="str">
            <v>jim owner - HELLS ON FOR FOSTERS OI OI</v>
          </cell>
        </row>
        <row r="4599">
          <cell r="G4599" t="str">
            <v>esta unbr font</v>
          </cell>
        </row>
        <row r="4600">
          <cell r="G4600" t="str">
            <v>t bar - stella, moretti, fosters</v>
          </cell>
        </row>
        <row r="4601">
          <cell r="G4601" t="str">
            <v>thatchers unbr font</v>
          </cell>
        </row>
        <row r="4602">
          <cell r="G4602" t="str">
            <v>guinness font x4</v>
          </cell>
        </row>
        <row r="4603">
          <cell r="G4603" t="str">
            <v>cask x3 - all tribute pale ale</v>
          </cell>
        </row>
        <row r="4604">
          <cell r="G4604" t="str">
            <v>4 out smirnoff cocktail font</v>
          </cell>
        </row>
        <row r="4605">
          <cell r="G4605" t="str">
            <v>camden pale on unbr font</v>
          </cell>
        </row>
        <row r="4606">
          <cell r="G4606" t="str">
            <v>t bar 2 - amstel, moretti, fosters</v>
          </cell>
        </row>
        <row r="4607">
          <cell r="G4607" t="str">
            <v>estrella unbr font</v>
          </cell>
        </row>
        <row r="4608">
          <cell r="G4608" t="str">
            <v>food</v>
          </cell>
        </row>
        <row r="4610">
          <cell r="G4610" t="str">
            <v>p7541275882</v>
          </cell>
        </row>
        <row r="4611">
          <cell r="G4611" t="str">
            <v>will -</v>
          </cell>
        </row>
        <row r="4613">
          <cell r="G4613" t="str">
            <v>kennedy glasses</v>
          </cell>
        </row>
        <row r="4614">
          <cell r="G4614" t="str">
            <v>Stella   glasses</v>
          </cell>
        </row>
        <row r="4615">
          <cell r="G4615" t="str">
            <v>David nightingale and Karen perks LL</v>
          </cell>
        </row>
        <row r="4617">
          <cell r="G4617" t="str">
            <v>Stella too expensive for them</v>
          </cell>
        </row>
        <row r="4618">
          <cell r="G4618" t="str">
            <v>corona bottles too expensive</v>
          </cell>
        </row>
        <row r="4620">
          <cell r="G4620" t="str">
            <v>getting rid of moretti--- to expensive</v>
          </cell>
        </row>
        <row r="4622">
          <cell r="G4622" t="str">
            <v>suuuuuuch nice people and willing to talk but no room for growth- cost</v>
          </cell>
        </row>
        <row r="4623">
          <cell r="G4623" t="str">
            <v>Darrell  and peachey is who to talk to but leased through a group (own 5 or 6 pubs in PE)</v>
          </cell>
        </row>
        <row r="4624">
          <cell r="G4624" t="str">
            <v>pub venture company group- is this managed?</v>
          </cell>
        </row>
        <row r="4625">
          <cell r="G4625" t="str">
            <v>packaged only</v>
          </cell>
        </row>
        <row r="4628">
          <cell r="G4628" t="str">
            <v>send pvc for Bud and corona bottles</v>
          </cell>
        </row>
        <row r="4629">
          <cell r="G4629" t="str">
            <v>luke wilkson and mngmnt</v>
          </cell>
        </row>
        <row r="4630">
          <cell r="G4630" t="str">
            <v>they have tnt</v>
          </cell>
        </row>
        <row r="4631">
          <cell r="G4631" t="str">
            <v>simone</v>
          </cell>
        </row>
        <row r="4632">
          <cell r="G4632">
            <v>7934634901</v>
          </cell>
        </row>
        <row r="4634">
          <cell r="G4634" t="str">
            <v>LL for 2 years</v>
          </cell>
        </row>
        <row r="4635">
          <cell r="G4635" t="str">
            <v>madri 4.80 (same as stella) starting to go down- weekend thing</v>
          </cell>
        </row>
        <row r="4637">
          <cell r="G4637" t="str">
            <v>carling also doing ppurly- known for fobbing</v>
          </cell>
        </row>
        <row r="4639">
          <cell r="G4639" t="str">
            <v>wants to swap strong bow (is cider part of tnt)</v>
          </cell>
        </row>
        <row r="4640">
          <cell r="G4640" t="str">
            <v>mitch and Marie(LL)</v>
          </cell>
        </row>
        <row r="4642">
          <cell r="G4642" t="str">
            <v>send half's pints</v>
          </cell>
        </row>
        <row r="4645">
          <cell r="G4645" t="str">
            <v>sowned since August-</v>
          </cell>
        </row>
        <row r="4646">
          <cell r="G4646" t="str">
            <v>Dawn is bartender</v>
          </cell>
        </row>
        <row r="4648">
          <cell r="G4648" t="str">
            <v>3 music fest August two of them</v>
          </cell>
        </row>
        <row r="4650">
          <cell r="G4650" t="str">
            <v>going through craft union beginning of April</v>
          </cell>
        </row>
        <row r="4652">
          <cell r="G4652" t="str">
            <v>doesn't think Camden is for them... until they open the back garden with the remodel</v>
          </cell>
        </row>
        <row r="4653">
          <cell r="G4653" t="str">
            <v>early May rona check in - setting up huge back garden area- has two separate building for bar - aside from the main pub area upstairs event space, and another building for event space</v>
          </cell>
        </row>
        <row r="4655">
          <cell r="G4655" t="str">
            <v>has music festival, quiz and bingo</v>
          </cell>
        </row>
        <row r="4657">
          <cell r="G4657">
            <v>7725467655</v>
          </cell>
        </row>
        <row r="4658">
          <cell r="G4658" t="str">
            <v>jezz or jazz (man, accent confusion)- just got the pubin November and is his first pub</v>
          </cell>
        </row>
        <row r="4660">
          <cell r="G4660" t="str">
            <v>he knows corona is doing great but believes it's the bottle sales not draught in the garden that will do well</v>
          </cell>
        </row>
        <row r="4662">
          <cell r="G4662" t="str">
            <v>doesn't think that Camden is enough of an outside centric beer either...</v>
          </cell>
        </row>
        <row r="4664">
          <cell r="G4664" t="str">
            <v>no tnt- doesn't want that crowd... or the wife beater Stella crowd</v>
          </cell>
        </row>
        <row r="4666">
          <cell r="G4666" t="str">
            <v>super nice and inviting guy but does have a reason for saying no for each brand that's available</v>
          </cell>
        </row>
        <row r="4668">
          <cell r="G4668" t="str">
            <v>still checking in may</v>
          </cell>
        </row>
        <row r="4669">
          <cell r="G4669" t="str">
            <v>11am meet on monday 12</v>
          </cell>
        </row>
        <row r="4670">
          <cell r="G4670">
            <v>7754349575</v>
          </cell>
        </row>
        <row r="4671">
          <cell r="G4671" t="str">
            <v>damo</v>
          </cell>
        </row>
        <row r="4672">
          <cell r="G4672" t="str">
            <v>tnt sports have- bringing samples</v>
          </cell>
        </row>
        <row r="4676">
          <cell r="G4676" t="str">
            <v>madri</v>
          </cell>
        </row>
        <row r="4677">
          <cell r="G4677" t="str">
            <v>fosters</v>
          </cell>
        </row>
        <row r="4678">
          <cell r="G4678" t="str">
            <v>top pourers</v>
          </cell>
        </row>
        <row r="4680">
          <cell r="G4680" t="str">
            <v>carling maybe a good target</v>
          </cell>
        </row>
        <row r="4681">
          <cell r="G4681" t="str">
            <v>Crawford is LL- in back but to busy to come up</v>
          </cell>
        </row>
        <row r="4682">
          <cell r="G4682" t="str">
            <v>left card - reminder to call for apt</v>
          </cell>
        </row>
        <row r="4683">
          <cell r="G4683" t="str">
            <v>Mark Duffield LL lease up In June- rents getting ££ - waiting stonegate out , may retire early</v>
          </cell>
        </row>
        <row r="4685">
          <cell r="G4685" t="str">
            <v>took rona out during covid</v>
          </cell>
        </row>
        <row r="4686">
          <cell r="G4686" t="str">
            <v>Bud out since he wasn't getting any love from reps and stella has dropped from 2nd to 3rd in pla e or moretti (he's been using moreti glasses for stella) - ordered</v>
          </cell>
        </row>
        <row r="4688">
          <cell r="G4688">
            <v>7512020813</v>
          </cell>
        </row>
        <row r="4689">
          <cell r="G4689" t="str">
            <v>keen to swap neckoil or hopical for camden</v>
          </cell>
        </row>
        <row r="4690">
          <cell r="G4690" t="str">
            <v>Paul is LL</v>
          </cell>
        </row>
        <row r="4692">
          <cell r="G4692" t="str">
            <v>came to say hi but acted very busy 'right at opening?</v>
          </cell>
        </row>
        <row r="4693">
          <cell r="G4693" t="str">
            <v>"all I need from you"</v>
          </cell>
        </row>
        <row r="4694">
          <cell r="G4694" t="str">
            <v>wouldn't say hi properly or share names just wanted glassware auto shipped once a month and then stood up... awkward and speedy but tip toe around Rude?</v>
          </cell>
        </row>
        <row r="4695">
          <cell r="G4695">
            <v>7817490920</v>
          </cell>
        </row>
        <row r="4696">
          <cell r="G4696" t="str">
            <v>Richard</v>
          </cell>
        </row>
        <row r="4698">
          <cell r="G4698" t="str">
            <v>Brixton colbarbwr for campo</v>
          </cell>
        </row>
        <row r="4700">
          <cell r="G4700" t="str">
            <v>estrella 5.00</v>
          </cell>
        </row>
        <row r="4702">
          <cell r="G4702" t="str">
            <v>has spare lines' sending data for Camden installs</v>
          </cell>
        </row>
        <row r="4704">
          <cell r="G4704" t="str">
            <v>also owns men of march down the road</v>
          </cell>
        </row>
        <row r="4705">
          <cell r="G4705" t="str">
            <v>Paul LL call by 9-11 on Friday (reminder set)</v>
          </cell>
        </row>
        <row r="4707">
          <cell r="G4707" t="str">
            <v>font light broken and survey scheduled</v>
          </cell>
        </row>
        <row r="4709">
          <cell r="G4709" t="str">
            <v>no tnt</v>
          </cell>
        </row>
        <row r="4710">
          <cell r="G4710" t="str">
            <v>I said who I was and said we don't want anything with a shewing tone... "just bought in August and doesn't want to change anything" ...or talk</v>
          </cell>
        </row>
        <row r="4712">
          <cell r="G4712" t="str">
            <v>corona and Bud in fridge 'left card for LL LOUISE who is on holiday... offered support for packaged if comes a need- absolutely gorgeous pub and location if we can catch Louise to talk</v>
          </cell>
        </row>
        <row r="4713">
          <cell r="G4713" t="str">
            <v>sending glasses - Coasters -parasols</v>
          </cell>
        </row>
        <row r="4715">
          <cell r="G4715" t="str">
            <v>doing a refurb outside for summer</v>
          </cell>
        </row>
        <row r="4717">
          <cell r="G4717" t="str">
            <v>Mr Mrs Sam and deborah mcallan</v>
          </cell>
        </row>
        <row r="4718">
          <cell r="G4718" t="str">
            <v>owned for 20+ years</v>
          </cell>
        </row>
        <row r="4719">
          <cell r="G4719">
            <v>7557809709</v>
          </cell>
        </row>
        <row r="4722">
          <cell r="G4722" t="str">
            <v>straight up said no room for new explore and camden stout simply wouldn't sell here but requesting parasols and activation to help Stella sales (madri replaced pravah and is taking Stella sales -10%ly)</v>
          </cell>
        </row>
        <row r="4723">
          <cell r="G4723" t="str">
            <v>shona LL P: 07595728722</v>
          </cell>
        </row>
        <row r="4725">
          <cell r="G4725" t="str">
            <v>ADMIRAL is doing a refurbishment, hopefully any month now (she needs to sign a lease and is arguing it with them)</v>
          </cell>
        </row>
        <row r="4727">
          <cell r="G4727" t="str">
            <v>massive patio</v>
          </cell>
        </row>
        <row r="4728">
          <cell r="G4728" t="str">
            <v>sport bar area</v>
          </cell>
        </row>
        <row r="4729">
          <cell r="G4729" t="str">
            <v>and smart family affluent pub area</v>
          </cell>
        </row>
        <row r="4731">
          <cell r="G4731" t="str">
            <v>her dad owned it for 20 years prior and she's been here a year</v>
          </cell>
        </row>
        <row r="4733">
          <cell r="G4733" t="str">
            <v>carlsberg is best seller (she thinks because of percentage</v>
          </cell>
        </row>
        <row r="4735">
          <cell r="G4735" t="str">
            <v>campo and Madri are next top pourers</v>
          </cell>
        </row>
        <row r="4737">
          <cell r="G4737" t="str">
            <v>she has 1 extra line for sure and is thinking adding a Camden pale for the tnt discount</v>
          </cell>
        </row>
        <row r="4738">
          <cell r="G4738" t="str">
            <v>penny LL</v>
          </cell>
        </row>
        <row r="4739">
          <cell r="G4739">
            <v>7368557570</v>
          </cell>
        </row>
        <row r="4741">
          <cell r="G4741" t="str">
            <v>4mo left on contract- just misses her family</v>
          </cell>
        </row>
        <row r="4743">
          <cell r="G4743" t="str">
            <v>Stuart Galloway.</v>
          </cell>
        </row>
        <row r="4745">
          <cell r="G4745" t="str">
            <v>STELLA left for cruzcampo- was there best seller but campo has blown it out of the water now</v>
          </cell>
        </row>
        <row r="4747">
          <cell r="G4747" t="str">
            <v>kroenenberg swapped for moretti (moretti doesn't sell)</v>
          </cell>
        </row>
        <row r="4749">
          <cell r="G4749" t="str">
            <v>left pale and hells (canceled tnt and thinking about adding for the discount)... possibly keen to get it on for us before she leaves for next customer - gonna samples it out</v>
          </cell>
        </row>
        <row r="4750">
          <cell r="G4750" t="str">
            <v>Jason LL 07939114447</v>
          </cell>
        </row>
        <row r="4752">
          <cell r="G4752" t="str">
            <v>has had pub 3 years</v>
          </cell>
        </row>
        <row r="4754">
          <cell r="G4754" t="str">
            <v>swapped moretti for Madrid and its just not doing great but apprehensive to take it off</v>
          </cell>
        </row>
        <row r="4756">
          <cell r="G4756" t="str">
            <v>strongnowDF is a dumby font and thinking about putting on pale- if he likes,  he'll talk to mick his RM and will do a survey for a font.... maybe even hells dual font... noted ill call friday and see how it is for him (tnt and six nations offers excited him toward this)</v>
          </cell>
        </row>
        <row r="4757">
          <cell r="G4757" t="str">
            <v>Fosters - moretti - Heineken- coors in the order from best seller</v>
          </cell>
        </row>
        <row r="4759">
          <cell r="G4759" t="str">
            <v>Spoke with bartender jack and got LL Jackie 07956003203</v>
          </cell>
        </row>
        <row r="4761">
          <cell r="G4761" t="str">
            <v>dropped hells- messaging that and tnt deal</v>
          </cell>
        </row>
        <row r="4762">
          <cell r="G4762" t="str">
            <v>amy... 07860352120 LL</v>
          </cell>
        </row>
        <row r="4764">
          <cell r="G4764" t="str">
            <v>installing pale next week</v>
          </cell>
        </row>
        <row r="4765">
          <cell r="G4765" t="str">
            <v>wants hells on post box and stout</v>
          </cell>
        </row>
        <row r="4768">
          <cell r="G4768" t="str">
            <v>Daniel is new bdm in place of phil- finding him to call</v>
          </cell>
        </row>
        <row r="4769">
          <cell r="G4769" t="str">
            <v>spoke with bar lady Tina</v>
          </cell>
        </row>
        <row r="4772">
          <cell r="G4772" t="str">
            <v>shauna is LL - in most days, calling when she is in tomorrow to book something ' 07508266806</v>
          </cell>
        </row>
        <row r="4775">
          <cell r="G4775" t="str">
            <v>keen on tnt boost and dual stock Camden (has hells on one side)</v>
          </cell>
        </row>
        <row r="4776">
          <cell r="G4776" t="str">
            <v>met Paula (LL)- 07788481349</v>
          </cell>
        </row>
        <row r="4777">
          <cell r="G4777" t="str">
            <v>she's from Liverpool and has had this pub. 9 years</v>
          </cell>
        </row>
        <row r="4779">
          <cell r="G4779" t="str">
            <v>does quiz and karaoke</v>
          </cell>
        </row>
        <row r="4781">
          <cell r="G4781" t="str">
            <v>has tnt - asked if she can retroactively receive discount for the Stella that's on (CHARG3S 4.65 a pint)</v>
          </cell>
        </row>
        <row r="4783">
          <cell r="G4783" t="str">
            <v>guiness doesn't sell well but scared to take it off as 'people expect it in a pub 'good branding'"</v>
          </cell>
        </row>
        <row r="4785">
          <cell r="G4785" t="str">
            <v>coors might be an opportunity to target (left hells and pale)</v>
          </cell>
        </row>
        <row r="4787">
          <cell r="G4787" t="str">
            <v>removing strongbow for inches (only sells 8 pints of strongbow a week)</v>
          </cell>
        </row>
        <row r="4788">
          <cell r="G4788" t="str">
            <v>sending chalices</v>
          </cell>
        </row>
        <row r="4790">
          <cell r="G4790" t="str">
            <v>Kevin Moran LL 07733403324</v>
          </cell>
        </row>
        <row r="4791">
          <cell r="G4791" t="str">
            <v>kjmoran62@gmail.com</v>
          </cell>
        </row>
        <row r="4793">
          <cell r="G4793" t="str">
            <v>isla mngmnt</v>
          </cell>
        </row>
        <row r="4795">
          <cell r="G4795" t="str">
            <v>coors about to go for moretti - 14 taps but all doubles</v>
          </cell>
        </row>
        <row r="4799">
          <cell r="G4799" t="str">
            <v>... seemingly nice put but then again, I was quickly offered bugar sugar... bartender was watching him hard</v>
          </cell>
        </row>
        <row r="4800">
          <cell r="G4800" t="str">
            <v>Paul is manager</v>
          </cell>
        </row>
        <row r="4801">
          <cell r="G4801" t="str">
            <v>doing refurbishment in march- designer came in already for Rehaul esteticLly</v>
          </cell>
        </row>
        <row r="4803">
          <cell r="G4803" t="str">
            <v>late Feb reminder to check in for a proper meeting (calling Monday when LL is in for a meeting)</v>
          </cell>
        </row>
        <row r="4805">
          <cell r="G4805" t="str">
            <v>20 taps and 9 of them are duplicates- 3 casks</v>
          </cell>
        </row>
        <row r="4806">
          <cell r="G4806" t="str">
            <v>Ken is a absolute hoot</v>
          </cell>
        </row>
        <row r="4807">
          <cell r="G4807" t="str">
            <v>wants free crap to be 'willing to talk to me' joke jokes</v>
          </cell>
        </row>
        <row r="4808">
          <cell r="G4808" t="str">
            <v>stout - had it before but does like it . talked free keg and guineas sales'</v>
          </cell>
        </row>
        <row r="4813">
          <cell r="G4813" t="str">
            <v>Ken is landlord but isn't it. quirky little pub. stella does really well. all lagers do. Coors is only one that doesn't do great. they don't sell loads of Guinness mainly in winter.</v>
          </cell>
        </row>
        <row r="4815">
          <cell r="G4815" t="str">
            <v>her husband drinks carlsberg then moves on to Guinness in the winter.</v>
          </cell>
        </row>
        <row r="4817">
          <cell r="G4817" t="str">
            <v>they are desperate for stella glasses so will send some out to them as they don't have any.</v>
          </cell>
        </row>
        <row r="4819">
          <cell r="G4819" t="str">
            <v>dropped stout and corona cero samples off</v>
          </cell>
        </row>
        <row r="4820">
          <cell r="G4820" t="str">
            <v>Met georgina- in a winter loul- she noted the pub down the road just took it out, wasn't doing great.</v>
          </cell>
        </row>
        <row r="4821">
          <cell r="G4821" t="str">
            <v>talked activations and will send her ideas for quiz nights to boost it. (top 2 most expensive)</v>
          </cell>
        </row>
        <row r="4824">
          <cell r="G4824" t="str">
            <v>has 4 premade cocktail lines... people don't order ir much and she discounts it just cuz it saves her time... giving it till summer and might chuck it.... its under the bar space, no more lines</v>
          </cell>
        </row>
        <row r="4825">
          <cell r="G4825" t="str">
            <v>just had a refit with Heineken</v>
          </cell>
        </row>
        <row r="4826">
          <cell r="G4826" t="str">
            <v>they almost got her to take out Stella but it sales to well... she can't get ahold of our reps in the past and reassured her the patch is covered now</v>
          </cell>
        </row>
        <row r="4827">
          <cell r="G4827" t="str">
            <v>relit stout in her Bury location- no hard yes but interested as a younger crowd</v>
          </cell>
        </row>
        <row r="4829">
          <cell r="G4829" t="str">
            <v>07703846533-ginny</v>
          </cell>
        </row>
        <row r="4830">
          <cell r="G4830" t="str">
            <v>meeting next week at nightjars</v>
          </cell>
        </row>
        <row r="4835">
          <cell r="G4835" t="str">
            <v>ginny is landlady but her daughter was there. they have the nightjars in bury as well. said people will try different stuff there so may do it.</v>
          </cell>
        </row>
        <row r="4837">
          <cell r="G4837" t="str">
            <v>HUK or doing work for them in this pub so getting rid of a lot of coors stuff as they are rubbish. keeping stella though</v>
          </cell>
        </row>
        <row r="4839">
          <cell r="G4839" t="str">
            <v>bit of an estate boozer but got a fairly premium line up.</v>
          </cell>
        </row>
        <row r="4841">
          <cell r="G4841" t="str">
            <v>sell a fair bit of Guinness here.</v>
          </cell>
        </row>
        <row r="4842">
          <cell r="G4842" t="str">
            <v>Stuart is rm</v>
          </cell>
        </row>
        <row r="4845">
          <cell r="G4845" t="str">
            <v>Wendy is leaser-</v>
          </cell>
        </row>
        <row r="4846">
          <cell r="G4846">
            <v>7542000421</v>
          </cell>
        </row>
        <row r="4847">
          <cell r="G4847" t="str">
            <v xml:space="preserve"> owned 1.5years</v>
          </cell>
        </row>
        <row r="4849">
          <cell r="G4849" t="str">
            <v>pale glasses stubby request</v>
          </cell>
        </row>
        <row r="4851">
          <cell r="G4851" t="str">
            <v>Norwich rose opening on 2nd - wants to keep offering the same - letting the other pub open and then perhaps hells (reminder for next month check in</v>
          </cell>
        </row>
        <row r="4853">
          <cell r="G4853" t="str">
            <v>emailing activation options to push hells</v>
          </cell>
        </row>
        <row r="4855">
          <cell r="G4855" t="str">
            <v>most beers on 60/40</v>
          </cell>
        </row>
        <row r="4856">
          <cell r="G4856" t="str">
            <v>pale had a co2 fitted</v>
          </cell>
        </row>
        <row r="4857">
          <cell r="G4857" t="str">
            <v>curiosity gas is hells ? just weary about work, though we do it for them</v>
          </cell>
        </row>
        <row r="4858">
          <cell r="G4858" t="str">
            <v>Andy co owner , he lives closer so is in more often</v>
          </cell>
        </row>
        <row r="4859">
          <cell r="G4859" t="str">
            <v>Stella half and Camden hells glasses</v>
          </cell>
        </row>
        <row r="4860">
          <cell r="G4860" t="str">
            <v>xxl tshirts requested. hell give a couple away as people try the pale</v>
          </cell>
        </row>
        <row r="4865">
          <cell r="G4865" t="str">
            <v>Met Steve - lovely bloke</v>
          </cell>
        </row>
        <row r="4867">
          <cell r="G4867" t="str">
            <v>happy ipswich are promoted, get massive footfall from that</v>
          </cell>
        </row>
        <row r="4869">
          <cell r="G4869" t="str">
            <v>14 out cooler and 4 spare lines in python - discussed moving hobgoblin to tbar and putting hells alongside Pale on a dual icon font</v>
          </cell>
        </row>
        <row r="4871">
          <cell r="G4871" t="str">
            <v>picking up next friday</v>
          </cell>
        </row>
        <row r="4872">
          <cell r="G4872" t="str">
            <v>Lisa is landlord</v>
          </cell>
        </row>
        <row r="4874">
          <cell r="G4874" t="str">
            <v>hasn't used cask ales x3 in 8 months</v>
          </cell>
        </row>
        <row r="4875">
          <cell r="G4875" t="str">
            <v>(wasting barelels)</v>
          </cell>
        </row>
        <row r="4877">
          <cell r="G4877" t="str">
            <v>doing a survey to remove and bust out cask- new tbar build - stout and corona</v>
          </cell>
        </row>
        <row r="4878">
          <cell r="G4878" t="str">
            <v>Jeanette lease holder</v>
          </cell>
        </row>
        <row r="4879">
          <cell r="G4879" t="str">
            <v>pour woman has been without a delivery all week and put of every beer on tap. Paul rm knows bit nothing yet</v>
          </cell>
        </row>
        <row r="4881">
          <cell r="G4881" t="str">
            <v>leffe is a great pour but would love glassware... told her not sure but I'll hunt</v>
          </cell>
        </row>
        <row r="4882">
          <cell r="G4882" t="str">
            <v>packaged only... but Bud no longer in fridge</v>
          </cell>
        </row>
        <row r="4884">
          <cell r="G4884" t="str">
            <v>barmen didn't really want to talk or share the lady landlord info'- back in on Friday maybe- will share my card with her</v>
          </cell>
        </row>
        <row r="4885">
          <cell r="G4885" t="str">
            <v>had a lovely convo with yaz (daughter in law and pregnant)</v>
          </cell>
        </row>
        <row r="4887">
          <cell r="G4887" t="str">
            <v>just missed bdm paul devine yesterday</v>
          </cell>
        </row>
        <row r="4889">
          <cell r="G4889" t="str">
            <v>Rachel scarlet is lease holder -07581191612</v>
          </cell>
        </row>
        <row r="4890">
          <cell r="G4890" t="str">
            <v>owned since June</v>
          </cell>
        </row>
        <row r="4891">
          <cell r="G4891" t="str">
            <v>only swap since was Fosters for hells (very happy with swap)</v>
          </cell>
        </row>
        <row r="4893">
          <cell r="G4893" t="str">
            <v>ales change weekly</v>
          </cell>
        </row>
        <row r="4895">
          <cell r="G4895" t="str">
            <v>Amsterdam and Heineken are top pourers</v>
          </cell>
        </row>
        <row r="4897">
          <cell r="G4897" t="str">
            <v>neckoil, cruzcampo, and guineas are options to swap out</v>
          </cell>
        </row>
        <row r="4898">
          <cell r="G4898" t="str">
            <v>ciders are slow pours</v>
          </cell>
        </row>
        <row r="4900">
          <cell r="G4900" t="str">
            <v>Friday and Saturday night bands</v>
          </cell>
        </row>
        <row r="4901">
          <cell r="G4901" t="str">
            <v>barback only available</v>
          </cell>
        </row>
        <row r="4902">
          <cell r="G4902" t="str">
            <v>gave me GM info,</v>
          </cell>
        </row>
        <row r="4904">
          <cell r="G4904" t="str">
            <v>Jay tozer- 07889885991</v>
          </cell>
        </row>
        <row r="4905">
          <cell r="G4905" t="str">
            <v>jay@izihospitality.co.uk</v>
          </cell>
        </row>
        <row r="4907">
          <cell r="G4907" t="str">
            <v>in a few days a week- gave him a call and left stout samples</v>
          </cell>
        </row>
        <row r="4909">
          <cell r="G4909" t="str">
            <v>corona and cero on packaged</v>
          </cell>
        </row>
        <row r="4910">
          <cell r="G4910" t="str">
            <v>nicky was painting house, still very kind and keen to chat</v>
          </cell>
        </row>
        <row r="4911">
          <cell r="G4911" t="str">
            <v>Brixton lager swapped for pale- been a week - thought to change to Camden (only if pale isn't well - reminder to check in a 3 weeks time)</v>
          </cell>
        </row>
        <row r="4912">
          <cell r="G4912" t="str">
            <v>- he closed during covid, sold, and bought it back in September.</v>
          </cell>
        </row>
        <row r="4913">
          <cell r="G4913" t="str">
            <v>not keen on Heineken 0, left corona cero</v>
          </cell>
        </row>
        <row r="4915">
          <cell r="G4915" t="str">
            <v>scott- 07738220417</v>
          </cell>
        </row>
        <row r="4916">
          <cell r="G4916" t="str">
            <v>nicky is his wife</v>
          </cell>
        </row>
        <row r="4917">
          <cell r="G4917" t="str">
            <v>Mark Neild is the new RM</v>
          </cell>
        </row>
        <row r="4918">
          <cell r="G4918" t="str">
            <v>- REMINDER in mid March to check on Brixton swap</v>
          </cell>
        </row>
        <row r="4924">
          <cell r="G4924" t="str">
            <v>Met Nicky the tenant, only been in since Sept. Stella sells the best at 5.00, thinking about taking Brixton off as not selling and charging 6.20 a pint. Left samples of stout, will back next week.</v>
          </cell>
        </row>
        <row r="4925">
          <cell r="G4925" t="str">
            <v>both magners has turned- cruzcampo and Worthington are new</v>
          </cell>
        </row>
        <row r="4926">
          <cell r="G4926" t="str">
            <v>corona bottles don't sell (cero doesn't make since)</v>
          </cell>
        </row>
        <row r="4928">
          <cell r="G4928" t="str">
            <v>spoke with manager Dionne (female)</v>
          </cell>
        </row>
        <row r="4929">
          <cell r="G4929" t="str">
            <v>lease holder is Kevin Hunt (never in, dionne runs)</v>
          </cell>
        </row>
        <row r="4931">
          <cell r="G4931" t="str">
            <v>shopping center pub, mix crowd- all beers work well for them- best pour in order ; carlsberg, cruzcampo, Stella (sending glasses)</v>
          </cell>
        </row>
        <row r="4933">
          <cell r="G4933" t="str">
            <v>will be new landlord 'soon'</v>
          </cell>
        </row>
        <row r="4934">
          <cell r="G4934" t="str">
            <v>asked her to let me know where she moves on to and shade the new landlord with me - emailing them norkieltd@gmail.com</v>
          </cell>
        </row>
        <row r="4940">
          <cell r="G4940" t="str">
            <v>Needs some support with Stella, not a site for SP, unsure if Stout would work here, very wet led and price sensitive.</v>
          </cell>
        </row>
        <row r="4942">
          <cell r="G4942" t="str">
            <v>Wake was ongoing so couldn’t get images but stella and magners still on the bar</v>
          </cell>
        </row>
        <row r="4943">
          <cell r="G4943" t="str">
            <v>spoke with phillipa- immediately noted she doesn't want to talk to me</v>
          </cell>
        </row>
        <row r="4944">
          <cell r="G4944" t="str">
            <v>but did give me the landlords name and email</v>
          </cell>
        </row>
        <row r="4945">
          <cell r="G4945" t="str">
            <v>he's in 5 days a week, next on Thursday.</v>
          </cell>
        </row>
        <row r="4946">
          <cell r="G4946" t="str">
            <v>Michael bond - qh@queenheadhethersett.co.uk</v>
          </cell>
        </row>
        <row r="4948">
          <cell r="G4948" t="str">
            <v>left samples Camden and emailed him about maybe tnt - no sky or anything</v>
          </cell>
        </row>
        <row r="4949">
          <cell r="G4949" t="str">
            <v>just one regular TV</v>
          </cell>
        </row>
        <row r="4950">
          <cell r="G4950" t="str">
            <v>Michelle in mist days but missed her</v>
          </cell>
        </row>
        <row r="4951">
          <cell r="G4951" t="str">
            <v>has quiz night and mostly affluent retired people</v>
          </cell>
        </row>
        <row r="4952">
          <cell r="G4952" t="str">
            <v>carling doing poor- possible swap for hells</v>
          </cell>
        </row>
        <row r="4953">
          <cell r="G4953" t="str">
            <v>not much of a talker at the bar, no contact info.. told to go to Facebook</v>
          </cell>
        </row>
        <row r="4960">
          <cell r="G4960" t="str">
            <v>good chat w Michelle</v>
          </cell>
        </row>
        <row r="4962">
          <cell r="G4962" t="str">
            <v>40+ drinkers, corona not really caught on, price point being main issue</v>
          </cell>
        </row>
        <row r="4963">
          <cell r="G4963" t="str">
            <v>pale doing okay, new craft place opening next door closes at 10 so want an option</v>
          </cell>
        </row>
        <row r="4965">
          <cell r="G4965" t="str">
            <v>see how corona does during world cup, look at activations</v>
          </cell>
        </row>
        <row r="4966">
          <cell r="G4966" t="str">
            <v>one to keep.supprted</v>
          </cell>
        </row>
        <row r="4968">
          <cell r="G4968" t="str">
            <v>the regular hardcore are all kron drinkers, michelle has tried to get off, no chance</v>
          </cell>
        </row>
        <row r="4969">
          <cell r="G4969" t="str">
            <v>Stella top pourer</v>
          </cell>
        </row>
        <row r="4970">
          <cell r="G4970" t="str">
            <v>Bud doing okay ish</v>
          </cell>
        </row>
        <row r="4971">
          <cell r="G4971" t="str">
            <v>Sandra and Martin are lease holders</v>
          </cell>
        </row>
        <row r="4972">
          <cell r="G4972" t="str">
            <v>pub phone 01279730351</v>
          </cell>
        </row>
        <row r="4973">
          <cell r="G4973" t="str">
            <v>Heineken replaced coors</v>
          </cell>
        </row>
        <row r="4974">
          <cell r="G4974" t="str">
            <v>sending both Stella glasses</v>
          </cell>
        </row>
        <row r="4975">
          <cell r="G4975" t="str">
            <v>Charlotte bartender at the time</v>
          </cell>
        </row>
        <row r="4979">
          <cell r="G4979" t="str">
            <v>Met leaseholder, top bloke. Stella best seller, Bud 2nd. Cruzcampo just come in for Fosters.</v>
          </cell>
        </row>
        <row r="4981">
          <cell r="G4981" t="str">
            <v>Coors worst performing, ask Amdy for pricing for Corona and Camden brands. If financially feasible, could be an option.</v>
          </cell>
        </row>
        <row r="4982">
          <cell r="G4982" t="str">
            <v>spoke with bartender Sally, Richard in Thailand till late march. swap asahi for cruzcampo</v>
          </cell>
        </row>
        <row r="4983">
          <cell r="G4983" t="str">
            <v>becks doing pour but "will never remove due to customer wanting"</v>
          </cell>
        </row>
        <row r="4984">
          <cell r="G4984" t="str">
            <v>send Stella bar mat, and half pints</v>
          </cell>
        </row>
        <row r="4985">
          <cell r="G4985" t="str">
            <v>mentioned tnt and a craft option. left card</v>
          </cell>
        </row>
        <row r="4991">
          <cell r="G4991" t="str">
            <v>Richard in bed, chatted tk Chrissy. Very mixed crowd in here, decent amount of young people. Affluent area. Best seller Moretti, Stella 2nd. Asahi most expensive at £6.30, been in here 7 months, target for Hells. Call landlines after 4pm to catch Richard.</v>
          </cell>
        </row>
        <row r="4994">
          <cell r="G4994" t="str">
            <v>stella top seller, fosters</v>
          </cell>
        </row>
        <row r="4995">
          <cell r="G4995" t="str">
            <v>coors does well - all v price lead</v>
          </cell>
        </row>
        <row r="4997">
          <cell r="G4997" t="str">
            <v>stella glasses pints + halves, send some becks</v>
          </cell>
        </row>
        <row r="4999">
          <cell r="G4999" t="str">
            <v>moretti does alright, does seem stella as prem as it gets</v>
          </cell>
        </row>
        <row r="5000">
          <cell r="G5000" t="str">
            <v>older crowd, don't attract the kids 'thank god'</v>
          </cell>
        </row>
        <row r="5001">
          <cell r="G5001" t="str">
            <v>call/text richard let him know swung by</v>
          </cell>
        </row>
        <row r="5003">
          <cell r="G5003" t="str">
            <v>got kron and amstel too, could be woeth pitching hells to richard over phone</v>
          </cell>
        </row>
        <row r="5005">
          <cell r="G5005" t="str">
            <v>yvonne bar staff chatted to, richard not around</v>
          </cell>
        </row>
        <row r="5007">
          <cell r="G5007" t="str">
            <v>send stuff as the in then follow up</v>
          </cell>
        </row>
        <row r="5008">
          <cell r="G5008" t="str">
            <v>dave - bartender</v>
          </cell>
        </row>
        <row r="5009">
          <cell r="G5009" t="str">
            <v>doesn't know lease holder</v>
          </cell>
        </row>
        <row r="5010">
          <cell r="G5010" t="str">
            <v>but confirmed lawerence as bdm</v>
          </cell>
        </row>
        <row r="5012">
          <cell r="G5012" t="str">
            <v>has Bud but once they run out they won't reorder- 15£ more than competitor</v>
          </cell>
        </row>
        <row r="5013">
          <cell r="G5013" t="str">
            <v>same as corona , no more</v>
          </cell>
        </row>
        <row r="5015">
          <cell r="G5015" t="str">
            <v>Madri is their Top seller</v>
          </cell>
        </row>
        <row r="5016">
          <cell r="G5016" t="str">
            <v>cruzcampo 4.90</v>
          </cell>
        </row>
        <row r="5017">
          <cell r="G5017" t="str">
            <v xml:space="preserve"> half barrel- desperately wants to swap it but it's on cost!</v>
          </cell>
        </row>
        <row r="5018">
          <cell r="G5018" t="str">
            <v>Camden- corona ? too premium?</v>
          </cell>
        </row>
        <row r="5019">
          <cell r="G5019" t="str">
            <v>magners not doing so well- how to support?</v>
          </cell>
        </row>
        <row r="5020">
          <cell r="G5020" t="str">
            <v>neck oil 5.30</v>
          </cell>
        </row>
        <row r="5024">
          <cell r="G5024" t="str">
            <v>Shawn lease holder-07488272883</v>
          </cell>
        </row>
        <row r="5025">
          <cell r="G5025" t="str">
            <v>Stella on tap, top sell next to carling #1</v>
          </cell>
        </row>
        <row r="5027">
          <cell r="G5027" t="str">
            <v>recently swapped estrella for Morretti (open to change)</v>
          </cell>
        </row>
        <row r="5029">
          <cell r="G5029" t="str">
            <v>Charlie ashwell left- got new BDM info</v>
          </cell>
        </row>
        <row r="5030">
          <cell r="G5030" t="str">
            <v>Mark Neild (new to patch, not punch)</v>
          </cell>
        </row>
        <row r="5031">
          <cell r="G5031">
            <v>7500815362</v>
          </cell>
        </row>
        <row r="5033">
          <cell r="G5033" t="str">
            <v>Trevor the lease holder just met Mark a couple weeks ago- got Trevor number too</v>
          </cell>
        </row>
        <row r="5036">
          <cell r="G5036" t="str">
            <v>requested POS Stella half and tall pint, Coasters and pvc bar runners</v>
          </cell>
        </row>
      </sheetData>
      <sheetData sheetId="3"/>
      <sheetData sheetId="4"/>
      <sheetData sheetId="5"/>
      <sheetData sheetId="6"/>
      <sheetData sheetId="7"/>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BEE4C7-D34E-4F09-A0F3-3F24EC92523F}">
  <dimension ref="A1:L16"/>
  <sheetViews>
    <sheetView tabSelected="1" workbookViewId="0">
      <selection activeCell="I7" sqref="I7"/>
    </sheetView>
  </sheetViews>
  <sheetFormatPr defaultRowHeight="15" x14ac:dyDescent="0.25"/>
  <sheetData>
    <row r="1" spans="1:12" ht="27" x14ac:dyDescent="0.25">
      <c r="A1" s="1" t="s">
        <v>0</v>
      </c>
      <c r="B1" s="2" t="s">
        <v>1</v>
      </c>
      <c r="C1" s="1" t="s">
        <v>3</v>
      </c>
      <c r="D1" s="3" t="s">
        <v>2</v>
      </c>
      <c r="E1" s="1" t="s">
        <v>4</v>
      </c>
      <c r="F1" s="4" t="s">
        <v>5</v>
      </c>
      <c r="G1" s="5" t="s">
        <v>6</v>
      </c>
      <c r="H1" s="6" t="s">
        <v>7</v>
      </c>
      <c r="I1" s="6" t="s">
        <v>8</v>
      </c>
      <c r="J1" s="7" t="s">
        <v>9</v>
      </c>
      <c r="K1" s="7" t="s">
        <v>10</v>
      </c>
      <c r="L1" s="5" t="s">
        <v>11</v>
      </c>
    </row>
    <row r="2" spans="1:12" ht="105" x14ac:dyDescent="0.25">
      <c r="A2" s="8" t="s">
        <v>12</v>
      </c>
      <c r="B2" s="9" t="s">
        <v>13</v>
      </c>
      <c r="C2" s="9" t="s">
        <v>14</v>
      </c>
      <c r="D2" s="10" t="s">
        <v>15</v>
      </c>
      <c r="E2" s="11" t="s">
        <v>16</v>
      </c>
      <c r="F2" s="12" t="str">
        <f>IFERROR(VLOOKUP(B2, [1]Visited!$B$2:$C$743, 2, FALSE), "")</f>
        <v>6/28/2024 1:29:16 PM</v>
      </c>
      <c r="G2" s="10" t="str">
        <f>TEXT(F2, "mm-dd-yyyy")</f>
        <v>06-28-2024</v>
      </c>
      <c r="H2" s="13" t="str">
        <f>IFERROR(VLOOKUP(B2, [1]Volume!$B$2:$C$1000, 2, FALSE), "")</f>
        <v/>
      </c>
      <c r="I2" t="str">
        <f>IFERROR(VLOOKUP(B2, [1]Visited!B:D, 3, FALSE), "")</f>
        <v>emailed again</v>
      </c>
      <c r="J2" s="14">
        <f>IFERROR(VLOOKUP(B2, [1]Visited!B:E, 4, FALSE), "")</f>
        <v>0</v>
      </c>
      <c r="K2" s="15" t="str">
        <f>IFERROR(VLOOKUP(B2, [1]Visited!B:F, 5, FALSE), "")</f>
        <v>x</v>
      </c>
      <c r="L2" s="16" t="str">
        <f>IFERROR(INDEX([1]Visited!G:G, MATCH(B2, [1]Visited!B:B, 0)), "")</f>
        <v>works with the other local pubs to be different</v>
      </c>
    </row>
    <row r="3" spans="1:12" ht="255" x14ac:dyDescent="0.25">
      <c r="A3" s="17" t="s">
        <v>17</v>
      </c>
      <c r="B3" s="13" t="s">
        <v>18</v>
      </c>
      <c r="C3" s="13" t="s">
        <v>19</v>
      </c>
      <c r="D3" s="15" t="s">
        <v>20</v>
      </c>
      <c r="E3" s="18" t="s">
        <v>21</v>
      </c>
      <c r="F3" s="12" t="str">
        <f>IFERROR(VLOOKUP(B3, [1]Visited!$B$2:$C$743, 2, FALSE), "")</f>
        <v>1/8/2025 1:26:46 PM</v>
      </c>
      <c r="G3" s="10" t="str">
        <f t="shared" ref="G3:G16" si="0">TEXT(F3, "mm-dd-yyyy")</f>
        <v>01-08-2025</v>
      </c>
      <c r="H3" s="13" t="str">
        <f>IFERROR(VLOOKUP(B3, [1]Volume!$B$2:$C$1000, 2, FALSE), "")</f>
        <v/>
      </c>
      <c r="I3" t="str">
        <f>IFERROR(VLOOKUP(B3, [1]Visited!B:D, 3, FALSE), "")</f>
        <v>Linda</v>
      </c>
      <c r="J3" s="14" t="str">
        <f>IFERROR(VLOOKUP(B3, [1]Visited!B:E, 4, FALSE), "")</f>
        <v>01986896883</v>
      </c>
      <c r="K3" s="10" t="str">
        <f>IFERROR(VLOOKUP(B3, [1]Visited!B:F, 5, FALSE), "")</f>
        <v>info@thebuckinn.co.uk</v>
      </c>
      <c r="L3" s="16" t="str">
        <f>IFERROR(INDEX([1]Visited!G:G, MATCH(B3, [1]Visited!B:B, 0)), "")</f>
        <v>Thursday best
1664 surprisingly does best, driven by the farm boys after work.
told you target the moongazer lager and yes ipa</v>
      </c>
    </row>
    <row r="4" spans="1:12" ht="45" x14ac:dyDescent="0.25">
      <c r="A4" s="8" t="s">
        <v>22</v>
      </c>
      <c r="B4" s="9" t="s">
        <v>23</v>
      </c>
      <c r="C4" s="9" t="s">
        <v>19</v>
      </c>
      <c r="D4" s="10" t="s">
        <v>24</v>
      </c>
      <c r="E4" s="11" t="s">
        <v>25</v>
      </c>
      <c r="F4" s="12" t="str">
        <f>IFERROR(VLOOKUP(B4, [1]Visited!$B$2:$C$743, 2, FALSE), "")</f>
        <v/>
      </c>
      <c r="G4" s="10" t="str">
        <f t="shared" si="0"/>
        <v/>
      </c>
      <c r="H4" s="13" t="str">
        <f>IFERROR(VLOOKUP(B4, [1]Volume!$B$2:$C$1000, 2, FALSE), "")</f>
        <v/>
      </c>
      <c r="I4" t="str">
        <f>IFERROR(VLOOKUP(B4, [1]Visited!B:D, 3, FALSE), "")</f>
        <v/>
      </c>
      <c r="J4" s="14" t="str">
        <f>IFERROR(VLOOKUP(B4, [1]Visited!B:E, 4, FALSE), "")</f>
        <v/>
      </c>
      <c r="K4" s="10" t="str">
        <f>IFERROR(VLOOKUP(B4, [1]Visited!B:F, 5, FALSE), "")</f>
        <v/>
      </c>
      <c r="L4" s="16" t="str">
        <f>IFERROR(INDEX([1]Visited!G:G, MATCH(B4, [1]Visited!B:B, 0)), "")</f>
        <v/>
      </c>
    </row>
    <row r="5" spans="1:12" ht="67.5" x14ac:dyDescent="0.25">
      <c r="A5" s="17" t="s">
        <v>26</v>
      </c>
      <c r="B5" s="13" t="s">
        <v>27</v>
      </c>
      <c r="C5" s="13" t="s">
        <v>19</v>
      </c>
      <c r="D5" s="15" t="s">
        <v>20</v>
      </c>
      <c r="E5" s="18" t="s">
        <v>28</v>
      </c>
      <c r="F5" s="12" t="str">
        <f>IFERROR(VLOOKUP(B5, [1]Visited!$B$2:$C$743, 2, FALSE), "")</f>
        <v/>
      </c>
      <c r="G5" s="10" t="str">
        <f t="shared" si="0"/>
        <v/>
      </c>
      <c r="H5" s="13">
        <f>IFERROR(VLOOKUP(B5, [1]Volume!$B$2:$C$1000, 2, FALSE), "")</f>
        <v>16.36592760000018</v>
      </c>
      <c r="I5" t="str">
        <f>IFERROR(VLOOKUP(B5, [1]Visited!B:D, 3, FALSE), "")</f>
        <v/>
      </c>
      <c r="J5" s="14" t="str">
        <f>IFERROR(VLOOKUP(B5, [1]Visited!B:E, 4, FALSE), "")</f>
        <v/>
      </c>
      <c r="K5" s="10" t="str">
        <f>IFERROR(VLOOKUP(B5, [1]Visited!B:F, 5, FALSE), "")</f>
        <v/>
      </c>
      <c r="L5" s="16" t="str">
        <f>IFERROR(INDEX([1]Visited!G:G, MATCH(B5, [1]Visited!B:B, 0)), "")</f>
        <v/>
      </c>
    </row>
    <row r="6" spans="1:12" ht="67.5" x14ac:dyDescent="0.25">
      <c r="A6" s="17" t="s">
        <v>29</v>
      </c>
      <c r="B6" s="13" t="s">
        <v>54</v>
      </c>
      <c r="C6" s="13" t="s">
        <v>19</v>
      </c>
      <c r="D6" s="15" t="s">
        <v>20</v>
      </c>
      <c r="E6" s="18" t="s">
        <v>30</v>
      </c>
      <c r="F6" s="12" t="str">
        <f>IFERROR(VLOOKUP(B6, [1]Visited!$B$2:$C$743, 2, FALSE), "")</f>
        <v/>
      </c>
      <c r="G6" s="10" t="str">
        <f t="shared" si="0"/>
        <v/>
      </c>
      <c r="H6" s="13" t="str">
        <f>IFERROR(VLOOKUP(B6, [1]Volume!$B$2:$C$1000, 2, FALSE), "")</f>
        <v/>
      </c>
      <c r="I6" t="str">
        <f>IFERROR(VLOOKUP(B6, [1]Visited!B:D, 3, FALSE), "")</f>
        <v/>
      </c>
      <c r="J6" s="14" t="str">
        <f>IFERROR(VLOOKUP(B6, [1]Visited!B:E, 4, FALSE), "")</f>
        <v/>
      </c>
      <c r="K6" s="10" t="str">
        <f>IFERROR(VLOOKUP(B6, [1]Visited!B:F, 5, FALSE), "")</f>
        <v/>
      </c>
      <c r="L6" s="16" t="str">
        <f>IFERROR(INDEX([1]Visited!G:G, MATCH(B6, [1]Visited!B:B, 0)), "")</f>
        <v/>
      </c>
    </row>
    <row r="7" spans="1:12" ht="67.5" x14ac:dyDescent="0.25">
      <c r="A7" s="17" t="s">
        <v>31</v>
      </c>
      <c r="B7" s="13" t="s">
        <v>32</v>
      </c>
      <c r="C7" s="13" t="s">
        <v>19</v>
      </c>
      <c r="D7" s="15" t="s">
        <v>20</v>
      </c>
      <c r="E7" s="18" t="s">
        <v>33</v>
      </c>
      <c r="F7" s="12" t="str">
        <f>IFERROR(VLOOKUP(B7, [1]Visited!$B$2:$C$743, 2, FALSE), "")</f>
        <v/>
      </c>
      <c r="G7" s="10" t="str">
        <f t="shared" si="0"/>
        <v/>
      </c>
      <c r="H7" s="13" t="str">
        <f>IFERROR(VLOOKUP(B7, [1]Volume!$B$2:$C$1000, 2, FALSE), "")</f>
        <v/>
      </c>
      <c r="I7" t="str">
        <f>IFERROR(VLOOKUP(B7, [1]Visited!B:D, 3, FALSE), "")</f>
        <v/>
      </c>
      <c r="J7" s="14" t="str">
        <f>IFERROR(VLOOKUP(B7, [1]Visited!B:E, 4, FALSE), "")</f>
        <v/>
      </c>
      <c r="K7" s="10" t="str">
        <f>IFERROR(VLOOKUP(B7, [1]Visited!B:F, 5, FALSE), "")</f>
        <v/>
      </c>
      <c r="L7" s="16" t="str">
        <f>IFERROR(INDEX([1]Visited!G:G, MATCH(B7, [1]Visited!B:B, 0)), "")</f>
        <v/>
      </c>
    </row>
    <row r="8" spans="1:12" ht="45" x14ac:dyDescent="0.25">
      <c r="A8" s="8" t="s">
        <v>34</v>
      </c>
      <c r="B8" s="9" t="s">
        <v>35</v>
      </c>
      <c r="C8" s="9" t="s">
        <v>19</v>
      </c>
      <c r="D8" s="10" t="s">
        <v>24</v>
      </c>
      <c r="E8" s="11" t="s">
        <v>25</v>
      </c>
      <c r="F8" s="12" t="str">
        <f>IFERROR(VLOOKUP(B8, [1]Visited!$B$2:$C$743, 2, FALSE), "")</f>
        <v/>
      </c>
      <c r="G8" s="10" t="str">
        <f t="shared" si="0"/>
        <v/>
      </c>
      <c r="H8" s="13" t="str">
        <f>IFERROR(VLOOKUP(B8, [1]Volume!$B$2:$C$1000, 2, FALSE), "")</f>
        <v/>
      </c>
      <c r="I8" t="str">
        <f>IFERROR(VLOOKUP(B8, [1]Visited!B:D, 3, FALSE), "")</f>
        <v/>
      </c>
      <c r="J8" s="14" t="str">
        <f>IFERROR(VLOOKUP(B8, [1]Visited!B:E, 4, FALSE), "")</f>
        <v/>
      </c>
      <c r="K8" s="10" t="str">
        <f>IFERROR(VLOOKUP(B8, [1]Visited!B:F, 5, FALSE), "")</f>
        <v/>
      </c>
      <c r="L8" s="16" t="str">
        <f>IFERROR(INDEX([1]Visited!G:G, MATCH(B8, [1]Visited!B:B, 0)), "")</f>
        <v/>
      </c>
    </row>
    <row r="9" spans="1:12" ht="81" x14ac:dyDescent="0.25">
      <c r="A9" s="17" t="s">
        <v>36</v>
      </c>
      <c r="B9" s="15" t="s">
        <v>55</v>
      </c>
      <c r="C9" s="15" t="s">
        <v>19</v>
      </c>
      <c r="D9" s="15" t="s">
        <v>20</v>
      </c>
      <c r="E9" s="18" t="s">
        <v>37</v>
      </c>
      <c r="F9" s="12" t="str">
        <f>IFERROR(VLOOKUP(B9, [1]Visited!$B$2:$C$743, 2, FALSE), "")</f>
        <v/>
      </c>
      <c r="G9" s="10" t="str">
        <f t="shared" si="0"/>
        <v/>
      </c>
      <c r="H9" s="13" t="str">
        <f>IFERROR(VLOOKUP(B9, [1]Volume!$B$2:$C$1000, 2, FALSE), "")</f>
        <v/>
      </c>
      <c r="I9" t="str">
        <f>IFERROR(VLOOKUP(B9, [1]Visited!B:D, 3, FALSE), "")</f>
        <v/>
      </c>
      <c r="J9" s="14" t="str">
        <f>IFERROR(VLOOKUP(B9, [1]Visited!B:E, 4, FALSE), "")</f>
        <v/>
      </c>
      <c r="K9" s="10" t="str">
        <f>IFERROR(VLOOKUP(B9, [1]Visited!B:F, 5, FALSE), "")</f>
        <v/>
      </c>
      <c r="L9" s="16" t="str">
        <f>IFERROR(INDEX([1]Visited!G:G, MATCH(B9, [1]Visited!B:B, 0)), "")</f>
        <v/>
      </c>
    </row>
    <row r="10" spans="1:12" ht="54" x14ac:dyDescent="0.25">
      <c r="A10" s="17" t="s">
        <v>38</v>
      </c>
      <c r="B10" s="13" t="s">
        <v>39</v>
      </c>
      <c r="C10" s="13" t="s">
        <v>19</v>
      </c>
      <c r="D10" s="15" t="s">
        <v>20</v>
      </c>
      <c r="E10" s="18" t="s">
        <v>28</v>
      </c>
      <c r="F10" s="12" t="str">
        <f>IFERROR(VLOOKUP(B10, [1]Visited!$B$2:$C$743, 2, FALSE), "")</f>
        <v/>
      </c>
      <c r="G10" s="10" t="str">
        <f t="shared" si="0"/>
        <v/>
      </c>
      <c r="H10" s="13" t="str">
        <f>IFERROR(VLOOKUP(B10, [1]Volume!$B$2:$C$1000, 2, FALSE), "")</f>
        <v/>
      </c>
      <c r="I10" t="str">
        <f>IFERROR(VLOOKUP(B10, [1]Visited!B:D, 3, FALSE), "")</f>
        <v/>
      </c>
      <c r="J10" s="14" t="str">
        <f>IFERROR(VLOOKUP(B10, [1]Visited!B:E, 4, FALSE), "")</f>
        <v/>
      </c>
      <c r="K10" s="10" t="str">
        <f>IFERROR(VLOOKUP(B10, [1]Visited!B:F, 5, FALSE), "")</f>
        <v/>
      </c>
      <c r="L10" s="16" t="str">
        <f>IFERROR(INDEX([1]Visited!G:G, MATCH(B10, [1]Visited!B:B, 0)), "")</f>
        <v/>
      </c>
    </row>
    <row r="11" spans="1:12" ht="45" x14ac:dyDescent="0.25">
      <c r="A11" s="8" t="s">
        <v>40</v>
      </c>
      <c r="B11" s="9" t="s">
        <v>41</v>
      </c>
      <c r="C11" s="9" t="s">
        <v>19</v>
      </c>
      <c r="D11" s="10" t="s">
        <v>24</v>
      </c>
      <c r="E11" s="11" t="s">
        <v>25</v>
      </c>
      <c r="F11" s="12" t="str">
        <f>IFERROR(VLOOKUP(B11, [1]Visited!$B$2:$C$743, 2, FALSE), "")</f>
        <v/>
      </c>
      <c r="G11" s="10" t="str">
        <f t="shared" si="0"/>
        <v/>
      </c>
      <c r="H11" s="13" t="str">
        <f>IFERROR(VLOOKUP(B11, [1]Volume!$B$2:$C$1000, 2, FALSE), "")</f>
        <v/>
      </c>
      <c r="I11" t="str">
        <f>IFERROR(VLOOKUP(B11, [1]Visited!B:D, 3, FALSE), "")</f>
        <v/>
      </c>
      <c r="J11" s="14" t="str">
        <f>IFERROR(VLOOKUP(B11, [1]Visited!B:E, 4, FALSE), "")</f>
        <v/>
      </c>
      <c r="K11" s="10" t="str">
        <f>IFERROR(VLOOKUP(B11, [1]Visited!B:F, 5, FALSE), "")</f>
        <v/>
      </c>
      <c r="L11" s="16" t="str">
        <f>IFERROR(INDEX([1]Visited!G:G, MATCH(B11, [1]Visited!B:B, 0)), "")</f>
        <v/>
      </c>
    </row>
    <row r="12" spans="1:12" ht="54" x14ac:dyDescent="0.25">
      <c r="A12" s="17" t="s">
        <v>42</v>
      </c>
      <c r="B12" s="13" t="s">
        <v>43</v>
      </c>
      <c r="C12" s="13" t="s">
        <v>19</v>
      </c>
      <c r="D12" s="15" t="s">
        <v>20</v>
      </c>
      <c r="E12" s="18" t="s">
        <v>33</v>
      </c>
      <c r="F12" s="12" t="str">
        <f>IFERROR(VLOOKUP(B12, [1]Visited!$B$2:$C$743, 2, FALSE), "")</f>
        <v/>
      </c>
      <c r="G12" s="10" t="str">
        <f t="shared" si="0"/>
        <v/>
      </c>
      <c r="H12" s="13" t="str">
        <f>IFERROR(VLOOKUP(B12, [1]Volume!$B$2:$C$1000, 2, FALSE), "")</f>
        <v/>
      </c>
      <c r="I12" t="str">
        <f>IFERROR(VLOOKUP(B12, [1]Visited!B:D, 3, FALSE), "")</f>
        <v/>
      </c>
      <c r="J12" s="14" t="str">
        <f>IFERROR(VLOOKUP(B12, [1]Visited!B:E, 4, FALSE), "")</f>
        <v/>
      </c>
      <c r="K12" s="10" t="str">
        <f>IFERROR(VLOOKUP(B12, [1]Visited!B:F, 5, FALSE), "")</f>
        <v/>
      </c>
      <c r="L12" s="16" t="str">
        <f>IFERROR(INDEX([1]Visited!G:G, MATCH(B12, [1]Visited!B:B, 0)), "")</f>
        <v/>
      </c>
    </row>
    <row r="13" spans="1:12" ht="67.5" x14ac:dyDescent="0.25">
      <c r="A13" s="17" t="s">
        <v>44</v>
      </c>
      <c r="B13" s="13" t="s">
        <v>45</v>
      </c>
      <c r="C13" s="13" t="s">
        <v>19</v>
      </c>
      <c r="D13" s="15" t="s">
        <v>20</v>
      </c>
      <c r="E13" s="18" t="s">
        <v>46</v>
      </c>
      <c r="F13" s="12" t="str">
        <f>IFERROR(VLOOKUP(B13, [1]Visited!$B$2:$C$743, 2, FALSE), "")</f>
        <v/>
      </c>
      <c r="G13" s="10" t="str">
        <f t="shared" si="0"/>
        <v/>
      </c>
      <c r="H13" s="13" t="str">
        <f>IFERROR(VLOOKUP(B13, [1]Volume!$B$2:$C$1000, 2, FALSE), "")</f>
        <v/>
      </c>
      <c r="I13" t="str">
        <f>IFERROR(VLOOKUP(B13, [1]Visited!B:D, 3, FALSE), "")</f>
        <v/>
      </c>
      <c r="J13" s="14" t="str">
        <f>IFERROR(VLOOKUP(B13, [1]Visited!B:E, 4, FALSE), "")</f>
        <v/>
      </c>
      <c r="K13" s="10" t="str">
        <f>IFERROR(VLOOKUP(B13, [1]Visited!B:F, 5, FALSE), "")</f>
        <v/>
      </c>
      <c r="L13" s="16" t="str">
        <f>IFERROR(INDEX([1]Visited!G:G, MATCH(B13, [1]Visited!B:B, 0)), "")</f>
        <v/>
      </c>
    </row>
    <row r="14" spans="1:12" ht="67.5" x14ac:dyDescent="0.25">
      <c r="A14" s="17" t="s">
        <v>47</v>
      </c>
      <c r="B14" s="13" t="s">
        <v>48</v>
      </c>
      <c r="C14" s="13" t="s">
        <v>19</v>
      </c>
      <c r="D14" s="15" t="s">
        <v>20</v>
      </c>
      <c r="E14" s="18" t="s">
        <v>28</v>
      </c>
      <c r="F14" s="12" t="str">
        <f>IFERROR(VLOOKUP(B14, [1]Visited!$B$2:$C$743, 2, FALSE), "")</f>
        <v/>
      </c>
      <c r="G14" s="10" t="str">
        <f t="shared" si="0"/>
        <v/>
      </c>
      <c r="H14" s="13" t="str">
        <f>IFERROR(VLOOKUP(B14, [1]Volume!$B$2:$C$1000, 2, FALSE), "")</f>
        <v/>
      </c>
      <c r="I14" t="str">
        <f>IFERROR(VLOOKUP(B14, [1]Visited!B:D, 3, FALSE), "")</f>
        <v/>
      </c>
      <c r="J14" s="14" t="str">
        <f>IFERROR(VLOOKUP(B14, [1]Visited!B:E, 4, FALSE), "")</f>
        <v/>
      </c>
      <c r="K14" s="10" t="str">
        <f>IFERROR(VLOOKUP(B14, [1]Visited!B:F, 5, FALSE), "")</f>
        <v/>
      </c>
      <c r="L14" s="16" t="str">
        <f>IFERROR(INDEX([1]Visited!G:G, MATCH(B14, [1]Visited!B:B, 0)), "")</f>
        <v/>
      </c>
    </row>
    <row r="15" spans="1:12" ht="27" x14ac:dyDescent="0.25">
      <c r="A15" s="17" t="s">
        <v>49</v>
      </c>
      <c r="B15" s="13" t="s">
        <v>50</v>
      </c>
      <c r="C15" s="13" t="s">
        <v>19</v>
      </c>
      <c r="D15" s="15" t="s">
        <v>20</v>
      </c>
      <c r="E15" s="18" t="s">
        <v>21</v>
      </c>
      <c r="F15" s="12" t="str">
        <f>IFERROR(VLOOKUP(B15, [1]Visited!$B$2:$C$743, 2, FALSE), "")</f>
        <v/>
      </c>
      <c r="G15" s="10" t="str">
        <f t="shared" si="0"/>
        <v/>
      </c>
      <c r="H15" s="13" t="str">
        <f>IFERROR(VLOOKUP(B15, [1]Volume!$B$2:$C$1000, 2, FALSE), "")</f>
        <v/>
      </c>
      <c r="I15" t="str">
        <f>IFERROR(VLOOKUP(B15, [1]Visited!B:D, 3, FALSE), "")</f>
        <v/>
      </c>
      <c r="J15" s="14" t="str">
        <f>IFERROR(VLOOKUP(B15, [1]Visited!B:E, 4, FALSE), "")</f>
        <v/>
      </c>
      <c r="K15" s="10" t="str">
        <f>IFERROR(VLOOKUP(B15, [1]Visited!B:F, 5, FALSE), "")</f>
        <v/>
      </c>
      <c r="L15" s="16" t="str">
        <f>IFERROR(INDEX([1]Visited!G:G, MATCH(B15, [1]Visited!B:B, 0)), "")</f>
        <v/>
      </c>
    </row>
    <row r="16" spans="1:12" ht="67.5" x14ac:dyDescent="0.25">
      <c r="A16" s="17" t="s">
        <v>51</v>
      </c>
      <c r="B16" s="13" t="s">
        <v>52</v>
      </c>
      <c r="C16" s="13" t="s">
        <v>19</v>
      </c>
      <c r="D16" s="15" t="s">
        <v>20</v>
      </c>
      <c r="E16" s="18" t="s">
        <v>53</v>
      </c>
      <c r="F16" s="12" t="str">
        <f>IFERROR(VLOOKUP(B16, [1]Visited!$B$2:$C$743, 2, FALSE), "")</f>
        <v/>
      </c>
      <c r="G16" s="10" t="str">
        <f t="shared" si="0"/>
        <v/>
      </c>
      <c r="H16" s="13" t="str">
        <f>IFERROR(VLOOKUP(B16, [1]Volume!$B$2:$C$1000, 2, FALSE), "")</f>
        <v/>
      </c>
      <c r="I16" t="str">
        <f>IFERROR(VLOOKUP(B16, [1]Visited!B:D, 3, FALSE), "")</f>
        <v/>
      </c>
      <c r="J16" s="14" t="str">
        <f>IFERROR(VLOOKUP(B16, [1]Visited!B:E, 4, FALSE), "")</f>
        <v/>
      </c>
      <c r="K16" s="10" t="str">
        <f>IFERROR(VLOOKUP(B16, [1]Visited!B:F, 5, FALSE), "")</f>
        <v/>
      </c>
      <c r="L16" s="16" t="str">
        <f>IFERROR(INDEX([1]Visited!G:G, MATCH(B16, [1]Visited!B:B, 0)), "")</f>
        <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Israel Shalom Ghom Nissi Ritnour-Carnahan</dc:creator>
  <cp:lastModifiedBy>Israel Shalom Ghom Nissi Ritnour-Carnahan</cp:lastModifiedBy>
  <dcterms:created xsi:type="dcterms:W3CDTF">2025-12-28T11:50:00Z</dcterms:created>
  <dcterms:modified xsi:type="dcterms:W3CDTF">2025-12-28T22:18:21Z</dcterms:modified>
</cp:coreProperties>
</file>