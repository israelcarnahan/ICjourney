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anheuserbuschinbev-my.sharepoint.com/personal/israel_carnahan_interbrew_net/Documents/Lists &amp; Data/House Lists/Hitlists/GMAPS/"/>
    </mc:Choice>
  </mc:AlternateContent>
  <xr:revisionPtr revIDLastSave="0" documentId="8_{66ABE17A-DBDE-471B-8A98-3A2383BA04CF}" xr6:coauthVersionLast="47" xr6:coauthVersionMax="47" xr10:uidLastSave="{00000000-0000-0000-0000-000000000000}"/>
  <bookViews>
    <workbookView xWindow="-23160" yWindow="7500" windowWidth="23280" windowHeight="14880" xr2:uid="{059E07AF-BC47-49AA-AB2B-24431A346E6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9" i="1" l="1"/>
  <c r="C49" i="1"/>
  <c r="D48" i="1"/>
  <c r="C48" i="1"/>
  <c r="D47" i="1"/>
  <c r="C47" i="1"/>
  <c r="D46" i="1"/>
  <c r="C46" i="1"/>
  <c r="D45" i="1"/>
  <c r="C45" i="1"/>
  <c r="D42" i="1"/>
  <c r="C42" i="1"/>
  <c r="D41" i="1"/>
  <c r="C41" i="1"/>
  <c r="D40" i="1"/>
  <c r="C40" i="1"/>
  <c r="D39" i="1"/>
  <c r="C39" i="1"/>
  <c r="D38" i="1"/>
  <c r="C38" i="1"/>
  <c r="D37" i="1"/>
  <c r="C37" i="1"/>
  <c r="D36" i="1"/>
  <c r="C36" i="1"/>
  <c r="D35" i="1"/>
  <c r="C35" i="1"/>
  <c r="D34" i="1"/>
  <c r="C34" i="1"/>
  <c r="D33" i="1"/>
  <c r="C33" i="1"/>
  <c r="D32" i="1"/>
  <c r="C32" i="1"/>
  <c r="D31" i="1"/>
  <c r="C31" i="1"/>
  <c r="D30" i="1"/>
  <c r="C30" i="1"/>
  <c r="D29" i="1"/>
  <c r="C29" i="1"/>
  <c r="D28" i="1"/>
  <c r="D27" i="1"/>
  <c r="C27" i="1"/>
  <c r="D26" i="1"/>
  <c r="C26" i="1"/>
  <c r="D25" i="1"/>
  <c r="C25" i="1"/>
  <c r="D24" i="1"/>
  <c r="C24" i="1"/>
  <c r="D23" i="1"/>
  <c r="C23" i="1"/>
  <c r="D21" i="1"/>
  <c r="C21" i="1"/>
  <c r="D20" i="1"/>
  <c r="C20" i="1"/>
  <c r="D19" i="1"/>
  <c r="C19" i="1"/>
  <c r="D18" i="1"/>
  <c r="C18" i="1"/>
  <c r="D17" i="1"/>
  <c r="C17" i="1"/>
  <c r="D16" i="1"/>
  <c r="C16" i="1"/>
  <c r="D15" i="1"/>
  <c r="C15" i="1"/>
  <c r="D14" i="1"/>
  <c r="C14" i="1"/>
  <c r="D13" i="1"/>
  <c r="C13" i="1"/>
  <c r="D12" i="1"/>
  <c r="C12" i="1"/>
  <c r="D11" i="1"/>
  <c r="C11" i="1"/>
  <c r="D10" i="1"/>
  <c r="C10" i="1"/>
  <c r="D9" i="1"/>
  <c r="C9" i="1"/>
  <c r="D8" i="1"/>
  <c r="C8" i="1"/>
  <c r="D7" i="1"/>
  <c r="C7" i="1"/>
  <c r="D6" i="1"/>
  <c r="C6" i="1"/>
  <c r="D5" i="1"/>
  <c r="C5" i="1"/>
  <c r="D4" i="1"/>
  <c r="C4" i="1"/>
  <c r="D3" i="1"/>
  <c r="C3" i="1"/>
  <c r="D2" i="1"/>
  <c r="C2" i="1"/>
</calcChain>
</file>

<file path=xl/sharedStrings.xml><?xml version="1.0" encoding="utf-8"?>
<sst xmlns="http://schemas.openxmlformats.org/spreadsheetml/2006/main" count="358" uniqueCount="253">
  <si>
    <t>outlet_name</t>
  </si>
  <si>
    <t>zipcode</t>
  </si>
  <si>
    <t>sector</t>
  </si>
  <si>
    <t>district</t>
  </si>
  <si>
    <t>RTM</t>
  </si>
  <si>
    <t>RM</t>
  </si>
  <si>
    <t>Landlords</t>
  </si>
  <si>
    <t>email</t>
  </si>
  <si>
    <t>contact</t>
  </si>
  <si>
    <t>Group?</t>
  </si>
  <si>
    <t>Notes</t>
  </si>
  <si>
    <t>Brand in</t>
  </si>
  <si>
    <t>why - staci/lead/rm/whoopsie</t>
  </si>
  <si>
    <t>BDM TODO</t>
  </si>
  <si>
    <t xml:space="preserve">Angel </t>
  </si>
  <si>
    <t>NR34 8RL</t>
  </si>
  <si>
    <t>GK IFT</t>
  </si>
  <si>
    <t>adam vass</t>
  </si>
  <si>
    <t>Eliza &amp; amelia</t>
  </si>
  <si>
    <t>later afternoons best, Thursdays better. prebook carlberg had a vol dip perhaps ops for bl. not tied fully to gk.</t>
  </si>
  <si>
    <t>lead mid</t>
  </si>
  <si>
    <t>call visit</t>
  </si>
  <si>
    <t>attleboro football</t>
  </si>
  <si>
    <t>nr17 2as</t>
  </si>
  <si>
    <t>Greene King</t>
  </si>
  <si>
    <t>reddit</t>
  </si>
  <si>
    <t>emma</t>
  </si>
  <si>
    <t>44 7584 073258</t>
  </si>
  <si>
    <t>£121.36+VAT   for tnt</t>
  </si>
  <si>
    <t>install fu</t>
  </si>
  <si>
    <t>want tnt?</t>
  </si>
  <si>
    <t>bath house</t>
  </si>
  <si>
    <t>co14 8pz</t>
  </si>
  <si>
    <t>nikki</t>
  </si>
  <si>
    <t>kish</t>
  </si>
  <si>
    <t>belle vue</t>
  </si>
  <si>
    <t>nr2 3bl</t>
  </si>
  <si>
    <t>Stonegate</t>
  </si>
  <si>
    <t>Galloway</t>
  </si>
  <si>
    <t>david</t>
  </si>
  <si>
    <t>y</t>
  </si>
  <si>
    <t>golden thorpe group (and cellar house). Wants mahoue ipo madri (modelo and eazy also in talks as of dec. 1)</t>
  </si>
  <si>
    <t>eazy/mahou</t>
  </si>
  <si>
    <t>lead high</t>
  </si>
  <si>
    <t>Belstead Arms</t>
  </si>
  <si>
    <t>IP2 9QU</t>
  </si>
  <si>
    <t>pitt</t>
  </si>
  <si>
    <t>Emma and Darren (penny sister)</t>
  </si>
  <si>
    <t>07707859243</t>
  </si>
  <si>
    <t>lead low</t>
  </si>
  <si>
    <t>Bull</t>
  </si>
  <si>
    <t>NR19 1DZ</t>
  </si>
  <si>
    <t>greene King IFT</t>
  </si>
  <si>
    <t>JARVIS</t>
  </si>
  <si>
    <t xml:space="preserve">nigel </t>
  </si>
  <si>
    <t>pale installing ipo Level - lvm x2 nov 26</t>
  </si>
  <si>
    <t>Cock Horse</t>
  </si>
  <si>
    <t>CO10 9SA</t>
  </si>
  <si>
    <t>kev and becca</t>
  </si>
  <si>
    <t>info@thecockhorse.co.uk</t>
  </si>
  <si>
    <t>very sp site, not really tnt, bella pubs (previously not replyed via email/phone Bunbury arms ip33,  linden tree ip33- both (gk l&amp;t), and three kings inn -fornham all saints</t>
  </si>
  <si>
    <t xml:space="preserve">Crown </t>
  </si>
  <si>
    <t>ip14 4bq</t>
  </si>
  <si>
    <t>gk ift</t>
  </si>
  <si>
    <t>lee</t>
  </si>
  <si>
    <t>CO11 1AH</t>
  </si>
  <si>
    <t>GK L&amp;T</t>
  </si>
  <si>
    <t>Pearson</t>
  </si>
  <si>
    <t>Matt</t>
  </si>
  <si>
    <t>Stella likely, works at alma. Rm push promised</t>
  </si>
  <si>
    <t>Stella</t>
  </si>
  <si>
    <t>falcon</t>
  </si>
  <si>
    <t>ip11 9ds</t>
  </si>
  <si>
    <t>Admiral</t>
  </si>
  <si>
    <t>mciver</t>
  </si>
  <si>
    <t>rm help</t>
  </si>
  <si>
    <t>four horseshoes</t>
  </si>
  <si>
    <t>ip23 8hd</t>
  </si>
  <si>
    <t>rob brown</t>
  </si>
  <si>
    <t>tom</t>
  </si>
  <si>
    <t xml:space="preserve">SM new in march, stella ipo reti ops - call </t>
  </si>
  <si>
    <t>Fox</t>
  </si>
  <si>
    <t>ip31 1rd</t>
  </si>
  <si>
    <t>kate</t>
  </si>
  <si>
    <t xml:space="preserve">harrison </t>
  </si>
  <si>
    <t>tnt pending, stella new… open ops</t>
  </si>
  <si>
    <t>tnt/lead fu</t>
  </si>
  <si>
    <t>Garden House</t>
  </si>
  <si>
    <t>nr16 2by</t>
  </si>
  <si>
    <t>aka smokehouse, churned and back</t>
  </si>
  <si>
    <t>Glen Lodge Golf and Wedding Center</t>
  </si>
  <si>
    <t>NR9 3LU</t>
  </si>
  <si>
    <t>lou</t>
  </si>
  <si>
    <t>lou@bawburgh.com</t>
  </si>
  <si>
    <t>golden star</t>
  </si>
  <si>
    <t>nr3 1dd</t>
  </si>
  <si>
    <t>Jarvis</t>
  </si>
  <si>
    <t>Leva</t>
  </si>
  <si>
    <t>leva - leva to wahts app me a good date for next week , as on holiday this.
call to confirm visit next Thursday after 5 . Stella best fit - but says no? happy for a chat but more kop btl and 0%... Push camden light ops (data lead)</t>
  </si>
  <si>
    <t>Greyhound (Lavenham)</t>
  </si>
  <si>
    <t>CO10 9PZ</t>
  </si>
  <si>
    <t>sally</t>
  </si>
  <si>
    <t>info@greyhoundlavenham.co.uk</t>
  </si>
  <si>
    <t>Sally in tomorrow,  (Keighley?) tender shared email to book in. slammed for mid day and good vibes. ops for fruit cider swap to stella or hells.</t>
  </si>
  <si>
    <t>Hare Inn Long Melford</t>
  </si>
  <si>
    <t>CO10 9DF</t>
  </si>
  <si>
    <t>Sam</t>
  </si>
  <si>
    <t>nik and kate</t>
  </si>
  <si>
    <t>rose is kates sister. - either can be dm. tori tender checked upstairs but kate is out. haven't changed up the bar since I was here this time LY. emailing. Peroni ops</t>
  </si>
  <si>
    <t>Hintlesham Community Hall</t>
  </si>
  <si>
    <t>ip8 3ps</t>
  </si>
  <si>
    <t xml:space="preserve">jim </t>
  </si>
  <si>
    <t>Horringer Social Club</t>
  </si>
  <si>
    <t>ip29 5ru</t>
  </si>
  <si>
    <t xml:space="preserve">John   </t>
  </si>
  <si>
    <t>07802 912704</t>
  </si>
  <si>
    <t>hells installed</t>
  </si>
  <si>
    <t>Hudson</t>
  </si>
  <si>
    <t xml:space="preserve">	
CO1 1NX</t>
  </si>
  <si>
    <t>joe sagnella</t>
  </si>
  <si>
    <t>henry</t>
  </si>
  <si>
    <t>also o n churn?</t>
  </si>
  <si>
    <t>becks oct flag</t>
  </si>
  <si>
    <t>install confirm</t>
  </si>
  <si>
    <t>Kings arms</t>
  </si>
  <si>
    <t>CO7 7DJ</t>
  </si>
  <si>
    <t>2 foc frome harry</t>
  </si>
  <si>
    <t>protect</t>
  </si>
  <si>
    <t>Kings Head</t>
  </si>
  <si>
    <t>CO10 0JE</t>
  </si>
  <si>
    <t xml:space="preserve">Lifeboat </t>
  </si>
  <si>
    <t>NR12 0AL</t>
  </si>
  <si>
    <t>Galpin</t>
  </si>
  <si>
    <t>customer lvm with landline, tried twice lvm no resposne. Has SM</t>
  </si>
  <si>
    <t>Mouse trap</t>
  </si>
  <si>
    <t>nr1 1bg</t>
  </si>
  <si>
    <t>site not on google? Sdm reddit?</t>
  </si>
  <si>
    <t>stella &amp; becks on dec flags</t>
  </si>
  <si>
    <t>norfolk terrier</t>
  </si>
  <si>
    <t>IP24 1TA</t>
  </si>
  <si>
    <t>Tish</t>
  </si>
  <si>
    <t>HIVE TO LEASED IN FEB</t>
  </si>
  <si>
    <t xml:space="preserve">Stella </t>
  </si>
  <si>
    <t>Old Red House</t>
  </si>
  <si>
    <t>NR33 8JP</t>
  </si>
  <si>
    <t>TINA</t>
  </si>
  <si>
    <t>Tina on hols until sept 27, one carling drinker, has x3 coor to attack dupes, neckoil does well but ££, no tnt but ops as just too costly</t>
  </si>
  <si>
    <t>Old times</t>
  </si>
  <si>
    <t xml:space="preserve">	
IP4 5NJ</t>
  </si>
  <si>
    <t>ip</t>
  </si>
  <si>
    <t>Kate</t>
  </si>
  <si>
    <t>tnt cancelled?</t>
  </si>
  <si>
    <t>Parkhill Hotel</t>
  </si>
  <si>
    <t>NR32 5DQ</t>
  </si>
  <si>
    <t>CMBC</t>
  </si>
  <si>
    <t>Rob</t>
  </si>
  <si>
    <t>Ruth pwmer (noel daughters wife and bar manager)</t>
  </si>
  <si>
    <t>mail@parkhillhotel.co.uk</t>
  </si>
  <si>
    <t>function weeks- 32pints in one pod- uses 6-7 pods (estrella mainly).. 3 kegs a week outside of events.
noel is married to the daughter of the owners. from Pennsylvania. met her wife at Disney and moved here. 
she's happy for a meet to explore options. feels the carlsberg Dispense system is limited on choice to be able to switch up.
sanmig sold well but delisted on the Dispense system and estrella is much more ££...but volumes are the same. 
worried to remove Dispense system. as goes through little volumes and saves on wastage. but up to explore. will share with sdm and see ops, not likely to be of worth for gk tbd.
lots of packaged options and easier for them.</t>
  </si>
  <si>
    <t>rm fu</t>
  </si>
  <si>
    <t>Plough</t>
  </si>
  <si>
    <t>NR32 5AN</t>
  </si>
  <si>
    <t>PROSPECT
IFT</t>
  </si>
  <si>
    <t>dan ll a nd Dawn tender</t>
  </si>
  <si>
    <t>info@ploughinn-blundeston.co.uk</t>
  </si>
  <si>
    <t>has three other pubs: bell st olives the priory (seasonal pub)- opposite the bell. Wavley river center - towards Beccles  
alpaca newest, inches new ipo aspall. cruz and oil top vol, the cask.</t>
  </si>
  <si>
    <t>Pot Black</t>
  </si>
  <si>
    <t>ip33 1yq</t>
  </si>
  <si>
    <t>andy</t>
  </si>
  <si>
    <t>tnt sorted on $? Vianet is sorted. Screenprojecter requested w fraser</t>
  </si>
  <si>
    <t>bl ipo cmbc</t>
  </si>
  <si>
    <t>tnt price sorted?</t>
  </si>
  <si>
    <t>queens head stowmarket</t>
  </si>
  <si>
    <t>IP14 1EF</t>
  </si>
  <si>
    <t>punch</t>
  </si>
  <si>
    <t>michael and d</t>
  </si>
  <si>
    <t>stella on - sm off in jan ipo cruz. Open to stout ipo guin…or next to for foc, and fancy differiancion…x 1/2 keg a week of G remove -or if dear, atlantic doing no sells and do both stouts for trail and margin play -rm require postbox</t>
  </si>
  <si>
    <t>stout</t>
  </si>
  <si>
    <t>lead fu</t>
  </si>
  <si>
    <t>Rose &amp; Crown Hotel</t>
  </si>
  <si>
    <t>CO1 2TZ</t>
  </si>
  <si>
    <t>ilza</t>
  </si>
  <si>
    <t>ilze.iriste@rose-and-crown.com</t>
  </si>
  <si>
    <t>ealza. is bar manager and wedding manager... walked in whilst a bride was walking down the isle.... lots of crying. reception says she's super easy going and likely to chat, sending email off cmbc list. 
couldn't see bar as wedding, tbd</t>
  </si>
  <si>
    <t>Royal British Legion Club</t>
  </si>
  <si>
    <t>IP14 1PH</t>
  </si>
  <si>
    <t>kelly bar manager (sue secratary)</t>
  </si>
  <si>
    <t>get quotes</t>
  </si>
  <si>
    <t>Royal George</t>
  </si>
  <si>
    <t>IP31 1DD</t>
  </si>
  <si>
    <t>bob and nick</t>
  </si>
  <si>
    <t>asked to fu ops in early november</t>
  </si>
  <si>
    <t>sailors home</t>
  </si>
  <si>
    <t>nr33 7sb</t>
  </si>
  <si>
    <t>has sm on font, gk led pub</t>
  </si>
  <si>
    <t>becks in dec flags</t>
  </si>
  <si>
    <t>seaspan</t>
  </si>
  <si>
    <t>co15 1un</t>
  </si>
  <si>
    <t>chris</t>
  </si>
  <si>
    <t>Swan Hotel Lavenham</t>
  </si>
  <si>
    <t>CO10 9QA</t>
  </si>
  <si>
    <t>james sanders gm- gillian bar mngr dm</t>
  </si>
  <si>
    <t>gillian.murgia@theswanatlavenham.co.uk</t>
  </si>
  <si>
    <t>freddy, very quiet shy youngster behind the bar. doesn't know much of the trading vibe but passed on email for mngr and sending email. has a x3 joints, others are restraunt and spa. tbd on ops</t>
  </si>
  <si>
    <t>Swan Inn</t>
  </si>
  <si>
    <t>IP21 5AS</t>
  </si>
  <si>
    <t>new management tbd</t>
  </si>
  <si>
    <t>swan</t>
  </si>
  <si>
    <t>ip21 5pe</t>
  </si>
  <si>
    <t>mick</t>
  </si>
  <si>
    <t>san mig ipo madri, new accout</t>
  </si>
  <si>
    <t>IP6 9AJ</t>
  </si>
  <si>
    <t>Ric AM</t>
  </si>
  <si>
    <t>Debenn inns - with rob to email</t>
  </si>
  <si>
    <t>fu rm - top 20</t>
  </si>
  <si>
    <t>The Grebe</t>
  </si>
  <si>
    <t>NR12 9BB</t>
  </si>
  <si>
    <t>steve and steve</t>
  </si>
  <si>
    <t xml:space="preserve"> sdm quote - delay!</t>
  </si>
  <si>
    <t>Three Bottles</t>
  </si>
  <si>
    <t>CO9 4HY</t>
  </si>
  <si>
    <t>admiral</t>
  </si>
  <si>
    <t>pale churning? Mahou ipo cask? …mciver</t>
  </si>
  <si>
    <t>mahou</t>
  </si>
  <si>
    <t>Victoriia</t>
  </si>
  <si>
    <t>ip22 4hw</t>
  </si>
  <si>
    <t>andre</t>
  </si>
  <si>
    <t xml:space="preserve"> 7917 223165</t>
  </si>
  <si>
    <t>White Horse</t>
  </si>
  <si>
    <t>CO10 1RF</t>
  </si>
  <si>
    <t>Gary and Ashley</t>
  </si>
  <si>
    <t>wants rid of icebreaker and will swap anything for a bribe (wants a canopy for outside at min covered with parasols) bud is great for him amd better than Foster, target proud of his 0 offerings and adding huk 0 if I don't do my job well lol research beers at other pubs as want to be different and thinks weavers has camden (they dont) . fu meeting next week pre opwning</t>
  </si>
  <si>
    <t>(CALL WIFE AT SWAN co10 9jq 1ST)</t>
  </si>
  <si>
    <t>white horse</t>
  </si>
  <si>
    <t>nr14 8st</t>
  </si>
  <si>
    <t>mark neild</t>
  </si>
  <si>
    <t>charlotte&amp;mike</t>
  </si>
  <si>
    <t>murphy/guinnes (on a year and both doing swell-stout ops) - only 0 and fruit cider in fridge</t>
  </si>
  <si>
    <t>White Horse Upton</t>
  </si>
  <si>
    <t>NR13 6BT</t>
  </si>
  <si>
    <t>miss hood</t>
  </si>
  <si>
    <t>large garden, events and music and food focused, removed peroni and madri for stella and san mig. ops for fruit cider. Mrs hood contact best for late afternoons. missing stella pint order, resending</t>
  </si>
  <si>
    <t>tnt op?</t>
  </si>
  <si>
    <t>Wick Lodge</t>
  </si>
  <si>
    <t>CO16 8BG</t>
  </si>
  <si>
    <t>Nikki</t>
  </si>
  <si>
    <t>Danny</t>
  </si>
  <si>
    <t>thewicklodge@gmail.com</t>
  </si>
  <si>
    <t>met owners daughter, passed on Danny's email. only in weekends and said she would hound him for a meet. she's unsure if still cmbc supplied, but doesn't want tnt clientel.</t>
  </si>
  <si>
    <t>Yachtsmans Arms</t>
  </si>
  <si>
    <t>CO7 0AZ</t>
  </si>
  <si>
    <t>Natalie &amp; Phil?</t>
  </si>
  <si>
    <t>stella best fit. well up for switcheroo to try things. peroni bigg3st cost but sells well amd only pub in town with it. no Stella ops, feels her older clientel have the wife beater stuck in theor head, and is all over town.
madri does a hit and miss and is up for san mig, wants rm to quote her and likely will move forward.
hells and kop ops for summer. small cellar, no extra tap, would replace aspall and peroni if dips (hasn't seen a rep in 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</si>
</sst>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u/>
      <sz val="11"/>
      <color theme="10"/>
      <name val="Aptos Narrow"/>
      <family val="2"/>
      <scheme val="minor"/>
    </font>
    <font>
      <b/>
      <sz val="11"/>
      <color rgb="FFFFFFFF"/>
      <name val="Calibri"/>
      <family val="2"/>
    </font>
    <font>
      <sz val="11"/>
      <name val="Aptos Narrow"/>
      <family val="2"/>
    </font>
    <font>
      <sz val="11"/>
      <color rgb="FF000000"/>
      <name val="Aptos Narrow"/>
      <family val="2"/>
      <scheme val="minor"/>
    </font>
    <font>
      <sz val="11"/>
      <name val="Aptos Narrow"/>
      <family val="2"/>
      <scheme val="minor"/>
    </font>
    <font>
      <sz val="11"/>
      <color rgb="FF3A3A3A"/>
      <name val="Aptos Narrow"/>
      <family val="2"/>
      <scheme val="minor"/>
    </font>
    <font>
      <sz val="11"/>
      <color rgb="FF1F1F1F"/>
      <name val="Aptos Narrow"/>
      <family val="2"/>
      <scheme val="minor"/>
    </font>
    <font>
      <u/>
      <sz val="11"/>
      <color theme="10"/>
      <name val="Aptos Narrow"/>
      <family val="2"/>
    </font>
    <font>
      <sz val="11"/>
      <color rgb="FF3A3A3A"/>
      <name val="Times New Roman"/>
      <family val="1"/>
    </font>
    <font>
      <sz val="11"/>
      <name val="Aptos"/>
      <family val="2"/>
    </font>
    <font>
      <sz val="10"/>
      <color rgb="FF000000"/>
      <name val="Roboto"/>
    </font>
    <font>
      <sz val="11"/>
      <name val="Arial"/>
      <family val="2"/>
    </font>
  </fonts>
  <fills count="5">
    <fill>
      <patternFill patternType="none"/>
    </fill>
    <fill>
      <patternFill patternType="gray125"/>
    </fill>
    <fill>
      <patternFill patternType="solid">
        <fgColor rgb="FF000000"/>
        <bgColor rgb="FF000000"/>
      </patternFill>
    </fill>
    <fill>
      <patternFill patternType="solid">
        <fgColor theme="8"/>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9">
    <xf numFmtId="0" fontId="0" fillId="0" borderId="0" xfId="0"/>
    <xf numFmtId="0" fontId="2" fillId="2" borderId="0" xfId="0" applyFont="1" applyFill="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xf numFmtId="0" fontId="3" fillId="0" borderId="0" xfId="0" applyFont="1" applyAlignment="1">
      <alignment vertical="center" wrapText="1"/>
    </xf>
    <xf numFmtId="0" fontId="7" fillId="0" borderId="0" xfId="0" applyFont="1" applyAlignment="1">
      <alignment horizontal="left" vertical="center" wrapText="1"/>
    </xf>
    <xf numFmtId="0" fontId="8" fillId="0" borderId="0" xfId="1" applyFont="1" applyAlignment="1">
      <alignment horizontal="left" vertical="center" wrapText="1"/>
    </xf>
    <xf numFmtId="0" fontId="9" fillId="0" borderId="0" xfId="0" applyFont="1" applyAlignment="1">
      <alignment horizontal="left" vertical="center" wrapText="1"/>
    </xf>
    <xf numFmtId="0" fontId="3" fillId="0" borderId="0" xfId="0" applyFont="1"/>
    <xf numFmtId="0" fontId="10" fillId="0" borderId="0" xfId="0" applyFont="1"/>
    <xf numFmtId="0" fontId="3" fillId="3" borderId="0" xfId="0" applyFont="1" applyFill="1" applyAlignment="1">
      <alignment horizontal="left" vertical="center" wrapText="1"/>
    </xf>
    <xf numFmtId="0" fontId="11" fillId="0" borderId="0" xfId="0" applyFont="1"/>
    <xf numFmtId="0" fontId="6" fillId="4" borderId="0" xfId="0" applyFont="1" applyFill="1" applyAlignment="1">
      <alignment horizontal="left" vertical="center" wrapText="1"/>
    </xf>
    <xf numFmtId="0" fontId="12" fillId="0" borderId="0" xfId="0" applyFont="1" applyAlignment="1">
      <alignment vertical="center" wrapText="1"/>
    </xf>
    <xf numFmtId="0" fontId="3" fillId="0" borderId="0" xfId="0" applyFont="1" applyAlignment="1">
      <alignment vertical="center"/>
    </xf>
    <xf numFmtId="0" fontId="3" fillId="3" borderId="0" xfId="0" applyFont="1" applyFill="1" applyAlignment="1">
      <alignment vertical="center" wrapText="1"/>
    </xf>
    <xf numFmtId="0" fontId="3" fillId="0" borderId="0" xfId="0" applyFont="1" applyAlignment="1">
      <alignment horizontal="left" vertical="center"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gillian.murgia@theswanatlavenham.co.uk" TargetMode="External"/><Relationship Id="rId2" Type="http://schemas.openxmlformats.org/officeDocument/2006/relationships/hyperlink" Target="mailto:thewicklodge@gmail.com" TargetMode="External"/><Relationship Id="rId1" Type="http://schemas.openxmlformats.org/officeDocument/2006/relationships/hyperlink" Target="mailto:info@greyhoundlavenham.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DD6DB-4E7E-4427-9174-97875EF8CF59}">
  <dimension ref="A1:N49"/>
  <sheetViews>
    <sheetView tabSelected="1" workbookViewId="0">
      <selection sqref="A1:N1048576"/>
    </sheetView>
  </sheetViews>
  <sheetFormatPr defaultRowHeight="15" x14ac:dyDescent="0.25"/>
  <cols>
    <col min="1" max="1" width="15.28515625" style="2" customWidth="1"/>
    <col min="2" max="2" width="9.140625" style="2"/>
    <col min="3" max="3" width="6" style="2" customWidth="1"/>
    <col min="4" max="4" width="8" style="2" bestFit="1" customWidth="1"/>
    <col min="5" max="5" width="8.5703125" style="2" customWidth="1"/>
    <col min="6" max="6" width="9.5703125" style="2" customWidth="1"/>
    <col min="7" max="7" width="13.42578125" style="2" customWidth="1"/>
    <col min="8" max="8" width="9.5703125" style="2" customWidth="1"/>
    <col min="9" max="9" width="7.5703125" style="2" customWidth="1"/>
    <col min="10" max="10" width="9" style="2" customWidth="1"/>
    <col min="11" max="11" width="32.42578125" style="2" customWidth="1"/>
    <col min="12" max="12" width="12.28515625" style="2" customWidth="1"/>
    <col min="13" max="13" width="9.140625" style="2"/>
    <col min="14" max="14" width="36.42578125" style="2" bestFit="1" customWidth="1"/>
  </cols>
  <sheetData>
    <row r="1" spans="1:14" ht="60"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60" x14ac:dyDescent="0.25">
      <c r="A2" s="2" t="s">
        <v>14</v>
      </c>
      <c r="B2" s="2" t="s">
        <v>15</v>
      </c>
      <c r="C2" s="3" t="str">
        <f>LEFT(B2,2)</f>
        <v>NR</v>
      </c>
      <c r="D2" s="3" t="str">
        <f>_xlfn.TEXTBEFORE(B2, " ")</f>
        <v>NR34</v>
      </c>
      <c r="E2" s="2" t="s">
        <v>16</v>
      </c>
      <c r="F2" s="2" t="s">
        <v>17</v>
      </c>
      <c r="G2" s="4" t="s">
        <v>18</v>
      </c>
      <c r="H2" s="4"/>
      <c r="I2" s="5">
        <v>770107725</v>
      </c>
      <c r="K2" s="5" t="s">
        <v>19</v>
      </c>
      <c r="M2" s="2" t="s">
        <v>20</v>
      </c>
      <c r="N2" s="2" t="s">
        <v>21</v>
      </c>
    </row>
    <row r="3" spans="1:14" ht="30" x14ac:dyDescent="0.25">
      <c r="A3" s="2" t="s">
        <v>22</v>
      </c>
      <c r="B3" s="2" t="s">
        <v>23</v>
      </c>
      <c r="C3" s="3" t="str">
        <f>LEFT(B3,2)</f>
        <v>nr</v>
      </c>
      <c r="D3" s="3" t="str">
        <f>_xlfn.TEXTBEFORE(B3, " ")</f>
        <v>nr17</v>
      </c>
      <c r="E3" s="2" t="s">
        <v>24</v>
      </c>
      <c r="F3" s="2" t="s">
        <v>25</v>
      </c>
      <c r="G3" s="2" t="s">
        <v>26</v>
      </c>
      <c r="I3" s="2" t="s">
        <v>27</v>
      </c>
      <c r="J3" s="6"/>
      <c r="K3" s="2" t="s">
        <v>28</v>
      </c>
      <c r="L3" s="6"/>
      <c r="M3" s="6" t="s">
        <v>29</v>
      </c>
      <c r="N3" s="6" t="s">
        <v>30</v>
      </c>
    </row>
    <row r="4" spans="1:14" ht="30" x14ac:dyDescent="0.25">
      <c r="A4" s="2" t="s">
        <v>31</v>
      </c>
      <c r="B4" s="2" t="s">
        <v>32</v>
      </c>
      <c r="C4" s="3" t="str">
        <f>LEFT(B4,2)</f>
        <v>co</v>
      </c>
      <c r="D4" s="3" t="str">
        <f>_xlfn.TEXTBEFORE(B4, " ")</f>
        <v>co14</v>
      </c>
      <c r="E4" s="2" t="s">
        <v>24</v>
      </c>
      <c r="F4" s="2" t="s">
        <v>33</v>
      </c>
      <c r="G4" s="2" t="s">
        <v>34</v>
      </c>
      <c r="M4" s="2" t="s">
        <v>29</v>
      </c>
    </row>
    <row r="5" spans="1:14" ht="60" x14ac:dyDescent="0.25">
      <c r="A5" s="2" t="s">
        <v>35</v>
      </c>
      <c r="B5" s="2" t="s">
        <v>36</v>
      </c>
      <c r="C5" s="3" t="str">
        <f>LEFT(B5,2)</f>
        <v>nr</v>
      </c>
      <c r="D5" s="3" t="str">
        <f>_xlfn.TEXTBEFORE(B5, " ")</f>
        <v>nr2</v>
      </c>
      <c r="E5" s="2" t="s">
        <v>37</v>
      </c>
      <c r="F5" s="2" t="s">
        <v>38</v>
      </c>
      <c r="G5" s="2" t="s">
        <v>39</v>
      </c>
      <c r="I5" s="5">
        <v>7545340923</v>
      </c>
      <c r="J5" s="4" t="s">
        <v>40</v>
      </c>
      <c r="K5" s="4" t="s">
        <v>41</v>
      </c>
      <c r="L5" s="2" t="s">
        <v>42</v>
      </c>
      <c r="M5" s="2" t="s">
        <v>43</v>
      </c>
    </row>
    <row r="6" spans="1:14" ht="45" x14ac:dyDescent="0.25">
      <c r="A6" s="2" t="s">
        <v>44</v>
      </c>
      <c r="B6" s="2" t="s">
        <v>45</v>
      </c>
      <c r="C6" s="3" t="str">
        <f>LEFT(B6,2)</f>
        <v>IP</v>
      </c>
      <c r="D6" s="3" t="str">
        <f>_xlfn.TEXTBEFORE(B6, " ")</f>
        <v>IP2</v>
      </c>
      <c r="E6" s="2" t="s">
        <v>37</v>
      </c>
      <c r="F6" s="2" t="s">
        <v>46</v>
      </c>
      <c r="G6" s="2" t="s">
        <v>47</v>
      </c>
      <c r="I6" s="2" t="s">
        <v>48</v>
      </c>
      <c r="M6" s="2" t="s">
        <v>49</v>
      </c>
    </row>
    <row r="7" spans="1:14" ht="30" x14ac:dyDescent="0.25">
      <c r="A7" s="4" t="s">
        <v>50</v>
      </c>
      <c r="B7" s="7" t="s">
        <v>51</v>
      </c>
      <c r="C7" s="3" t="str">
        <f>LEFT(B7,2)</f>
        <v>NR</v>
      </c>
      <c r="D7" s="3" t="str">
        <f>_xlfn.TEXTBEFORE(B7, " ")</f>
        <v>NR19</v>
      </c>
      <c r="E7" s="4" t="s">
        <v>52</v>
      </c>
      <c r="F7" s="4" t="s">
        <v>53</v>
      </c>
      <c r="G7" s="4" t="s">
        <v>54</v>
      </c>
      <c r="H7" s="4"/>
      <c r="I7" s="4">
        <v>7920113861</v>
      </c>
      <c r="K7" s="4" t="s">
        <v>55</v>
      </c>
      <c r="M7" s="2" t="s">
        <v>29</v>
      </c>
    </row>
    <row r="8" spans="1:14" ht="75" x14ac:dyDescent="0.25">
      <c r="A8" s="2" t="s">
        <v>56</v>
      </c>
      <c r="B8" s="2" t="s">
        <v>57</v>
      </c>
      <c r="C8" s="3" t="str">
        <f>LEFT(B8,2)</f>
        <v>CO</v>
      </c>
      <c r="D8" s="3" t="str">
        <f>_xlfn.TEXTBEFORE(B8, " ")</f>
        <v>CO10</v>
      </c>
      <c r="E8" s="4" t="s">
        <v>37</v>
      </c>
      <c r="G8" s="2" t="s">
        <v>58</v>
      </c>
      <c r="H8" s="2" t="s">
        <v>59</v>
      </c>
      <c r="J8" s="4" t="s">
        <v>40</v>
      </c>
      <c r="K8" s="4" t="s">
        <v>60</v>
      </c>
      <c r="M8" s="2" t="s">
        <v>49</v>
      </c>
    </row>
    <row r="9" spans="1:14" x14ac:dyDescent="0.25">
      <c r="A9" s="2" t="s">
        <v>61</v>
      </c>
      <c r="B9" s="2" t="s">
        <v>62</v>
      </c>
      <c r="C9" s="3" t="str">
        <f>LEFT(B9,2)</f>
        <v>ip</v>
      </c>
      <c r="D9" s="3" t="str">
        <f>_xlfn.TEXTBEFORE(B9, " ")</f>
        <v>ip14</v>
      </c>
      <c r="E9" s="4" t="s">
        <v>63</v>
      </c>
      <c r="G9" s="2" t="s">
        <v>64</v>
      </c>
      <c r="J9" s="4"/>
      <c r="K9" s="4"/>
      <c r="M9" s="2" t="s">
        <v>29</v>
      </c>
    </row>
    <row r="10" spans="1:14" ht="30" x14ac:dyDescent="0.25">
      <c r="A10" s="3" t="s">
        <v>61</v>
      </c>
      <c r="B10" s="3" t="s">
        <v>65</v>
      </c>
      <c r="C10" s="3" t="str">
        <f>LEFT(B10,2)</f>
        <v>CO</v>
      </c>
      <c r="D10" s="3" t="str">
        <f>_xlfn.TEXTBEFORE(B10, " ")</f>
        <v>CO11</v>
      </c>
      <c r="E10" s="3" t="s">
        <v>66</v>
      </c>
      <c r="F10" s="4" t="s">
        <v>67</v>
      </c>
      <c r="G10" s="4" t="s">
        <v>68</v>
      </c>
      <c r="H10" s="4"/>
      <c r="I10" s="4"/>
      <c r="J10" s="4" t="s">
        <v>40</v>
      </c>
      <c r="K10" s="4" t="s">
        <v>69</v>
      </c>
      <c r="L10" s="2" t="s">
        <v>70</v>
      </c>
      <c r="M10" s="2" t="s">
        <v>20</v>
      </c>
    </row>
    <row r="11" spans="1:14" x14ac:dyDescent="0.25">
      <c r="A11" s="2" t="s">
        <v>71</v>
      </c>
      <c r="B11" s="2" t="s">
        <v>72</v>
      </c>
      <c r="C11" s="3" t="str">
        <f>LEFT(B11,2)</f>
        <v>ip</v>
      </c>
      <c r="D11" s="3" t="str">
        <f>_xlfn.TEXTBEFORE(B11, " ")</f>
        <v>ip11</v>
      </c>
      <c r="E11" s="2" t="s">
        <v>73</v>
      </c>
      <c r="F11" s="2" t="s">
        <v>74</v>
      </c>
      <c r="M11" s="2" t="s">
        <v>49</v>
      </c>
      <c r="N11" s="2" t="s">
        <v>75</v>
      </c>
    </row>
    <row r="12" spans="1:14" ht="30" x14ac:dyDescent="0.25">
      <c r="A12" s="2" t="s">
        <v>76</v>
      </c>
      <c r="B12" s="4" t="s">
        <v>77</v>
      </c>
      <c r="C12" s="3" t="str">
        <f>LEFT(B12,2)</f>
        <v>ip</v>
      </c>
      <c r="D12" s="3" t="str">
        <f>_xlfn.TEXTBEFORE(B12, " ")</f>
        <v>ip23</v>
      </c>
      <c r="E12" s="2" t="s">
        <v>16</v>
      </c>
      <c r="F12" s="2" t="s">
        <v>78</v>
      </c>
      <c r="G12" s="2" t="s">
        <v>79</v>
      </c>
      <c r="K12" s="4" t="s">
        <v>80</v>
      </c>
      <c r="M12" s="2" t="s">
        <v>29</v>
      </c>
      <c r="N12" s="2" t="s">
        <v>75</v>
      </c>
    </row>
    <row r="13" spans="1:14" x14ac:dyDescent="0.25">
      <c r="A13" s="2" t="s">
        <v>81</v>
      </c>
      <c r="B13" s="4" t="s">
        <v>82</v>
      </c>
      <c r="C13" s="3" t="str">
        <f>LEFT(B13,2)</f>
        <v>ip</v>
      </c>
      <c r="D13" s="3" t="str">
        <f>_xlfn.TEXTBEFORE(B13, " ")</f>
        <v>ip31</v>
      </c>
      <c r="E13" s="2" t="s">
        <v>63</v>
      </c>
      <c r="F13" s="2" t="s">
        <v>83</v>
      </c>
      <c r="G13" s="2" t="s">
        <v>84</v>
      </c>
      <c r="K13" s="4" t="s">
        <v>85</v>
      </c>
      <c r="M13" s="2" t="s">
        <v>29</v>
      </c>
      <c r="N13" s="2" t="s">
        <v>86</v>
      </c>
    </row>
    <row r="14" spans="1:14" ht="30" x14ac:dyDescent="0.25">
      <c r="A14" s="2" t="s">
        <v>87</v>
      </c>
      <c r="B14" s="4" t="s">
        <v>88</v>
      </c>
      <c r="C14" s="3" t="str">
        <f>LEFT(B14,2)</f>
        <v>nr</v>
      </c>
      <c r="D14" s="3" t="str">
        <f>_xlfn.TEXTBEFORE(B14, " ")</f>
        <v>nr16</v>
      </c>
      <c r="E14" s="2" t="s">
        <v>63</v>
      </c>
      <c r="F14" s="2" t="s">
        <v>17</v>
      </c>
      <c r="K14" s="4" t="s">
        <v>89</v>
      </c>
      <c r="M14" s="2" t="s">
        <v>29</v>
      </c>
    </row>
    <row r="15" spans="1:14" ht="45" x14ac:dyDescent="0.25">
      <c r="A15" s="2" t="s">
        <v>90</v>
      </c>
      <c r="B15" s="2" t="s">
        <v>91</v>
      </c>
      <c r="C15" s="3" t="str">
        <f>LEFT(B15,2)</f>
        <v>NR</v>
      </c>
      <c r="D15" s="3" t="str">
        <f>_xlfn.TEXTBEFORE(B15, " ")</f>
        <v>NR9</v>
      </c>
      <c r="E15" s="2" t="s">
        <v>24</v>
      </c>
      <c r="G15" s="2" t="s">
        <v>92</v>
      </c>
      <c r="H15" s="2" t="s">
        <v>93</v>
      </c>
      <c r="M15" s="2" t="s">
        <v>20</v>
      </c>
    </row>
    <row r="16" spans="1:14" ht="120" x14ac:dyDescent="0.25">
      <c r="A16" s="2" t="s">
        <v>94</v>
      </c>
      <c r="B16" s="2" t="s">
        <v>95</v>
      </c>
      <c r="C16" s="3" t="str">
        <f>LEFT(B16,2)</f>
        <v>nr</v>
      </c>
      <c r="D16" s="3" t="str">
        <f>_xlfn.TEXTBEFORE(B16, " ")</f>
        <v>nr3</v>
      </c>
      <c r="E16" s="4" t="s">
        <v>66</v>
      </c>
      <c r="F16" s="4" t="s">
        <v>96</v>
      </c>
      <c r="G16" s="4" t="s">
        <v>97</v>
      </c>
      <c r="H16" s="4"/>
      <c r="I16" s="2">
        <v>7897305379</v>
      </c>
      <c r="K16" s="4" t="s">
        <v>98</v>
      </c>
      <c r="M16" s="2" t="s">
        <v>20</v>
      </c>
    </row>
    <row r="17" spans="1:14" ht="75" x14ac:dyDescent="0.25">
      <c r="A17" s="2" t="s">
        <v>99</v>
      </c>
      <c r="B17" s="2" t="s">
        <v>100</v>
      </c>
      <c r="C17" s="3" t="str">
        <f>LEFT(B17,2)</f>
        <v>CO</v>
      </c>
      <c r="D17" s="3" t="str">
        <f>_xlfn.TEXTBEFORE(B17, " ")</f>
        <v>CO10</v>
      </c>
      <c r="E17" s="4" t="s">
        <v>66</v>
      </c>
      <c r="G17" s="2" t="s">
        <v>101</v>
      </c>
      <c r="H17" s="8" t="s">
        <v>102</v>
      </c>
      <c r="K17" s="4" t="s">
        <v>103</v>
      </c>
      <c r="M17" s="2" t="s">
        <v>49</v>
      </c>
    </row>
    <row r="18" spans="1:14" ht="75" x14ac:dyDescent="0.25">
      <c r="A18" s="3" t="s">
        <v>104</v>
      </c>
      <c r="B18" s="3" t="s">
        <v>105</v>
      </c>
      <c r="C18" s="3" t="str">
        <f>LEFT(B18,2)</f>
        <v>CO</v>
      </c>
      <c r="D18" s="3" t="str">
        <f>_xlfn.TEXTBEFORE(B18, " ")</f>
        <v>CO10</v>
      </c>
      <c r="E18" s="3" t="s">
        <v>66</v>
      </c>
      <c r="F18" s="4" t="s">
        <v>106</v>
      </c>
      <c r="G18" s="5" t="s">
        <v>107</v>
      </c>
      <c r="H18" s="5"/>
      <c r="K18" s="5" t="s">
        <v>108</v>
      </c>
      <c r="M18" s="2" t="s">
        <v>49</v>
      </c>
      <c r="N18" s="9"/>
    </row>
    <row r="19" spans="1:14" ht="30" x14ac:dyDescent="0.25">
      <c r="A19" s="3" t="s">
        <v>109</v>
      </c>
      <c r="B19" s="3" t="s">
        <v>110</v>
      </c>
      <c r="C19" s="3" t="str">
        <f>LEFT(B19,2)</f>
        <v>ip</v>
      </c>
      <c r="D19" s="3" t="str">
        <f>_xlfn.TEXTBEFORE(B19, " ")</f>
        <v>ip8</v>
      </c>
      <c r="E19" s="3" t="s">
        <v>63</v>
      </c>
      <c r="F19" s="4"/>
      <c r="G19" s="10" t="s">
        <v>111</v>
      </c>
      <c r="H19" s="5"/>
      <c r="I19" s="2">
        <v>7768462492</v>
      </c>
      <c r="K19" s="5"/>
      <c r="M19" s="9" t="s">
        <v>29</v>
      </c>
    </row>
    <row r="20" spans="1:14" ht="30" x14ac:dyDescent="0.25">
      <c r="A20" s="3" t="s">
        <v>112</v>
      </c>
      <c r="B20" s="3" t="s">
        <v>113</v>
      </c>
      <c r="C20" s="3" t="str">
        <f>LEFT(B20,2)</f>
        <v>ip</v>
      </c>
      <c r="D20" s="3" t="str">
        <f>_xlfn.TEXTBEFORE(B20, " ")</f>
        <v>ip29</v>
      </c>
      <c r="E20" s="3" t="s">
        <v>63</v>
      </c>
      <c r="F20" s="4"/>
      <c r="G20" s="11" t="s">
        <v>114</v>
      </c>
      <c r="H20" s="5"/>
      <c r="I20" s="2" t="s">
        <v>115</v>
      </c>
      <c r="K20" s="5" t="s">
        <v>116</v>
      </c>
      <c r="M20" s="9" t="s">
        <v>29</v>
      </c>
    </row>
    <row r="21" spans="1:14" ht="30" x14ac:dyDescent="0.25">
      <c r="A21" s="3" t="s">
        <v>117</v>
      </c>
      <c r="B21" s="3" t="s">
        <v>118</v>
      </c>
      <c r="C21" s="3" t="str">
        <f>LEFT(B21,2)</f>
        <v xml:space="preserve">	
</v>
      </c>
      <c r="D21" s="3" t="str">
        <f>_xlfn.TEXTBEFORE(B21, " ")</f>
        <v xml:space="preserve">	
CO1</v>
      </c>
      <c r="E21" s="3" t="s">
        <v>63</v>
      </c>
      <c r="F21" s="4" t="s">
        <v>119</v>
      </c>
      <c r="G21" s="10" t="s">
        <v>120</v>
      </c>
      <c r="H21" s="5"/>
      <c r="I21" s="2">
        <v>7974132616</v>
      </c>
      <c r="K21" s="5" t="s">
        <v>121</v>
      </c>
      <c r="L21" s="12" t="s">
        <v>122</v>
      </c>
      <c r="M21" s="9" t="s">
        <v>123</v>
      </c>
    </row>
    <row r="22" spans="1:14" ht="30" x14ac:dyDescent="0.25">
      <c r="A22" s="3" t="s">
        <v>124</v>
      </c>
      <c r="B22" s="13" t="s">
        <v>125</v>
      </c>
      <c r="C22" s="3"/>
      <c r="D22" s="3"/>
      <c r="E22" s="3" t="s">
        <v>37</v>
      </c>
      <c r="F22" s="4"/>
      <c r="G22" s="10"/>
      <c r="H22" s="5"/>
      <c r="K22" s="14" t="s">
        <v>126</v>
      </c>
      <c r="M22" s="9" t="s">
        <v>127</v>
      </c>
    </row>
    <row r="23" spans="1:14" x14ac:dyDescent="0.25">
      <c r="A23" s="3" t="s">
        <v>128</v>
      </c>
      <c r="B23" s="3" t="s">
        <v>129</v>
      </c>
      <c r="C23" s="3" t="str">
        <f>LEFT(B23,2)</f>
        <v>CO</v>
      </c>
      <c r="D23" s="3" t="str">
        <f>_xlfn.TEXTBEFORE(B23, " ")</f>
        <v>CO10</v>
      </c>
      <c r="E23" s="3" t="s">
        <v>66</v>
      </c>
      <c r="F23" s="4" t="s">
        <v>106</v>
      </c>
      <c r="M23" s="2" t="s">
        <v>49</v>
      </c>
    </row>
    <row r="24" spans="1:14" ht="30" x14ac:dyDescent="0.25">
      <c r="A24" s="4" t="s">
        <v>130</v>
      </c>
      <c r="B24" s="4" t="s">
        <v>131</v>
      </c>
      <c r="C24" s="3" t="str">
        <f>LEFT(B24,2)</f>
        <v>NR</v>
      </c>
      <c r="D24" s="3" t="str">
        <f>_xlfn.TEXTBEFORE(B24, " ")</f>
        <v>NR12</v>
      </c>
      <c r="E24" s="3" t="s">
        <v>16</v>
      </c>
      <c r="F24" s="4" t="s">
        <v>132</v>
      </c>
      <c r="G24" s="4" t="s">
        <v>68</v>
      </c>
      <c r="H24" s="4"/>
      <c r="I24" s="4"/>
      <c r="K24" s="4" t="s">
        <v>133</v>
      </c>
      <c r="M24" s="2" t="s">
        <v>20</v>
      </c>
    </row>
    <row r="25" spans="1:14" ht="45" x14ac:dyDescent="0.25">
      <c r="A25" s="4" t="s">
        <v>134</v>
      </c>
      <c r="B25" s="4" t="s">
        <v>135</v>
      </c>
      <c r="C25" s="3" t="str">
        <f>LEFT(B25,2)</f>
        <v>nr</v>
      </c>
      <c r="D25" s="3" t="str">
        <f>_xlfn.TEXTBEFORE(B25, " ")</f>
        <v>nr1</v>
      </c>
      <c r="E25" s="3" t="s">
        <v>63</v>
      </c>
      <c r="F25" s="4"/>
      <c r="G25" s="4"/>
      <c r="H25" s="4"/>
      <c r="I25" s="4"/>
      <c r="K25" s="4" t="s">
        <v>136</v>
      </c>
      <c r="L25" s="12" t="s">
        <v>137</v>
      </c>
      <c r="M25" s="2" t="s">
        <v>123</v>
      </c>
    </row>
    <row r="26" spans="1:14" x14ac:dyDescent="0.25">
      <c r="A26" s="2" t="s">
        <v>138</v>
      </c>
      <c r="B26" s="3" t="s">
        <v>139</v>
      </c>
      <c r="C26" s="3" t="str">
        <f>LEFT(B26,2)</f>
        <v>IP</v>
      </c>
      <c r="D26" s="3" t="str">
        <f>_xlfn.TEXTBEFORE(B26, " ")</f>
        <v>IP24</v>
      </c>
      <c r="E26" s="4" t="s">
        <v>66</v>
      </c>
      <c r="F26" s="4" t="s">
        <v>96</v>
      </c>
      <c r="G26" s="4" t="s">
        <v>140</v>
      </c>
      <c r="H26" s="4"/>
      <c r="I26" s="2">
        <v>7799491049</v>
      </c>
      <c r="K26" s="2" t="s">
        <v>141</v>
      </c>
      <c r="L26" s="2" t="s">
        <v>142</v>
      </c>
      <c r="M26" s="2" t="s">
        <v>49</v>
      </c>
    </row>
    <row r="27" spans="1:14" ht="75" x14ac:dyDescent="0.25">
      <c r="A27" s="2" t="s">
        <v>143</v>
      </c>
      <c r="B27" s="2" t="s">
        <v>144</v>
      </c>
      <c r="C27" s="3" t="str">
        <f>LEFT(B27,2)</f>
        <v>NR</v>
      </c>
      <c r="D27" s="3" t="str">
        <f>_xlfn.TEXTBEFORE(B27, " ")</f>
        <v>NR33</v>
      </c>
      <c r="E27" s="4" t="s">
        <v>37</v>
      </c>
      <c r="G27" s="4" t="s">
        <v>145</v>
      </c>
      <c r="H27" s="4"/>
      <c r="I27" s="2">
        <v>7780430669</v>
      </c>
      <c r="K27" s="4" t="s">
        <v>146</v>
      </c>
      <c r="M27" s="2" t="s">
        <v>20</v>
      </c>
    </row>
    <row r="28" spans="1:14" ht="30" x14ac:dyDescent="0.25">
      <c r="A28" s="4" t="s">
        <v>147</v>
      </c>
      <c r="B28" s="4" t="s">
        <v>148</v>
      </c>
      <c r="C28" s="3" t="s">
        <v>149</v>
      </c>
      <c r="D28" s="3" t="str">
        <f>_xlfn.TEXTBEFORE(B28, " ")</f>
        <v xml:space="preserve">	
IP4</v>
      </c>
      <c r="E28" s="3" t="s">
        <v>16</v>
      </c>
      <c r="F28" s="4" t="s">
        <v>150</v>
      </c>
      <c r="G28" s="4"/>
      <c r="H28" s="4"/>
      <c r="I28" s="4"/>
      <c r="K28" s="4"/>
      <c r="M28" s="2" t="s">
        <v>127</v>
      </c>
      <c r="N28" s="2" t="s">
        <v>151</v>
      </c>
    </row>
    <row r="29" spans="1:14" ht="345" x14ac:dyDescent="0.25">
      <c r="A29" s="2" t="s">
        <v>152</v>
      </c>
      <c r="B29" s="4" t="s">
        <v>153</v>
      </c>
      <c r="C29" s="3" t="str">
        <f>LEFT(B29,2)</f>
        <v>NR</v>
      </c>
      <c r="D29" s="3" t="str">
        <f>_xlfn.TEXTBEFORE(B29, " ")</f>
        <v>NR32</v>
      </c>
      <c r="E29" s="4" t="s">
        <v>154</v>
      </c>
      <c r="F29" s="4" t="s">
        <v>155</v>
      </c>
      <c r="G29" s="2" t="s">
        <v>156</v>
      </c>
      <c r="H29" s="2" t="s">
        <v>157</v>
      </c>
      <c r="K29" s="4" t="s">
        <v>158</v>
      </c>
      <c r="M29" s="2" t="s">
        <v>20</v>
      </c>
      <c r="N29" s="2" t="s">
        <v>159</v>
      </c>
    </row>
    <row r="30" spans="1:14" ht="105" x14ac:dyDescent="0.25">
      <c r="A30" s="2" t="s">
        <v>160</v>
      </c>
      <c r="B30" s="2" t="s">
        <v>161</v>
      </c>
      <c r="C30" s="3" t="str">
        <f>LEFT(B30,2)</f>
        <v>NR</v>
      </c>
      <c r="D30" s="3" t="str">
        <f>_xlfn.TEXTBEFORE(B30, " ")</f>
        <v>NR32</v>
      </c>
      <c r="E30" s="4" t="s">
        <v>162</v>
      </c>
      <c r="F30" s="4" t="s">
        <v>155</v>
      </c>
      <c r="G30" s="2" t="s">
        <v>163</v>
      </c>
      <c r="H30" s="2" t="s">
        <v>164</v>
      </c>
      <c r="J30" s="4" t="s">
        <v>40</v>
      </c>
      <c r="K30" s="4" t="s">
        <v>165</v>
      </c>
      <c r="M30" s="2" t="s">
        <v>20</v>
      </c>
    </row>
    <row r="31" spans="1:14" ht="30" x14ac:dyDescent="0.25">
      <c r="A31" s="2" t="s">
        <v>166</v>
      </c>
      <c r="B31" s="2" t="s">
        <v>167</v>
      </c>
      <c r="C31" s="3" t="str">
        <f>LEFT(B31,2)</f>
        <v>ip</v>
      </c>
      <c r="D31" s="3" t="str">
        <f>_xlfn.TEXTBEFORE(B31, " ")</f>
        <v>ip33</v>
      </c>
      <c r="E31" s="4" t="s">
        <v>63</v>
      </c>
      <c r="F31" s="4" t="s">
        <v>83</v>
      </c>
      <c r="G31" s="2" t="s">
        <v>168</v>
      </c>
      <c r="J31" s="4"/>
      <c r="K31" s="4" t="s">
        <v>169</v>
      </c>
      <c r="L31" s="12" t="s">
        <v>170</v>
      </c>
      <c r="M31" s="2" t="s">
        <v>43</v>
      </c>
      <c r="N31" s="2" t="s">
        <v>171</v>
      </c>
    </row>
    <row r="32" spans="1:14" ht="105" x14ac:dyDescent="0.25">
      <c r="A32" s="2" t="s">
        <v>172</v>
      </c>
      <c r="B32" s="15" t="s">
        <v>173</v>
      </c>
      <c r="C32" s="3" t="str">
        <f>LEFT(B32,2)</f>
        <v>IP</v>
      </c>
      <c r="D32" s="3" t="str">
        <f>_xlfn.TEXTBEFORE(B32, " ")</f>
        <v>IP14</v>
      </c>
      <c r="E32" s="2" t="s">
        <v>174</v>
      </c>
      <c r="G32" s="2" t="s">
        <v>175</v>
      </c>
      <c r="I32" s="2">
        <v>7702177636</v>
      </c>
      <c r="K32" s="2" t="s">
        <v>176</v>
      </c>
      <c r="L32" s="2" t="s">
        <v>177</v>
      </c>
      <c r="M32" s="2" t="s">
        <v>43</v>
      </c>
      <c r="N32" s="2" t="s">
        <v>178</v>
      </c>
    </row>
    <row r="33" spans="1:14" ht="120" x14ac:dyDescent="0.25">
      <c r="A33" s="2" t="s">
        <v>179</v>
      </c>
      <c r="B33" s="2" t="s">
        <v>180</v>
      </c>
      <c r="C33" s="3" t="str">
        <f>LEFT(B33,2)</f>
        <v>CO</v>
      </c>
      <c r="D33" s="3" t="str">
        <f>_xlfn.TEXTBEFORE(B33, " ")</f>
        <v>CO1</v>
      </c>
      <c r="E33" s="2" t="s">
        <v>154</v>
      </c>
      <c r="F33" s="4" t="s">
        <v>33</v>
      </c>
      <c r="G33" s="2" t="s">
        <v>181</v>
      </c>
      <c r="H33" s="2" t="s">
        <v>182</v>
      </c>
      <c r="K33" s="4" t="s">
        <v>183</v>
      </c>
      <c r="M33" s="2" t="s">
        <v>49</v>
      </c>
    </row>
    <row r="34" spans="1:14" ht="45" x14ac:dyDescent="0.25">
      <c r="A34" s="2" t="s">
        <v>184</v>
      </c>
      <c r="B34" s="2" t="s">
        <v>185</v>
      </c>
      <c r="C34" s="3" t="str">
        <f>LEFT(B34,2)</f>
        <v>IP</v>
      </c>
      <c r="D34" s="3" t="str">
        <f>_xlfn.TEXTBEFORE(B34, " ")</f>
        <v>IP14</v>
      </c>
      <c r="E34" s="2" t="s">
        <v>24</v>
      </c>
      <c r="G34" s="2" t="s">
        <v>186</v>
      </c>
      <c r="J34" s="6"/>
      <c r="K34" s="6"/>
      <c r="L34" s="6"/>
      <c r="M34" s="6" t="s">
        <v>20</v>
      </c>
      <c r="N34" s="2" t="s">
        <v>187</v>
      </c>
    </row>
    <row r="35" spans="1:14" x14ac:dyDescent="0.25">
      <c r="A35" s="2" t="s">
        <v>188</v>
      </c>
      <c r="B35" s="2" t="s">
        <v>189</v>
      </c>
      <c r="C35" s="3" t="str">
        <f>LEFT(B35,2)</f>
        <v>IP</v>
      </c>
      <c r="D35" s="3" t="str">
        <f>_xlfn.TEXTBEFORE(B35, " ")</f>
        <v>IP31</v>
      </c>
      <c r="E35" s="4" t="s">
        <v>73</v>
      </c>
      <c r="G35" s="4" t="s">
        <v>190</v>
      </c>
      <c r="H35" s="4"/>
      <c r="K35" s="4" t="s">
        <v>191</v>
      </c>
      <c r="M35" s="2" t="s">
        <v>20</v>
      </c>
    </row>
    <row r="36" spans="1:14" ht="30" x14ac:dyDescent="0.25">
      <c r="A36" s="2" t="s">
        <v>192</v>
      </c>
      <c r="B36" s="2" t="s">
        <v>193</v>
      </c>
      <c r="C36" s="3" t="str">
        <f>LEFT(B36,2)</f>
        <v>nr</v>
      </c>
      <c r="D36" s="3" t="str">
        <f>_xlfn.TEXTBEFORE(B36, " ")</f>
        <v>nr33</v>
      </c>
      <c r="E36" s="4" t="s">
        <v>63</v>
      </c>
      <c r="G36" s="4"/>
      <c r="H36" s="4"/>
      <c r="K36" s="2" t="s">
        <v>194</v>
      </c>
      <c r="L36" s="12" t="s">
        <v>195</v>
      </c>
      <c r="M36" s="16" t="s">
        <v>123</v>
      </c>
    </row>
    <row r="37" spans="1:14" ht="30" x14ac:dyDescent="0.25">
      <c r="A37" s="2" t="s">
        <v>196</v>
      </c>
      <c r="B37" s="2" t="s">
        <v>197</v>
      </c>
      <c r="C37" s="3" t="str">
        <f>LEFT(B37,2)</f>
        <v>co</v>
      </c>
      <c r="D37" s="3" t="str">
        <f>_xlfn.TEXTBEFORE(B37, " ")</f>
        <v>co15</v>
      </c>
      <c r="E37" s="2" t="s">
        <v>24</v>
      </c>
      <c r="F37" s="2" t="s">
        <v>33</v>
      </c>
      <c r="G37" s="2" t="s">
        <v>198</v>
      </c>
      <c r="J37" s="6"/>
      <c r="K37" s="6"/>
      <c r="L37" s="6"/>
      <c r="M37" s="6" t="s">
        <v>29</v>
      </c>
    </row>
    <row r="38" spans="1:14" ht="105" x14ac:dyDescent="0.25">
      <c r="A38" s="2" t="s">
        <v>199</v>
      </c>
      <c r="B38" s="2" t="s">
        <v>200</v>
      </c>
      <c r="C38" s="3" t="str">
        <f>LEFT(B38,2)</f>
        <v>CO</v>
      </c>
      <c r="D38" s="3" t="str">
        <f>_xlfn.TEXTBEFORE(B38, " ")</f>
        <v>CO10</v>
      </c>
      <c r="E38" s="4" t="s">
        <v>162</v>
      </c>
      <c r="G38" s="2" t="s">
        <v>201</v>
      </c>
      <c r="H38" s="8" t="s">
        <v>202</v>
      </c>
      <c r="J38" s="4" t="s">
        <v>40</v>
      </c>
      <c r="K38" s="2" t="s">
        <v>203</v>
      </c>
      <c r="M38" s="2" t="s">
        <v>49</v>
      </c>
    </row>
    <row r="39" spans="1:14" ht="45" x14ac:dyDescent="0.25">
      <c r="A39" s="2" t="s">
        <v>204</v>
      </c>
      <c r="B39" s="2" t="s">
        <v>205</v>
      </c>
      <c r="C39" s="3" t="str">
        <f>LEFT(B39,2)</f>
        <v>IP</v>
      </c>
      <c r="D39" s="3" t="str">
        <f>_xlfn.TEXTBEFORE(B39, " ")</f>
        <v>IP21</v>
      </c>
      <c r="E39" s="2" t="s">
        <v>37</v>
      </c>
      <c r="F39" s="2" t="s">
        <v>46</v>
      </c>
      <c r="G39" s="2" t="s">
        <v>206</v>
      </c>
      <c r="J39" s="6"/>
      <c r="K39" s="6"/>
      <c r="L39" s="6"/>
      <c r="M39" s="2" t="s">
        <v>49</v>
      </c>
      <c r="N39" s="6" t="s">
        <v>75</v>
      </c>
    </row>
    <row r="40" spans="1:14" x14ac:dyDescent="0.25">
      <c r="A40" s="2" t="s">
        <v>207</v>
      </c>
      <c r="B40" s="2" t="s">
        <v>208</v>
      </c>
      <c r="C40" s="3" t="str">
        <f>LEFT(B40,2)</f>
        <v>ip</v>
      </c>
      <c r="D40" s="3" t="str">
        <f>_xlfn.TEXTBEFORE(B40, " ")</f>
        <v>ip21</v>
      </c>
      <c r="E40" s="2" t="s">
        <v>63</v>
      </c>
      <c r="G40" s="2" t="s">
        <v>209</v>
      </c>
      <c r="I40" s="10">
        <v>73941740453</v>
      </c>
      <c r="J40" s="6"/>
      <c r="K40" s="6" t="s">
        <v>210</v>
      </c>
      <c r="L40" s="6"/>
      <c r="M40" s="2" t="s">
        <v>29</v>
      </c>
    </row>
    <row r="41" spans="1:14" x14ac:dyDescent="0.25">
      <c r="A41" s="2" t="s">
        <v>204</v>
      </c>
      <c r="B41" s="2" t="s">
        <v>211</v>
      </c>
      <c r="C41" s="3" t="str">
        <f>LEFT(B41,2)</f>
        <v>IP</v>
      </c>
      <c r="D41" s="3" t="str">
        <f>_xlfn.TEXTBEFORE(B41, " ")</f>
        <v>IP6</v>
      </c>
      <c r="E41" s="4" t="s">
        <v>154</v>
      </c>
      <c r="F41" s="4" t="s">
        <v>155</v>
      </c>
      <c r="G41" s="4" t="s">
        <v>212</v>
      </c>
      <c r="H41" s="4"/>
      <c r="I41" s="4"/>
      <c r="J41" s="4" t="s">
        <v>40</v>
      </c>
      <c r="K41" s="4" t="s">
        <v>213</v>
      </c>
      <c r="M41" s="2" t="s">
        <v>49</v>
      </c>
      <c r="N41" s="2" t="s">
        <v>214</v>
      </c>
    </row>
    <row r="42" spans="1:14" ht="30" x14ac:dyDescent="0.25">
      <c r="A42" s="2" t="s">
        <v>215</v>
      </c>
      <c r="B42" s="2" t="s">
        <v>216</v>
      </c>
      <c r="C42" s="3" t="str">
        <f>LEFT(B42,2)</f>
        <v>NR</v>
      </c>
      <c r="D42" s="3" t="str">
        <f>_xlfn.TEXTBEFORE(B42, " ")</f>
        <v>NR12</v>
      </c>
      <c r="E42" s="2" t="s">
        <v>154</v>
      </c>
      <c r="G42" s="2" t="s">
        <v>217</v>
      </c>
      <c r="J42" s="6"/>
      <c r="K42" s="6"/>
      <c r="L42" s="6"/>
      <c r="M42" s="6" t="s">
        <v>20</v>
      </c>
      <c r="N42" s="2" t="s">
        <v>218</v>
      </c>
    </row>
    <row r="43" spans="1:14" ht="30" x14ac:dyDescent="0.25">
      <c r="A43" s="2" t="s">
        <v>219</v>
      </c>
      <c r="B43" s="13" t="s">
        <v>220</v>
      </c>
      <c r="C43" s="3"/>
      <c r="D43" s="3"/>
      <c r="E43" s="2" t="s">
        <v>221</v>
      </c>
      <c r="F43" s="2" t="s">
        <v>74</v>
      </c>
      <c r="J43" s="6"/>
      <c r="K43" s="6" t="s">
        <v>222</v>
      </c>
      <c r="L43" s="17" t="s">
        <v>223</v>
      </c>
      <c r="M43" s="16" t="s">
        <v>20</v>
      </c>
    </row>
    <row r="44" spans="1:14" ht="30" x14ac:dyDescent="0.25">
      <c r="A44" s="2" t="s">
        <v>224</v>
      </c>
      <c r="B44" s="13" t="s">
        <v>225</v>
      </c>
      <c r="C44" s="3"/>
      <c r="D44" s="3"/>
      <c r="E44" s="2" t="s">
        <v>63</v>
      </c>
      <c r="G44" s="18" t="s">
        <v>226</v>
      </c>
      <c r="I44" s="2" t="s">
        <v>227</v>
      </c>
      <c r="J44" s="6"/>
      <c r="K44" s="6"/>
      <c r="L44" s="6"/>
      <c r="M44" s="2" t="s">
        <v>29</v>
      </c>
    </row>
    <row r="45" spans="1:14" ht="165" x14ac:dyDescent="0.25">
      <c r="A45" s="3" t="s">
        <v>228</v>
      </c>
      <c r="B45" s="3" t="s">
        <v>229</v>
      </c>
      <c r="C45" s="3" t="str">
        <f>LEFT(B45,2)</f>
        <v>CO</v>
      </c>
      <c r="D45" s="3" t="str">
        <f>_xlfn.TEXTBEFORE(B45, " ")</f>
        <v>CO10</v>
      </c>
      <c r="E45" s="3" t="s">
        <v>66</v>
      </c>
      <c r="F45" s="4" t="s">
        <v>106</v>
      </c>
      <c r="G45" s="4" t="s">
        <v>230</v>
      </c>
      <c r="H45" s="4"/>
      <c r="I45" s="4"/>
      <c r="J45" s="4" t="s">
        <v>40</v>
      </c>
      <c r="K45" s="5" t="s">
        <v>231</v>
      </c>
      <c r="M45" s="2" t="s">
        <v>127</v>
      </c>
      <c r="N45" s="9" t="s">
        <v>232</v>
      </c>
    </row>
    <row r="46" spans="1:14" ht="45" x14ac:dyDescent="0.25">
      <c r="A46" s="2" t="s">
        <v>233</v>
      </c>
      <c r="B46" s="2" t="s">
        <v>234</v>
      </c>
      <c r="C46" s="3" t="str">
        <f>LEFT(B46,2)</f>
        <v>nr</v>
      </c>
      <c r="D46" s="3" t="str">
        <f>_xlfn.TEXTBEFORE(B46, " ")</f>
        <v>nr14</v>
      </c>
      <c r="E46" s="2" t="s">
        <v>174</v>
      </c>
      <c r="F46" s="2" t="s">
        <v>235</v>
      </c>
      <c r="G46" s="2" t="s">
        <v>236</v>
      </c>
      <c r="I46" s="2">
        <v>7475418263</v>
      </c>
      <c r="K46" s="2" t="s">
        <v>237</v>
      </c>
      <c r="L46" s="2" t="s">
        <v>177</v>
      </c>
      <c r="M46" s="2" t="s">
        <v>20</v>
      </c>
    </row>
    <row r="47" spans="1:14" ht="105" x14ac:dyDescent="0.25">
      <c r="A47" s="2" t="s">
        <v>238</v>
      </c>
      <c r="B47" s="2" t="s">
        <v>239</v>
      </c>
      <c r="C47" s="3" t="str">
        <f>LEFT(B47,2)</f>
        <v>NR</v>
      </c>
      <c r="D47" s="3" t="str">
        <f>_xlfn.TEXTBEFORE(B47, " ")</f>
        <v>NR13</v>
      </c>
      <c r="E47" s="2" t="s">
        <v>16</v>
      </c>
      <c r="F47" s="2" t="s">
        <v>17</v>
      </c>
      <c r="G47" s="4" t="s">
        <v>240</v>
      </c>
      <c r="H47" s="4"/>
      <c r="K47" s="5" t="s">
        <v>241</v>
      </c>
      <c r="M47" s="2" t="s">
        <v>29</v>
      </c>
      <c r="N47" s="2" t="s">
        <v>242</v>
      </c>
    </row>
    <row r="48" spans="1:14" ht="90" x14ac:dyDescent="0.25">
      <c r="A48" s="2" t="s">
        <v>243</v>
      </c>
      <c r="B48" s="2" t="s">
        <v>244</v>
      </c>
      <c r="C48" s="3" t="str">
        <f>LEFT(B48,2)</f>
        <v>CO</v>
      </c>
      <c r="D48" s="3" t="str">
        <f>_xlfn.TEXTBEFORE(B48, " ")</f>
        <v>CO16</v>
      </c>
      <c r="E48" s="4" t="s">
        <v>154</v>
      </c>
      <c r="F48" s="4" t="s">
        <v>245</v>
      </c>
      <c r="G48" s="4" t="s">
        <v>246</v>
      </c>
      <c r="H48" s="8" t="s">
        <v>247</v>
      </c>
      <c r="K48" s="2" t="s">
        <v>248</v>
      </c>
      <c r="M48" s="2" t="s">
        <v>49</v>
      </c>
    </row>
    <row r="49" spans="1:13" ht="210" x14ac:dyDescent="0.25">
      <c r="A49" s="3" t="s">
        <v>249</v>
      </c>
      <c r="B49" s="3" t="s">
        <v>250</v>
      </c>
      <c r="C49" s="3" t="str">
        <f>LEFT(B49,2)</f>
        <v>CO</v>
      </c>
      <c r="D49" s="3" t="str">
        <f>_xlfn.TEXTBEFORE(B49, " ")</f>
        <v>CO7</v>
      </c>
      <c r="E49" s="3" t="s">
        <v>66</v>
      </c>
      <c r="F49" s="4" t="s">
        <v>67</v>
      </c>
      <c r="G49" s="4" t="s">
        <v>251</v>
      </c>
      <c r="H49" s="4"/>
      <c r="I49" s="4"/>
      <c r="K49" s="4" t="s">
        <v>252</v>
      </c>
      <c r="L49" s="2" t="s">
        <v>70</v>
      </c>
      <c r="M49" s="2" t="s">
        <v>49</v>
      </c>
    </row>
  </sheetData>
  <conditionalFormatting sqref="N15:N17 N1:N10">
    <cfRule type="colorScale" priority="2">
      <colorScale>
        <cfvo type="min"/>
        <cfvo type="percentile" val="50"/>
        <cfvo type="max"/>
        <color rgb="FFF8696B"/>
        <color rgb="FFFFEB84"/>
        <color rgb="FF63BE7B"/>
      </colorScale>
    </cfRule>
  </conditionalFormatting>
  <conditionalFormatting sqref="M9">
    <cfRule type="colorScale" priority="1">
      <colorScale>
        <cfvo type="min"/>
        <cfvo type="percentile" val="50"/>
        <cfvo type="max"/>
        <color rgb="FFF8696B"/>
        <color rgb="FFFFEB84"/>
        <color rgb="FF63BE7B"/>
      </colorScale>
    </cfRule>
  </conditionalFormatting>
  <hyperlinks>
    <hyperlink ref="H17" r:id="rId1" xr:uid="{D96B4DAC-C109-4804-AAE8-CD030FF23A70}"/>
    <hyperlink ref="H48" r:id="rId2" xr:uid="{8E42C10A-F440-4283-8B5F-242AE93C8CC6}"/>
    <hyperlink ref="H38" r:id="rId3" xr:uid="{C4D5ABF1-ADBF-41E4-83FC-595AAACB6DE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Carnahan, Israel</dc:creator>
  <cp:lastModifiedBy>Carnahan, Israel</cp:lastModifiedBy>
  <dcterms:created xsi:type="dcterms:W3CDTF">2026-01-14T12:28:47Z</dcterms:created>
  <dcterms:modified xsi:type="dcterms:W3CDTF">2026-01-14T12:29:31Z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104b14-b53d-46de-9ae8-975cc0e84815_Enabled">
    <vt:lpwstr>true</vt:lpwstr>
  </property>
  <property fmtid="{D5CDD505-2E9C-101B-9397-08002B2CF9AE}" pid="3" name="MSIP_Label_68104b14-b53d-46de-9ae8-975cc0e84815_SetDate">
    <vt:lpwstr>2026-01-14T12:29:19Z</vt:lpwstr>
  </property>
  <property fmtid="{D5CDD505-2E9C-101B-9397-08002B2CF9AE}" pid="4" name="MSIP_Label_68104b14-b53d-46de-9ae8-975cc0e84815_Method">
    <vt:lpwstr>Standard</vt:lpwstr>
  </property>
  <property fmtid="{D5CDD505-2E9C-101B-9397-08002B2CF9AE}" pid="5" name="MSIP_Label_68104b14-b53d-46de-9ae8-975cc0e84815_Name">
    <vt:lpwstr>ABI_MIP_InternalUseOnly</vt:lpwstr>
  </property>
  <property fmtid="{D5CDD505-2E9C-101B-9397-08002B2CF9AE}" pid="6" name="MSIP_Label_68104b14-b53d-46de-9ae8-975cc0e84815_SiteId">
    <vt:lpwstr>cef04b19-7776-4a94-b89b-375c77a8f936</vt:lpwstr>
  </property>
  <property fmtid="{D5CDD505-2E9C-101B-9397-08002B2CF9AE}" pid="7" name="MSIP_Label_68104b14-b53d-46de-9ae8-975cc0e84815_ActionId">
    <vt:lpwstr>0744015a-e336-47ce-aa50-8fccce291c0f</vt:lpwstr>
  </property>
  <property fmtid="{D5CDD505-2E9C-101B-9397-08002B2CF9AE}" pid="8" name="MSIP_Label_68104b14-b53d-46de-9ae8-975cc0e84815_ContentBits">
    <vt:lpwstr>0</vt:lpwstr>
  </property>
</Properties>
</file>