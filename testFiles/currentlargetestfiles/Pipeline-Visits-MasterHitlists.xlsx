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202300"/>
  <mc:AlternateContent xmlns:mc="http://schemas.openxmlformats.org/markup-compatibility/2006">
    <mc:Choice Requires="x15">
      <x15ac:absPath xmlns:x15ac="http://schemas.microsoft.com/office/spreadsheetml/2010/11/ac" url="https://anheuserbuschinbev-my.sharepoint.com/personal/israel_carnahan_interbrew_net/Documents/Lists &amp; Data/House Lists/"/>
    </mc:Choice>
  </mc:AlternateContent>
  <xr:revisionPtr revIDLastSave="3184" documentId="13_ncr:1_{5E6DF52B-EAA2-4E7E-9F4E-218DB7DD9137}" xr6:coauthVersionLast="47" xr6:coauthVersionMax="47" xr10:uidLastSave="{00E4B122-B8E6-4AA3-B72C-FC82FAC2105E}"/>
  <bookViews>
    <workbookView xWindow="-23160" yWindow="7500" windowWidth="23280" windowHeight="14880" tabRatio="599" xr2:uid="{00000000-000D-0000-FFFF-FFFF00000000}"/>
  </bookViews>
  <sheets>
    <sheet name="Masterfile" sheetId="19" r:id="rId1"/>
    <sheet name="GK IFT SDM POSTCODES" sheetId="20" r:id="rId2"/>
    <sheet name="Base" sheetId="9" r:id="rId3"/>
    <sheet name="Multi Op LL" sheetId="8" r:id="rId4"/>
    <sheet name="CAT" sheetId="13" r:id="rId5"/>
    <sheet name="Ox. Brewers Ipswich" sheetId="11" r:id="rId6"/>
    <sheet name="Ox. Brewers All Patches" sheetId="12" r:id="rId7"/>
    <sheet name="Push" sheetId="10" r:id="rId8"/>
    <sheet name="Pipeline, RM Push, Visit Ops" sheetId="5" r:id="rId9"/>
    <sheet name="TopVol" sheetId="21" r:id="rId10"/>
    <sheet name="Q1 Churn" sheetId="23" r:id="rId11"/>
    <sheet name="Modelo &amp; Eazy Target List" sheetId="24" r:id="rId12"/>
  </sheets>
  <definedNames>
    <definedName name="_xlnm._FilterDatabase" localSheetId="0" hidden="1">Masterfile!$A$1:$L$923</definedName>
    <definedName name="_xlnm._FilterDatabase" localSheetId="11" hidden="1">'Modelo &amp; Eazy Target List'!$A$1:$H$1</definedName>
    <definedName name="_xlnm._FilterDatabase" localSheetId="3" hidden="1">'Multi Op LL'!$A$1:$I$1</definedName>
    <definedName name="_xlnm._FilterDatabase" localSheetId="8" hidden="1">'Pipeline, RM Push, Visit Ops'!$A$1:$N$49</definedName>
    <definedName name="_xlnm._FilterDatabase" localSheetId="10" hidden="1">'Q1 Churn'!$A$1:$H$1</definedName>
    <definedName name="_xlnm._FilterDatabase" localSheetId="9" hidden="1">TopVol!$A$1:$J$1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3" i="5" l="1"/>
  <c r="D13" i="5"/>
  <c r="C31" i="5"/>
  <c r="D31" i="5"/>
  <c r="C25" i="5"/>
  <c r="D25" i="5"/>
  <c r="C9" i="5"/>
  <c r="D9" i="5"/>
  <c r="C14" i="5"/>
  <c r="D14" i="5"/>
  <c r="C19" i="5"/>
  <c r="D19" i="5"/>
  <c r="C21" i="5"/>
  <c r="D21" i="5"/>
  <c r="C20" i="5"/>
  <c r="D20" i="5"/>
  <c r="C36" i="5"/>
  <c r="D36" i="5"/>
  <c r="C40" i="5" l="1"/>
  <c r="D40" i="5"/>
  <c r="D28" i="5"/>
  <c r="C11" i="5"/>
  <c r="D11" i="5"/>
  <c r="D3" i="8"/>
  <c r="D4" i="8"/>
  <c r="D5" i="8"/>
  <c r="D6" i="8"/>
  <c r="D7" i="8"/>
  <c r="D8" i="8"/>
  <c r="D9" i="8"/>
  <c r="D10" i="8"/>
  <c r="D11" i="8"/>
  <c r="D12" i="8"/>
  <c r="D13" i="8"/>
  <c r="D14" i="8"/>
  <c r="D15" i="8"/>
  <c r="D16" i="8"/>
  <c r="D17" i="8"/>
  <c r="D18" i="8"/>
  <c r="D19" i="8"/>
  <c r="D20" i="8"/>
  <c r="D21" i="8"/>
  <c r="D22" i="8"/>
  <c r="D23" i="8"/>
  <c r="D24" i="8"/>
  <c r="D25" i="8"/>
  <c r="D26" i="8"/>
  <c r="D27" i="8"/>
  <c r="D28" i="8"/>
  <c r="D29" i="8"/>
  <c r="D30" i="8"/>
  <c r="D31" i="8"/>
  <c r="D32" i="8"/>
  <c r="D33" i="8"/>
  <c r="D34" i="8"/>
  <c r="D35" i="8"/>
  <c r="D36" i="8"/>
  <c r="D37" i="8"/>
  <c r="D38" i="8"/>
  <c r="D39" i="8"/>
  <c r="D40" i="8"/>
  <c r="D41" i="8"/>
  <c r="D42" i="8"/>
  <c r="D43" i="8"/>
  <c r="D44" i="8"/>
  <c r="D45" i="8"/>
  <c r="D46" i="8"/>
  <c r="D47" i="8"/>
  <c r="D48" i="8"/>
  <c r="D49" i="8"/>
  <c r="D50" i="8"/>
  <c r="D51" i="8"/>
  <c r="D52" i="8"/>
  <c r="D53" i="8"/>
  <c r="D54" i="8"/>
  <c r="D55" i="8"/>
  <c r="D56" i="8"/>
  <c r="D57" i="8"/>
  <c r="D58" i="8"/>
  <c r="D59" i="8"/>
  <c r="D60" i="8"/>
  <c r="D61" i="8"/>
  <c r="D62" i="8"/>
  <c r="D63" i="8"/>
  <c r="D64" i="8"/>
  <c r="D65" i="8"/>
  <c r="D66" i="8"/>
  <c r="D67" i="8"/>
  <c r="D68" i="8"/>
  <c r="D69" i="8"/>
  <c r="D70" i="8"/>
  <c r="D71" i="8"/>
  <c r="D72" i="8"/>
  <c r="D73" i="8"/>
  <c r="D74" i="8"/>
  <c r="D75" i="8"/>
  <c r="D76" i="8"/>
  <c r="D77" i="8"/>
  <c r="D78" i="8"/>
  <c r="D79" i="8"/>
  <c r="D80" i="8"/>
  <c r="D81" i="8"/>
  <c r="D82" i="8"/>
  <c r="D83" i="8"/>
  <c r="D84" i="8"/>
  <c r="D85" i="8"/>
  <c r="D86" i="8"/>
  <c r="D87" i="8"/>
  <c r="D88" i="8"/>
  <c r="D89" i="8"/>
  <c r="D90" i="8"/>
  <c r="D91" i="8"/>
  <c r="D92" i="8"/>
  <c r="D93" i="8"/>
  <c r="D94" i="8"/>
  <c r="D95" i="8"/>
  <c r="D96" i="8"/>
  <c r="D97" i="8"/>
  <c r="D2" i="8"/>
  <c r="D37" i="5"/>
  <c r="D32" i="5"/>
  <c r="D34" i="5"/>
  <c r="D6" i="5"/>
  <c r="D39" i="5"/>
  <c r="D47" i="5"/>
  <c r="D3" i="5"/>
  <c r="D7" i="5"/>
  <c r="D12" i="5"/>
  <c r="D26" i="5"/>
  <c r="D42" i="5"/>
  <c r="D33" i="5"/>
  <c r="D23" i="5"/>
  <c r="D45" i="5"/>
  <c r="D18" i="5"/>
  <c r="D17" i="5"/>
  <c r="D38" i="5"/>
  <c r="D8" i="5"/>
  <c r="D10" i="5"/>
  <c r="D48" i="5"/>
  <c r="D49" i="5"/>
  <c r="D35" i="5"/>
  <c r="D41" i="5"/>
  <c r="D24" i="5"/>
  <c r="D46" i="5"/>
  <c r="D5" i="5"/>
  <c r="D16" i="5"/>
  <c r="D30" i="5"/>
  <c r="D29" i="5"/>
  <c r="D27" i="5"/>
  <c r="D2" i="5"/>
  <c r="D15" i="5"/>
  <c r="D4" i="5"/>
  <c r="C16" i="5"/>
  <c r="H852" i="19"/>
  <c r="H881" i="19"/>
  <c r="H883" i="19"/>
  <c r="H893" i="19"/>
  <c r="H590" i="19"/>
  <c r="H594" i="19"/>
  <c r="H606" i="19"/>
  <c r="H610" i="19"/>
  <c r="H640" i="19"/>
  <c r="H705" i="19"/>
  <c r="H838" i="19"/>
  <c r="H289" i="19"/>
  <c r="H291" i="19"/>
  <c r="H304" i="19"/>
  <c r="H308" i="19"/>
  <c r="H318" i="19"/>
  <c r="H320" i="19"/>
  <c r="H354" i="19"/>
  <c r="H389" i="19"/>
  <c r="H395" i="19"/>
  <c r="H417" i="19"/>
  <c r="H420" i="19"/>
  <c r="H433" i="19"/>
  <c r="H435" i="19"/>
  <c r="H438" i="19"/>
  <c r="H439" i="19"/>
  <c r="H440" i="19"/>
  <c r="H444" i="19"/>
  <c r="H446" i="19"/>
  <c r="H469" i="19"/>
  <c r="H475" i="19"/>
  <c r="H54" i="19"/>
  <c r="H55" i="19"/>
  <c r="H58" i="19"/>
  <c r="H59" i="19"/>
  <c r="H67" i="19"/>
  <c r="H69" i="19"/>
  <c r="H73" i="19"/>
  <c r="H87" i="19"/>
  <c r="H88" i="19"/>
  <c r="H91" i="19"/>
  <c r="H93" i="19"/>
  <c r="H97" i="19"/>
  <c r="H118" i="19"/>
  <c r="H125" i="19"/>
  <c r="H157" i="19"/>
  <c r="H176" i="19"/>
  <c r="H177" i="19"/>
  <c r="H195" i="19"/>
  <c r="H210" i="19"/>
  <c r="H233" i="19"/>
  <c r="H2" i="19"/>
  <c r="H9" i="19"/>
  <c r="H21" i="19"/>
  <c r="H28" i="19"/>
  <c r="H32" i="19"/>
  <c r="H848" i="19"/>
  <c r="H850" i="19"/>
  <c r="H854" i="19"/>
  <c r="H857" i="19"/>
  <c r="H860" i="19"/>
  <c r="H865" i="19"/>
  <c r="H869" i="19"/>
  <c r="H875" i="19"/>
  <c r="H886" i="19"/>
  <c r="H897" i="19"/>
  <c r="H904" i="19"/>
  <c r="H917" i="19"/>
  <c r="H496" i="19"/>
  <c r="H504" i="19"/>
  <c r="H505" i="19"/>
  <c r="H507" i="19"/>
  <c r="H511" i="19"/>
  <c r="H517" i="19"/>
  <c r="H519" i="19"/>
  <c r="H533" i="19"/>
  <c r="H535" i="19"/>
  <c r="H537" i="19"/>
  <c r="H542" i="19"/>
  <c r="H544" i="19"/>
  <c r="H552" i="19"/>
  <c r="H554" i="19"/>
  <c r="H558" i="19"/>
  <c r="H567" i="19"/>
  <c r="H578" i="19"/>
  <c r="H583" i="19"/>
  <c r="H588" i="19"/>
  <c r="H595" i="19"/>
  <c r="H597" i="19"/>
  <c r="H609" i="19"/>
  <c r="H611" i="19"/>
  <c r="H612" i="19"/>
  <c r="H614" i="19"/>
  <c r="H617" i="19"/>
  <c r="H618" i="19"/>
  <c r="H620" i="19"/>
  <c r="H621" i="19"/>
  <c r="H623" i="19"/>
  <c r="H638" i="19"/>
  <c r="H664" i="19"/>
  <c r="H667" i="19"/>
  <c r="H668" i="19"/>
  <c r="H675" i="19"/>
  <c r="H685" i="19"/>
  <c r="H686" i="19"/>
  <c r="H690" i="19"/>
  <c r="H693" i="19"/>
  <c r="H699" i="19"/>
  <c r="H703" i="19"/>
  <c r="H707" i="19"/>
  <c r="H713" i="19"/>
  <c r="H715" i="19"/>
  <c r="H720" i="19"/>
  <c r="H722" i="19"/>
  <c r="H723" i="19"/>
  <c r="H725" i="19"/>
  <c r="H726" i="19"/>
  <c r="H731" i="19"/>
  <c r="H732" i="19"/>
  <c r="H734" i="19"/>
  <c r="H736" i="19"/>
  <c r="H743" i="19"/>
  <c r="H747" i="19"/>
  <c r="H749" i="19"/>
  <c r="H754" i="19"/>
  <c r="H755" i="19"/>
  <c r="H758" i="19"/>
  <c r="H766" i="19"/>
  <c r="H767" i="19"/>
  <c r="H770" i="19"/>
  <c r="H772" i="19"/>
  <c r="H781" i="19"/>
  <c r="H785" i="19"/>
  <c r="H795" i="19"/>
  <c r="H799" i="19"/>
  <c r="H800" i="19"/>
  <c r="H807" i="19"/>
  <c r="H809" i="19"/>
  <c r="H820" i="19"/>
  <c r="H821" i="19"/>
  <c r="H822" i="19"/>
  <c r="H823" i="19"/>
  <c r="H824" i="19"/>
  <c r="H826" i="19"/>
  <c r="H828" i="19"/>
  <c r="H829" i="19"/>
  <c r="H831" i="19"/>
  <c r="H833" i="19"/>
  <c r="H835" i="19"/>
  <c r="H840" i="19"/>
  <c r="H841" i="19"/>
  <c r="H45" i="19"/>
  <c r="H137" i="19"/>
  <c r="H243" i="19"/>
  <c r="H241" i="19"/>
  <c r="H150" i="19"/>
  <c r="H148" i="19"/>
  <c r="H205" i="19"/>
  <c r="H145" i="19"/>
  <c r="H138" i="19"/>
  <c r="H119" i="19"/>
  <c r="H174" i="19"/>
  <c r="H47" i="19"/>
  <c r="H50" i="19"/>
  <c r="H96" i="19"/>
  <c r="H224" i="19"/>
  <c r="H72" i="19"/>
  <c r="H254" i="19"/>
  <c r="H260" i="19"/>
  <c r="H266" i="19"/>
  <c r="H286" i="19"/>
  <c r="H292" i="19"/>
  <c r="H335" i="19"/>
  <c r="H347" i="19"/>
  <c r="H352" i="19"/>
  <c r="H359" i="19"/>
  <c r="H361" i="19"/>
  <c r="H367" i="19"/>
  <c r="H369" i="19"/>
  <c r="H377" i="19"/>
  <c r="H379" i="19"/>
  <c r="H381" i="19"/>
  <c r="H397" i="19"/>
  <c r="H403" i="19"/>
  <c r="H448" i="19"/>
  <c r="H480" i="19"/>
  <c r="H37" i="19"/>
  <c r="H42" i="19"/>
  <c r="H846" i="19"/>
  <c r="H864" i="19"/>
  <c r="H915" i="19"/>
  <c r="H643" i="19"/>
  <c r="H564" i="19"/>
  <c r="H830" i="19"/>
  <c r="H532" i="19"/>
  <c r="H540" i="19"/>
  <c r="H555" i="19"/>
  <c r="H526" i="19"/>
  <c r="H825" i="19"/>
  <c r="H716" i="19"/>
  <c r="H568" i="19"/>
  <c r="H559" i="19"/>
  <c r="H602" i="19"/>
  <c r="H232" i="19"/>
  <c r="H141" i="19"/>
  <c r="H227" i="19"/>
  <c r="H140" i="19"/>
  <c r="H234" i="19"/>
  <c r="H209" i="19"/>
  <c r="H193" i="19"/>
  <c r="H677" i="19"/>
  <c r="H98" i="19"/>
  <c r="H661" i="19"/>
  <c r="H704" i="19"/>
  <c r="H662" i="19"/>
  <c r="H645" i="19"/>
  <c r="H262" i="19"/>
  <c r="H271" i="19"/>
  <c r="H285" i="19"/>
  <c r="H288" i="19"/>
  <c r="H290" i="19"/>
  <c r="H305" i="19"/>
  <c r="H309" i="19"/>
  <c r="H310" i="19"/>
  <c r="H368" i="19"/>
  <c r="H391" i="19"/>
  <c r="H413" i="19"/>
  <c r="H423" i="19"/>
  <c r="H450" i="19"/>
  <c r="H455" i="19"/>
  <c r="H462" i="19"/>
  <c r="H464" i="19"/>
  <c r="H465" i="19"/>
  <c r="H478" i="19"/>
  <c r="H485" i="19"/>
  <c r="H487" i="19"/>
  <c r="H171" i="19"/>
  <c r="H170" i="19"/>
  <c r="H459" i="19"/>
  <c r="H3" i="19"/>
  <c r="J3" i="19" s="1"/>
  <c r="H4" i="19"/>
  <c r="J4" i="19" s="1"/>
  <c r="H6" i="19"/>
  <c r="J6" i="19" s="1"/>
  <c r="H7" i="19"/>
  <c r="J7" i="19" s="1"/>
  <c r="H8" i="19"/>
  <c r="J8" i="19" s="1"/>
  <c r="H10" i="19"/>
  <c r="J10" i="19" s="1"/>
  <c r="H11" i="19"/>
  <c r="J11" i="19" s="1"/>
  <c r="H12" i="19"/>
  <c r="J12" i="19" s="1"/>
  <c r="H14" i="19"/>
  <c r="J14" i="19" s="1"/>
  <c r="H16" i="19"/>
  <c r="J16" i="19" s="1"/>
  <c r="H17" i="19"/>
  <c r="J17" i="19" s="1"/>
  <c r="H18" i="19"/>
  <c r="J18" i="19" s="1"/>
  <c r="H19" i="19"/>
  <c r="J19" i="19" s="1"/>
  <c r="H20" i="19"/>
  <c r="J20" i="19" s="1"/>
  <c r="H23" i="19"/>
  <c r="J23" i="19" s="1"/>
  <c r="H25" i="19"/>
  <c r="J25" i="19" s="1"/>
  <c r="H26" i="19"/>
  <c r="J26" i="19" s="1"/>
  <c r="H27" i="19"/>
  <c r="J27" i="19" s="1"/>
  <c r="H29" i="19"/>
  <c r="J29" i="19" s="1"/>
  <c r="H30" i="19"/>
  <c r="J30" i="19" s="1"/>
  <c r="H31" i="19"/>
  <c r="J31" i="19" s="1"/>
  <c r="H33" i="19"/>
  <c r="J33" i="19" s="1"/>
  <c r="H34" i="19"/>
  <c r="J34" i="19" s="1"/>
  <c r="H35" i="19"/>
  <c r="J35" i="19" s="1"/>
  <c r="H36" i="19"/>
  <c r="J36" i="19" s="1"/>
  <c r="H38" i="19"/>
  <c r="J38" i="19" s="1"/>
  <c r="H39" i="19"/>
  <c r="J39" i="19" s="1"/>
  <c r="H40" i="19"/>
  <c r="J40" i="19" s="1"/>
  <c r="H41" i="19"/>
  <c r="J41" i="19" s="1"/>
  <c r="H135" i="19"/>
  <c r="J135" i="19" s="1"/>
  <c r="H78" i="19"/>
  <c r="J78" i="19" s="1"/>
  <c r="H673" i="19"/>
  <c r="J673" i="19" s="1"/>
  <c r="H197" i="19"/>
  <c r="J197" i="19" s="1"/>
  <c r="H714" i="19"/>
  <c r="J714" i="19" s="1"/>
  <c r="H94" i="19"/>
  <c r="J94" i="19" s="1"/>
  <c r="H808" i="19"/>
  <c r="J808" i="19" s="1"/>
  <c r="H598" i="19"/>
  <c r="J598" i="19" s="1"/>
  <c r="H518" i="19"/>
  <c r="J518" i="19" s="1"/>
  <c r="H581" i="19"/>
  <c r="J581" i="19" s="1"/>
  <c r="H806" i="19"/>
  <c r="J806" i="19" s="1"/>
  <c r="H843" i="19"/>
  <c r="J843" i="19" s="1"/>
  <c r="H557" i="19"/>
  <c r="J557" i="19" s="1"/>
  <c r="H814" i="19"/>
  <c r="J814" i="19" s="1"/>
  <c r="H813" i="19"/>
  <c r="J813" i="19" s="1"/>
  <c r="H842" i="19"/>
  <c r="J842" i="19" s="1"/>
  <c r="H796" i="19"/>
  <c r="J796" i="19" s="1"/>
  <c r="H160" i="19"/>
  <c r="J160" i="19" s="1"/>
  <c r="H576" i="19"/>
  <c r="J576" i="19" s="1"/>
  <c r="H522" i="19"/>
  <c r="J522" i="19" s="1"/>
  <c r="H509" i="19"/>
  <c r="J509" i="19" s="1"/>
  <c r="H659" i="19"/>
  <c r="J659" i="19" s="1"/>
  <c r="H657" i="19"/>
  <c r="J657" i="19" s="1"/>
  <c r="H553" i="19"/>
  <c r="J553" i="19" s="1"/>
  <c r="H683" i="19"/>
  <c r="J683" i="19" s="1"/>
  <c r="H131" i="19"/>
  <c r="J131" i="19" s="1"/>
  <c r="H689" i="19"/>
  <c r="J689" i="19" s="1"/>
  <c r="H650" i="19"/>
  <c r="J650" i="19" s="1"/>
  <c r="H101" i="19"/>
  <c r="J101" i="19" s="1"/>
  <c r="H213" i="19"/>
  <c r="J213" i="19" s="1"/>
  <c r="H208" i="19"/>
  <c r="J208" i="19" s="1"/>
  <c r="H231" i="19"/>
  <c r="J231" i="19" s="1"/>
  <c r="H79" i="19"/>
  <c r="J79" i="19" s="1"/>
  <c r="H216" i="19"/>
  <c r="J216" i="19" s="1"/>
  <c r="H165" i="19"/>
  <c r="J165" i="19" s="1"/>
  <c r="H687" i="19"/>
  <c r="J687" i="19" s="1"/>
  <c r="H801" i="19"/>
  <c r="J801" i="19" s="1"/>
  <c r="H136" i="19"/>
  <c r="J136" i="19" s="1"/>
  <c r="H818" i="19"/>
  <c r="J818" i="19" s="1"/>
  <c r="H82" i="19"/>
  <c r="J82" i="19" s="1"/>
  <c r="H819" i="19"/>
  <c r="J819" i="19" s="1"/>
  <c r="H752" i="19"/>
  <c r="J752" i="19" s="1"/>
  <c r="H604" i="19"/>
  <c r="J604" i="19" s="1"/>
  <c r="H733" i="19"/>
  <c r="J733" i="19" s="1"/>
  <c r="H753" i="19"/>
  <c r="J753" i="19" s="1"/>
  <c r="H494" i="19"/>
  <c r="J494" i="19" s="1"/>
  <c r="H500" i="19"/>
  <c r="J500" i="19" s="1"/>
  <c r="H577" i="19"/>
  <c r="J577" i="19" s="1"/>
  <c r="H792" i="19"/>
  <c r="J792" i="19" s="1"/>
  <c r="H742" i="19"/>
  <c r="J742" i="19" s="1"/>
  <c r="H600" i="19"/>
  <c r="J600" i="19" s="1"/>
  <c r="H147" i="19"/>
  <c r="J147" i="19" s="1"/>
  <c r="H127" i="19"/>
  <c r="J127" i="19" s="1"/>
  <c r="H506" i="19"/>
  <c r="J506" i="19" s="1"/>
  <c r="H774" i="19"/>
  <c r="J774" i="19" s="1"/>
  <c r="H593" i="19"/>
  <c r="J593" i="19" s="1"/>
  <c r="H207" i="19"/>
  <c r="J207" i="19" s="1"/>
  <c r="H547" i="19"/>
  <c r="J547" i="19" s="1"/>
  <c r="H52" i="19"/>
  <c r="J52" i="19" s="1"/>
  <c r="H179" i="19"/>
  <c r="J179" i="19" s="1"/>
  <c r="H166" i="19"/>
  <c r="J166" i="19" s="1"/>
  <c r="H181" i="19"/>
  <c r="J181" i="19" s="1"/>
  <c r="H180" i="19"/>
  <c r="J180" i="19" s="1"/>
  <c r="H199" i="19"/>
  <c r="J199" i="19" s="1"/>
  <c r="H70" i="19"/>
  <c r="J70" i="19" s="1"/>
  <c r="H139" i="19"/>
  <c r="J139" i="19" s="1"/>
  <c r="H587" i="19"/>
  <c r="J587" i="19" s="1"/>
  <c r="H671" i="19"/>
  <c r="J671" i="19" s="1"/>
  <c r="H665" i="19"/>
  <c r="J665" i="19" s="1"/>
  <c r="H589" i="19"/>
  <c r="J589" i="19" s="1"/>
  <c r="H523" i="19"/>
  <c r="J523" i="19" s="1"/>
  <c r="H639" i="19"/>
  <c r="J639" i="19" s="1"/>
  <c r="H649" i="19"/>
  <c r="J649" i="19" s="1"/>
  <c r="H700" i="19"/>
  <c r="J700" i="19" s="1"/>
  <c r="H90" i="19"/>
  <c r="J90" i="19" s="1"/>
  <c r="H56" i="19"/>
  <c r="J56" i="19" s="1"/>
  <c r="H630" i="19"/>
  <c r="J630" i="19" s="1"/>
  <c r="H599" i="19"/>
  <c r="J599" i="19" s="1"/>
  <c r="H516" i="19"/>
  <c r="J516" i="19" s="1"/>
  <c r="H508" i="19"/>
  <c r="J508" i="19" s="1"/>
  <c r="H161" i="19"/>
  <c r="J161" i="19" s="1"/>
  <c r="H779" i="19"/>
  <c r="J779" i="19" s="1"/>
  <c r="H780" i="19"/>
  <c r="J780" i="19" s="1"/>
  <c r="H201" i="19"/>
  <c r="J201" i="19" s="1"/>
  <c r="H706" i="19"/>
  <c r="J706" i="19" s="1"/>
  <c r="H520" i="19"/>
  <c r="J520" i="19" s="1"/>
  <c r="H200" i="19"/>
  <c r="J200" i="19" s="1"/>
  <c r="H844" i="19"/>
  <c r="J844" i="19" s="1"/>
  <c r="H582" i="19"/>
  <c r="J582" i="19" s="1"/>
  <c r="H625" i="19"/>
  <c r="J625" i="19" s="1"/>
  <c r="H735" i="19"/>
  <c r="J735" i="19" s="1"/>
  <c r="H613" i="19"/>
  <c r="J613" i="19" s="1"/>
  <c r="H644" i="19"/>
  <c r="J644" i="19" s="1"/>
  <c r="H237" i="19"/>
  <c r="J237" i="19" s="1"/>
  <c r="H223" i="19"/>
  <c r="J223" i="19" s="1"/>
  <c r="H709" i="19"/>
  <c r="J709" i="19" s="1"/>
  <c r="H190" i="19"/>
  <c r="J190" i="19" s="1"/>
  <c r="H798" i="19"/>
  <c r="J798" i="19" s="1"/>
  <c r="H764" i="19"/>
  <c r="J764" i="19" s="1"/>
  <c r="H637" i="19"/>
  <c r="J637" i="19" s="1"/>
  <c r="H642" i="19"/>
  <c r="J642" i="19" s="1"/>
  <c r="H701" i="19"/>
  <c r="J701" i="19" s="1"/>
  <c r="H622" i="19"/>
  <c r="J622" i="19" s="1"/>
  <c r="H653" i="19"/>
  <c r="J653" i="19" s="1"/>
  <c r="H158" i="19"/>
  <c r="J158" i="19" s="1"/>
  <c r="H763" i="19"/>
  <c r="J763" i="19" s="1"/>
  <c r="H44" i="19"/>
  <c r="J44" i="19" s="1"/>
  <c r="H691" i="19"/>
  <c r="J691" i="19" s="1"/>
  <c r="H678" i="19"/>
  <c r="J678" i="19" s="1"/>
  <c r="H83" i="19"/>
  <c r="J83" i="19" s="1"/>
  <c r="H816" i="19"/>
  <c r="J816" i="19" s="1"/>
  <c r="H694" i="19"/>
  <c r="J694" i="19" s="1"/>
  <c r="H187" i="19"/>
  <c r="J187" i="19" s="1"/>
  <c r="H811" i="19"/>
  <c r="J811" i="19" s="1"/>
  <c r="H211" i="19"/>
  <c r="J211" i="19" s="1"/>
  <c r="H122" i="19"/>
  <c r="J122" i="19" s="1"/>
  <c r="H121" i="19"/>
  <c r="J121" i="19" s="1"/>
  <c r="H229" i="19"/>
  <c r="J229" i="19" s="1"/>
  <c r="H84" i="19"/>
  <c r="J84" i="19" s="1"/>
  <c r="H89" i="19"/>
  <c r="J89" i="19" s="1"/>
  <c r="H660" i="19"/>
  <c r="J660" i="19" s="1"/>
  <c r="H80" i="19"/>
  <c r="J80" i="19" s="1"/>
  <c r="H740" i="19"/>
  <c r="J740" i="19" s="1"/>
  <c r="H744" i="19"/>
  <c r="J744" i="19" s="1"/>
  <c r="H242" i="19"/>
  <c r="J242" i="19" s="1"/>
  <c r="H220" i="19"/>
  <c r="J220" i="19" s="1"/>
  <c r="H221" i="19"/>
  <c r="J221" i="19" s="1"/>
  <c r="H729" i="19"/>
  <c r="J729" i="19" s="1"/>
  <c r="H251" i="19"/>
  <c r="J251" i="19" s="1"/>
  <c r="H178" i="19"/>
  <c r="J178" i="19" s="1"/>
  <c r="H527" i="19"/>
  <c r="J527" i="19" s="1"/>
  <c r="H543" i="19"/>
  <c r="J543" i="19" s="1"/>
  <c r="H778" i="19"/>
  <c r="J778" i="19" s="1"/>
  <c r="H206" i="19"/>
  <c r="J206" i="19" s="1"/>
  <c r="H116" i="19"/>
  <c r="J116" i="19" s="1"/>
  <c r="H113" i="19"/>
  <c r="J113" i="19" s="1"/>
  <c r="H110" i="19"/>
  <c r="J110" i="19" s="1"/>
  <c r="H114" i="19"/>
  <c r="J114" i="19" s="1"/>
  <c r="H784" i="19"/>
  <c r="J784" i="19" s="1"/>
  <c r="H695" i="19"/>
  <c r="J695" i="19" s="1"/>
  <c r="H696" i="19"/>
  <c r="J696" i="19" s="1"/>
  <c r="H839" i="19"/>
  <c r="J839" i="19" s="1"/>
  <c r="H163" i="19"/>
  <c r="J163" i="19" s="1"/>
  <c r="H531" i="19"/>
  <c r="J531" i="19" s="1"/>
  <c r="H655" i="19"/>
  <c r="J655" i="19" s="1"/>
  <c r="H805" i="19"/>
  <c r="J805" i="19" s="1"/>
  <c r="H651" i="19"/>
  <c r="J651" i="19" s="1"/>
  <c r="H249" i="19"/>
  <c r="J249" i="19" s="1"/>
  <c r="H74" i="19"/>
  <c r="J74" i="19" s="1"/>
  <c r="H793" i="19"/>
  <c r="J793" i="19" s="1"/>
  <c r="H794" i="19"/>
  <c r="J794" i="19" s="1"/>
  <c r="H782" i="19"/>
  <c r="J782" i="19" s="1"/>
  <c r="H680" i="19"/>
  <c r="J680" i="19" s="1"/>
  <c r="H603" i="19"/>
  <c r="J603" i="19" s="1"/>
  <c r="H194" i="19"/>
  <c r="J194" i="19" s="1"/>
  <c r="H191" i="19"/>
  <c r="J191" i="19" s="1"/>
  <c r="H192" i="19"/>
  <c r="J192" i="19" s="1"/>
  <c r="H789" i="19"/>
  <c r="J789" i="19" s="1"/>
  <c r="H132" i="19"/>
  <c r="J132" i="19" s="1"/>
  <c r="H756" i="19"/>
  <c r="J756" i="19" s="1"/>
  <c r="H658" i="19"/>
  <c r="J658" i="19" s="1"/>
  <c r="H698" i="19"/>
  <c r="J698" i="19" s="1"/>
  <c r="H214" i="19"/>
  <c r="J214" i="19" s="1"/>
  <c r="H688" i="19"/>
  <c r="J688" i="19" s="1"/>
  <c r="H551" i="19"/>
  <c r="J551" i="19" s="1"/>
  <c r="H247" i="19"/>
  <c r="J247" i="19" s="1"/>
  <c r="H788" i="19"/>
  <c r="J788" i="19" s="1"/>
  <c r="H721" i="19"/>
  <c r="J721" i="19" s="1"/>
  <c r="H499" i="19"/>
  <c r="J499" i="19" s="1"/>
  <c r="H162" i="19"/>
  <c r="J162" i="19" s="1"/>
  <c r="H129" i="19"/>
  <c r="J129" i="19" s="1"/>
  <c r="H172" i="19"/>
  <c r="J172" i="19" s="1"/>
  <c r="H175" i="19"/>
  <c r="J175" i="19" s="1"/>
  <c r="H530" i="19"/>
  <c r="J530" i="19" s="1"/>
  <c r="H112" i="19"/>
  <c r="J112" i="19" s="1"/>
  <c r="H501" i="19"/>
  <c r="J501" i="19" s="1"/>
  <c r="H503" i="19"/>
  <c r="J503" i="19" s="1"/>
  <c r="H586" i="19"/>
  <c r="J586" i="19" s="1"/>
  <c r="H635" i="19"/>
  <c r="J635" i="19" s="1"/>
  <c r="H550" i="19"/>
  <c r="J550" i="19" s="1"/>
  <c r="H708" i="19"/>
  <c r="J708" i="19" s="1"/>
  <c r="H765" i="19"/>
  <c r="J765" i="19" s="1"/>
  <c r="H684" i="19"/>
  <c r="J684" i="19" s="1"/>
  <c r="H144" i="19"/>
  <c r="J144" i="19" s="1"/>
  <c r="H710" i="19"/>
  <c r="J710" i="19" s="1"/>
  <c r="H607" i="19"/>
  <c r="J607" i="19" s="1"/>
  <c r="H103" i="19"/>
  <c r="J103" i="19" s="1"/>
  <c r="H746" i="19"/>
  <c r="J746" i="19" s="1"/>
  <c r="H719" i="19"/>
  <c r="J719" i="19" s="1"/>
  <c r="H717" i="19"/>
  <c r="J717" i="19" s="1"/>
  <c r="H63" i="19"/>
  <c r="J63" i="19" s="1"/>
  <c r="H212" i="19"/>
  <c r="J212" i="19" s="1"/>
  <c r="H495" i="19"/>
  <c r="J495" i="19" s="1"/>
  <c r="H184" i="19"/>
  <c r="J184" i="19" s="1"/>
  <c r="H185" i="19"/>
  <c r="J185" i="19" s="1"/>
  <c r="H186" i="19"/>
  <c r="J186" i="19" s="1"/>
  <c r="H182" i="19"/>
  <c r="J182" i="19" s="1"/>
  <c r="H670" i="19"/>
  <c r="J670" i="19" s="1"/>
  <c r="H769" i="19"/>
  <c r="J769" i="19" s="1"/>
  <c r="H579" i="19"/>
  <c r="J579" i="19" s="1"/>
  <c r="H727" i="19"/>
  <c r="J727" i="19" s="1"/>
  <c r="H741" i="19"/>
  <c r="J741" i="19" s="1"/>
  <c r="H521" i="19"/>
  <c r="J521" i="19" s="1"/>
  <c r="H502" i="19"/>
  <c r="J502" i="19" s="1"/>
  <c r="H62" i="19"/>
  <c r="J62" i="19" s="1"/>
  <c r="H497" i="19"/>
  <c r="J497" i="19" s="1"/>
  <c r="H837" i="19"/>
  <c r="J837" i="19" s="1"/>
  <c r="H739" i="19"/>
  <c r="J739" i="19" s="1"/>
  <c r="H95" i="19"/>
  <c r="J95" i="19" s="1"/>
  <c r="H762" i="19"/>
  <c r="J762" i="19" s="1"/>
  <c r="H832" i="19"/>
  <c r="J832" i="19" s="1"/>
  <c r="H827" i="19"/>
  <c r="J827" i="19" s="1"/>
  <c r="H146" i="19"/>
  <c r="J146" i="19" s="1"/>
  <c r="H57" i="19"/>
  <c r="J57" i="19" s="1"/>
  <c r="H679" i="19"/>
  <c r="J679" i="19" s="1"/>
  <c r="H515" i="19"/>
  <c r="J515" i="19" s="1"/>
  <c r="H845" i="19"/>
  <c r="J845" i="19" s="1"/>
  <c r="H49" i="19"/>
  <c r="J49" i="19" s="1"/>
  <c r="H628" i="19"/>
  <c r="J628" i="19" s="1"/>
  <c r="H183" i="19"/>
  <c r="J183" i="19" s="1"/>
  <c r="H498" i="19"/>
  <c r="J498" i="19" s="1"/>
  <c r="H750" i="19"/>
  <c r="J750" i="19" s="1"/>
  <c r="H636" i="19"/>
  <c r="J636" i="19" s="1"/>
  <c r="H133" i="19"/>
  <c r="J133" i="19" s="1"/>
  <c r="H159" i="19"/>
  <c r="J159" i="19" s="1"/>
  <c r="H802" i="19"/>
  <c r="J802" i="19" s="1"/>
  <c r="H803" i="19"/>
  <c r="J803" i="19" s="1"/>
  <c r="H757" i="19"/>
  <c r="J757" i="19" s="1"/>
  <c r="H560" i="19"/>
  <c r="J560" i="19" s="1"/>
  <c r="H574" i="19"/>
  <c r="J574" i="19" s="1"/>
  <c r="H632" i="19"/>
  <c r="J632" i="19" s="1"/>
  <c r="H748" i="19"/>
  <c r="J748" i="19" s="1"/>
  <c r="H514" i="19"/>
  <c r="J514" i="19" s="1"/>
  <c r="H240" i="19"/>
  <c r="J240" i="19" s="1"/>
  <c r="H92" i="19"/>
  <c r="J92" i="19" s="1"/>
  <c r="H728" i="19"/>
  <c r="J728" i="19" s="1"/>
  <c r="H584" i="19"/>
  <c r="J584" i="19" s="1"/>
  <c r="H534" i="19"/>
  <c r="J534" i="19" s="1"/>
  <c r="H580" i="19"/>
  <c r="J580" i="19" s="1"/>
  <c r="H152" i="19"/>
  <c r="J152" i="19" s="1"/>
  <c r="H646" i="19"/>
  <c r="J646" i="19" s="1"/>
  <c r="H549" i="19"/>
  <c r="J549" i="19" s="1"/>
  <c r="H545" i="19"/>
  <c r="J545" i="19" s="1"/>
  <c r="H142" i="19"/>
  <c r="J142" i="19" s="1"/>
  <c r="H791" i="19"/>
  <c r="J791" i="19" s="1"/>
  <c r="H536" i="19"/>
  <c r="J536" i="19" s="1"/>
  <c r="H126" i="19"/>
  <c r="J126" i="19" s="1"/>
  <c r="H674" i="19"/>
  <c r="J674" i="19" s="1"/>
  <c r="H760" i="19"/>
  <c r="J760" i="19" s="1"/>
  <c r="H525" i="19"/>
  <c r="J525" i="19" s="1"/>
  <c r="H53" i="19"/>
  <c r="J53" i="19" s="1"/>
  <c r="H738" i="19"/>
  <c r="J738" i="19" s="1"/>
  <c r="H790" i="19"/>
  <c r="J790" i="19" s="1"/>
  <c r="H108" i="19"/>
  <c r="J108" i="19" s="1"/>
  <c r="H60" i="19"/>
  <c r="J60" i="19" s="1"/>
  <c r="H641" i="19"/>
  <c r="J641" i="19" s="1"/>
  <c r="H154" i="19"/>
  <c r="J154" i="19" s="1"/>
  <c r="H666" i="19"/>
  <c r="J666" i="19" s="1"/>
  <c r="H786" i="19"/>
  <c r="J786" i="19" s="1"/>
  <c r="H745" i="19"/>
  <c r="J745" i="19" s="1"/>
  <c r="H130" i="19"/>
  <c r="J130" i="19" s="1"/>
  <c r="H225" i="19"/>
  <c r="J225" i="19" s="1"/>
  <c r="H167" i="19"/>
  <c r="J167" i="19" s="1"/>
  <c r="H510" i="19"/>
  <c r="J510" i="19" s="1"/>
  <c r="H718" i="19"/>
  <c r="J718" i="19" s="1"/>
  <c r="H71" i="19"/>
  <c r="J71" i="19" s="1"/>
  <c r="H834" i="19"/>
  <c r="J834" i="19" s="1"/>
  <c r="H711" i="19"/>
  <c r="J711" i="19" s="1"/>
  <c r="H529" i="19"/>
  <c r="J529" i="19" s="1"/>
  <c r="H107" i="19"/>
  <c r="J107" i="19" s="1"/>
  <c r="H64" i="19"/>
  <c r="J64" i="19" s="1"/>
  <c r="H541" i="19"/>
  <c r="J541" i="19" s="1"/>
  <c r="H629" i="19"/>
  <c r="J629" i="19" s="1"/>
  <c r="H569" i="19"/>
  <c r="J569" i="19" s="1"/>
  <c r="H143" i="19"/>
  <c r="J143" i="19" s="1"/>
  <c r="H619" i="19"/>
  <c r="J619" i="19" s="1"/>
  <c r="H188" i="19"/>
  <c r="J188" i="19" s="1"/>
  <c r="H173" i="19"/>
  <c r="J173" i="19" s="1"/>
  <c r="H189" i="19"/>
  <c r="J189" i="19" s="1"/>
  <c r="H627" i="19"/>
  <c r="J627" i="19" s="1"/>
  <c r="H804" i="19"/>
  <c r="J804" i="19" s="1"/>
  <c r="H149" i="19"/>
  <c r="J149" i="19" s="1"/>
  <c r="H573" i="19"/>
  <c r="J573" i="19" s="1"/>
  <c r="H238" i="19"/>
  <c r="J238" i="19" s="1"/>
  <c r="H817" i="19"/>
  <c r="J817" i="19" s="1"/>
  <c r="H43" i="19"/>
  <c r="J43" i="19" s="1"/>
  <c r="H592" i="19"/>
  <c r="J592" i="19" s="1"/>
  <c r="H761" i="19"/>
  <c r="J761" i="19" s="1"/>
  <c r="H682" i="19"/>
  <c r="J682" i="19" s="1"/>
  <c r="H155" i="19"/>
  <c r="J155" i="19" s="1"/>
  <c r="H48" i="19"/>
  <c r="J48" i="19" s="1"/>
  <c r="H217" i="19"/>
  <c r="J217" i="19" s="1"/>
  <c r="H111" i="19"/>
  <c r="J111" i="19" s="1"/>
  <c r="H102" i="19"/>
  <c r="J102" i="19" s="1"/>
  <c r="H776" i="19"/>
  <c r="J776" i="19" s="1"/>
  <c r="H105" i="19"/>
  <c r="J105" i="19" s="1"/>
  <c r="H605" i="19"/>
  <c r="J605" i="19" s="1"/>
  <c r="H128" i="19"/>
  <c r="J128" i="19" s="1"/>
  <c r="H783" i="19"/>
  <c r="J783" i="19" s="1"/>
  <c r="H812" i="19"/>
  <c r="J812" i="19" s="1"/>
  <c r="H810" i="19"/>
  <c r="J810" i="19" s="1"/>
  <c r="H724" i="19"/>
  <c r="J724" i="19" s="1"/>
  <c r="H539" i="19"/>
  <c r="J539" i="19" s="1"/>
  <c r="H759" i="19"/>
  <c r="J759" i="19" s="1"/>
  <c r="H647" i="19"/>
  <c r="J647" i="19" s="1"/>
  <c r="H648" i="19"/>
  <c r="J648" i="19" s="1"/>
  <c r="H204" i="19"/>
  <c r="J204" i="19" s="1"/>
  <c r="H203" i="19"/>
  <c r="J203" i="19" s="1"/>
  <c r="H654" i="19"/>
  <c r="J654" i="19" s="1"/>
  <c r="H565" i="19"/>
  <c r="J565" i="19" s="1"/>
  <c r="H244" i="19"/>
  <c r="J244" i="19" s="1"/>
  <c r="H156" i="19"/>
  <c r="J156" i="19" s="1"/>
  <c r="H76" i="19"/>
  <c r="J76" i="19" s="1"/>
  <c r="H773" i="19"/>
  <c r="J773" i="19" s="1"/>
  <c r="H61" i="19"/>
  <c r="J61" i="19" s="1"/>
  <c r="H601" i="19"/>
  <c r="J601" i="19" s="1"/>
  <c r="H672" i="19"/>
  <c r="J672" i="19" s="1"/>
  <c r="H663" i="19"/>
  <c r="J663" i="19" s="1"/>
  <c r="H712" i="19"/>
  <c r="J712" i="19" s="1"/>
  <c r="H608" i="19"/>
  <c r="J608" i="19" s="1"/>
  <c r="H815" i="19"/>
  <c r="J815" i="19" s="1"/>
  <c r="H236" i="19"/>
  <c r="J236" i="19" s="1"/>
  <c r="H235" i="19"/>
  <c r="J235" i="19" s="1"/>
  <c r="H768" i="19"/>
  <c r="J768" i="19" s="1"/>
  <c r="H596" i="19"/>
  <c r="J596" i="19" s="1"/>
  <c r="H575" i="19"/>
  <c r="J575" i="19" s="1"/>
  <c r="H737" i="19"/>
  <c r="J737" i="19" s="1"/>
  <c r="H524" i="19"/>
  <c r="J524" i="19" s="1"/>
  <c r="H134" i="19"/>
  <c r="J134" i="19" s="1"/>
  <c r="H681" i="19"/>
  <c r="J681" i="19" s="1"/>
  <c r="H164" i="19"/>
  <c r="J164" i="19" s="1"/>
  <c r="H253" i="19"/>
  <c r="J253" i="19" s="1"/>
  <c r="H585" i="19"/>
  <c r="J585" i="19" s="1"/>
  <c r="H777" i="19"/>
  <c r="J777" i="19" s="1"/>
  <c r="H566" i="19"/>
  <c r="J566" i="19" s="1"/>
  <c r="H787" i="19"/>
  <c r="J787" i="19" s="1"/>
  <c r="H120" i="19"/>
  <c r="J120" i="19" s="1"/>
  <c r="H226" i="19"/>
  <c r="J226" i="19" s="1"/>
  <c r="H572" i="19"/>
  <c r="J572" i="19" s="1"/>
  <c r="H538" i="19"/>
  <c r="J538" i="19" s="1"/>
  <c r="H46" i="19"/>
  <c r="J46" i="19" s="1"/>
  <c r="H151" i="19"/>
  <c r="J151" i="19" s="1"/>
  <c r="H528" i="19"/>
  <c r="J528" i="19" s="1"/>
  <c r="H99" i="19"/>
  <c r="J99" i="19" s="1"/>
  <c r="H751" i="19"/>
  <c r="J751" i="19" s="1"/>
  <c r="H153" i="19"/>
  <c r="J153" i="19" s="1"/>
  <c r="H246" i="19"/>
  <c r="J246" i="19" s="1"/>
  <c r="H546" i="19"/>
  <c r="J546" i="19" s="1"/>
  <c r="H104" i="19"/>
  <c r="J104" i="19" s="1"/>
  <c r="H697" i="19"/>
  <c r="J697" i="19" s="1"/>
  <c r="H775" i="19"/>
  <c r="J775" i="19" s="1"/>
  <c r="H109" i="19"/>
  <c r="J109" i="19" s="1"/>
  <c r="H561" i="19"/>
  <c r="J561" i="19" s="1"/>
  <c r="H77" i="19"/>
  <c r="J77" i="19" s="1"/>
  <c r="H836" i="19"/>
  <c r="J836" i="19" s="1"/>
  <c r="H633" i="19"/>
  <c r="J633" i="19" s="1"/>
  <c r="H100" i="19"/>
  <c r="J100" i="19" s="1"/>
  <c r="H245" i="19"/>
  <c r="J245" i="19" s="1"/>
  <c r="H548" i="19"/>
  <c r="J548" i="19" s="1"/>
  <c r="H692" i="19"/>
  <c r="J692" i="19" s="1"/>
  <c r="H218" i="19"/>
  <c r="J218" i="19" s="1"/>
  <c r="H656" i="19"/>
  <c r="J656" i="19" s="1"/>
  <c r="H239" i="19"/>
  <c r="J239" i="19" s="1"/>
  <c r="H65" i="19"/>
  <c r="J65" i="19" s="1"/>
  <c r="H626" i="19"/>
  <c r="J626" i="19" s="1"/>
  <c r="H669" i="19"/>
  <c r="J669" i="19" s="1"/>
  <c r="H248" i="19"/>
  <c r="J248" i="19" s="1"/>
  <c r="H563" i="19"/>
  <c r="J563" i="19" s="1"/>
  <c r="H228" i="19"/>
  <c r="J228" i="19" s="1"/>
  <c r="H219" i="19"/>
  <c r="J219" i="19" s="1"/>
  <c r="H624" i="19"/>
  <c r="J624" i="19" s="1"/>
  <c r="H230" i="19"/>
  <c r="J230" i="19" s="1"/>
  <c r="H556" i="19"/>
  <c r="J556" i="19" s="1"/>
  <c r="H631" i="19"/>
  <c r="J631" i="19" s="1"/>
  <c r="H117" i="19"/>
  <c r="J117" i="19" s="1"/>
  <c r="H255" i="19"/>
  <c r="J255" i="19" s="1"/>
  <c r="H256" i="19"/>
  <c r="J256" i="19" s="1"/>
  <c r="H257" i="19"/>
  <c r="J257" i="19" s="1"/>
  <c r="H258" i="19"/>
  <c r="J258" i="19" s="1"/>
  <c r="H259" i="19"/>
  <c r="J259" i="19" s="1"/>
  <c r="H261" i="19"/>
  <c r="J261" i="19" s="1"/>
  <c r="H263" i="19"/>
  <c r="J263" i="19" s="1"/>
  <c r="H265" i="19"/>
  <c r="J265" i="19" s="1"/>
  <c r="H267" i="19"/>
  <c r="J267" i="19" s="1"/>
  <c r="H268" i="19"/>
  <c r="J268" i="19" s="1"/>
  <c r="H269" i="19"/>
  <c r="J269" i="19" s="1"/>
  <c r="H270" i="19"/>
  <c r="J270" i="19" s="1"/>
  <c r="H272" i="19"/>
  <c r="J272" i="19" s="1"/>
  <c r="H273" i="19"/>
  <c r="J273" i="19" s="1"/>
  <c r="H274" i="19"/>
  <c r="J274" i="19" s="1"/>
  <c r="H275" i="19"/>
  <c r="J275" i="19" s="1"/>
  <c r="H276" i="19"/>
  <c r="J276" i="19" s="1"/>
  <c r="H277" i="19"/>
  <c r="J277" i="19" s="1"/>
  <c r="H278" i="19"/>
  <c r="J278" i="19" s="1"/>
  <c r="H279" i="19"/>
  <c r="J279" i="19" s="1"/>
  <c r="H280" i="19"/>
  <c r="J280" i="19" s="1"/>
  <c r="H281" i="19"/>
  <c r="J281" i="19" s="1"/>
  <c r="H283" i="19"/>
  <c r="J283" i="19" s="1"/>
  <c r="H284" i="19"/>
  <c r="J284" i="19" s="1"/>
  <c r="H287" i="19"/>
  <c r="J287" i="19" s="1"/>
  <c r="H293" i="19"/>
  <c r="J293" i="19" s="1"/>
  <c r="H294" i="19"/>
  <c r="J294" i="19" s="1"/>
  <c r="H295" i="19"/>
  <c r="J295" i="19" s="1"/>
  <c r="H296" i="19"/>
  <c r="J296" i="19" s="1"/>
  <c r="H297" i="19"/>
  <c r="J297" i="19" s="1"/>
  <c r="H298" i="19"/>
  <c r="J298" i="19" s="1"/>
  <c r="H299" i="19"/>
  <c r="J299" i="19" s="1"/>
  <c r="H300" i="19"/>
  <c r="J300" i="19" s="1"/>
  <c r="H301" i="19"/>
  <c r="J301" i="19" s="1"/>
  <c r="H302" i="19"/>
  <c r="J302" i="19" s="1"/>
  <c r="H303" i="19"/>
  <c r="J303" i="19" s="1"/>
  <c r="H306" i="19"/>
  <c r="J306" i="19" s="1"/>
  <c r="H311" i="19"/>
  <c r="J311" i="19" s="1"/>
  <c r="H313" i="19"/>
  <c r="J313" i="19" s="1"/>
  <c r="H314" i="19"/>
  <c r="J314" i="19" s="1"/>
  <c r="H315" i="19"/>
  <c r="J315" i="19" s="1"/>
  <c r="H316" i="19"/>
  <c r="J316" i="19" s="1"/>
  <c r="H319" i="19"/>
  <c r="J319" i="19" s="1"/>
  <c r="H321" i="19"/>
  <c r="J321" i="19" s="1"/>
  <c r="H322" i="19"/>
  <c r="J322" i="19" s="1"/>
  <c r="H323" i="19"/>
  <c r="J323" i="19" s="1"/>
  <c r="H324" i="19"/>
  <c r="J324" i="19" s="1"/>
  <c r="H325" i="19"/>
  <c r="J325" i="19" s="1"/>
  <c r="H326" i="19"/>
  <c r="J326" i="19" s="1"/>
  <c r="H327" i="19"/>
  <c r="J327" i="19" s="1"/>
  <c r="H328" i="19"/>
  <c r="J328" i="19" s="1"/>
  <c r="H329" i="19"/>
  <c r="J329" i="19" s="1"/>
  <c r="H330" i="19"/>
  <c r="J330" i="19" s="1"/>
  <c r="H331" i="19"/>
  <c r="J331" i="19" s="1"/>
  <c r="H332" i="19"/>
  <c r="J332" i="19" s="1"/>
  <c r="H333" i="19"/>
  <c r="J333" i="19" s="1"/>
  <c r="H334" i="19"/>
  <c r="J334" i="19" s="1"/>
  <c r="H336" i="19"/>
  <c r="J336" i="19" s="1"/>
  <c r="H337" i="19"/>
  <c r="J337" i="19" s="1"/>
  <c r="H338" i="19"/>
  <c r="J338" i="19" s="1"/>
  <c r="H339" i="19"/>
  <c r="J339" i="19" s="1"/>
  <c r="H340" i="19"/>
  <c r="J340" i="19" s="1"/>
  <c r="H341" i="19"/>
  <c r="J341" i="19" s="1"/>
  <c r="H342" i="19"/>
  <c r="J342" i="19" s="1"/>
  <c r="H343" i="19"/>
  <c r="J343" i="19" s="1"/>
  <c r="H344" i="19"/>
  <c r="J344" i="19" s="1"/>
  <c r="H345" i="19"/>
  <c r="J345" i="19" s="1"/>
  <c r="H346" i="19"/>
  <c r="J346" i="19" s="1"/>
  <c r="H348" i="19"/>
  <c r="J348" i="19" s="1"/>
  <c r="H349" i="19"/>
  <c r="J349" i="19" s="1"/>
  <c r="H350" i="19"/>
  <c r="J350" i="19" s="1"/>
  <c r="H351" i="19"/>
  <c r="J351" i="19" s="1"/>
  <c r="H353" i="19"/>
  <c r="J353" i="19" s="1"/>
  <c r="H355" i="19"/>
  <c r="J355" i="19" s="1"/>
  <c r="H356" i="19"/>
  <c r="J356" i="19" s="1"/>
  <c r="H357" i="19"/>
  <c r="J357" i="19" s="1"/>
  <c r="H358" i="19"/>
  <c r="J358" i="19" s="1"/>
  <c r="H360" i="19"/>
  <c r="J360" i="19" s="1"/>
  <c r="H362" i="19"/>
  <c r="J362" i="19" s="1"/>
  <c r="H363" i="19"/>
  <c r="J363" i="19" s="1"/>
  <c r="H364" i="19"/>
  <c r="J364" i="19" s="1"/>
  <c r="H365" i="19"/>
  <c r="J365" i="19" s="1"/>
  <c r="H366" i="19"/>
  <c r="J366" i="19" s="1"/>
  <c r="H370" i="19"/>
  <c r="J370" i="19" s="1"/>
  <c r="H371" i="19"/>
  <c r="J371" i="19" s="1"/>
  <c r="H372" i="19"/>
  <c r="J372" i="19" s="1"/>
  <c r="H373" i="19"/>
  <c r="J373" i="19" s="1"/>
  <c r="H374" i="19"/>
  <c r="J374" i="19" s="1"/>
  <c r="H375" i="19"/>
  <c r="J375" i="19" s="1"/>
  <c r="H376" i="19"/>
  <c r="J376" i="19" s="1"/>
  <c r="H378" i="19"/>
  <c r="J378" i="19" s="1"/>
  <c r="H380" i="19"/>
  <c r="J380" i="19" s="1"/>
  <c r="H382" i="19"/>
  <c r="J382" i="19" s="1"/>
  <c r="H383" i="19"/>
  <c r="J383" i="19" s="1"/>
  <c r="H384" i="19"/>
  <c r="J384" i="19" s="1"/>
  <c r="H385" i="19"/>
  <c r="J385" i="19" s="1"/>
  <c r="H386" i="19"/>
  <c r="J386" i="19" s="1"/>
  <c r="H387" i="19"/>
  <c r="J387" i="19" s="1"/>
  <c r="H388" i="19"/>
  <c r="J388" i="19" s="1"/>
  <c r="H390" i="19"/>
  <c r="J390" i="19" s="1"/>
  <c r="H392" i="19"/>
  <c r="J392" i="19" s="1"/>
  <c r="H393" i="19"/>
  <c r="J393" i="19" s="1"/>
  <c r="H394" i="19"/>
  <c r="J394" i="19" s="1"/>
  <c r="H396" i="19"/>
  <c r="J396" i="19" s="1"/>
  <c r="H398" i="19"/>
  <c r="J398" i="19" s="1"/>
  <c r="H399" i="19"/>
  <c r="J399" i="19" s="1"/>
  <c r="H401" i="19"/>
  <c r="J401" i="19" s="1"/>
  <c r="H402" i="19"/>
  <c r="J402" i="19" s="1"/>
  <c r="H404" i="19"/>
  <c r="J404" i="19" s="1"/>
  <c r="H405" i="19"/>
  <c r="J405" i="19" s="1"/>
  <c r="H406" i="19"/>
  <c r="J406" i="19" s="1"/>
  <c r="H407" i="19"/>
  <c r="J407" i="19" s="1"/>
  <c r="H409" i="19"/>
  <c r="J409" i="19" s="1"/>
  <c r="H410" i="19"/>
  <c r="J410" i="19" s="1"/>
  <c r="H411" i="19"/>
  <c r="J411" i="19" s="1"/>
  <c r="H412" i="19"/>
  <c r="J412" i="19" s="1"/>
  <c r="H414" i="19"/>
  <c r="J414" i="19" s="1"/>
  <c r="H418" i="19"/>
  <c r="J418" i="19" s="1"/>
  <c r="H419" i="19"/>
  <c r="J419" i="19" s="1"/>
  <c r="H425" i="19"/>
  <c r="J425" i="19" s="1"/>
  <c r="H426" i="19"/>
  <c r="J426" i="19" s="1"/>
  <c r="H428" i="19"/>
  <c r="J428" i="19" s="1"/>
  <c r="H429" i="19"/>
  <c r="J429" i="19" s="1"/>
  <c r="H430" i="19"/>
  <c r="J430" i="19" s="1"/>
  <c r="H431" i="19"/>
  <c r="J431" i="19" s="1"/>
  <c r="H432" i="19"/>
  <c r="J432" i="19" s="1"/>
  <c r="H434" i="19"/>
  <c r="J434" i="19" s="1"/>
  <c r="H436" i="19"/>
  <c r="J436" i="19" s="1"/>
  <c r="H437" i="19"/>
  <c r="J437" i="19" s="1"/>
  <c r="H441" i="19"/>
  <c r="J441" i="19" s="1"/>
  <c r="H442" i="19"/>
  <c r="J442" i="19" s="1"/>
  <c r="H443" i="19"/>
  <c r="J443" i="19" s="1"/>
  <c r="H445" i="19"/>
  <c r="J445" i="19" s="1"/>
  <c r="H447" i="19"/>
  <c r="J447" i="19" s="1"/>
  <c r="H449" i="19"/>
  <c r="J449" i="19" s="1"/>
  <c r="H451" i="19"/>
  <c r="J451" i="19" s="1"/>
  <c r="H452" i="19"/>
  <c r="J452" i="19" s="1"/>
  <c r="H453" i="19"/>
  <c r="J453" i="19" s="1"/>
  <c r="H454" i="19"/>
  <c r="J454" i="19" s="1"/>
  <c r="H456" i="19"/>
  <c r="J456" i="19" s="1"/>
  <c r="H457" i="19"/>
  <c r="J457" i="19" s="1"/>
  <c r="H458" i="19"/>
  <c r="J458" i="19" s="1"/>
  <c r="H460" i="19"/>
  <c r="J460" i="19" s="1"/>
  <c r="H461" i="19"/>
  <c r="J461" i="19" s="1"/>
  <c r="H463" i="19"/>
  <c r="J463" i="19" s="1"/>
  <c r="H466" i="19"/>
  <c r="J466" i="19" s="1"/>
  <c r="H467" i="19"/>
  <c r="J467" i="19" s="1"/>
  <c r="H468" i="19"/>
  <c r="J468" i="19" s="1"/>
  <c r="H470" i="19"/>
  <c r="J470" i="19" s="1"/>
  <c r="H471" i="19"/>
  <c r="J471" i="19" s="1"/>
  <c r="H472" i="19"/>
  <c r="J472" i="19" s="1"/>
  <c r="H474" i="19"/>
  <c r="J474" i="19" s="1"/>
  <c r="H476" i="19"/>
  <c r="J476" i="19" s="1"/>
  <c r="H477" i="19"/>
  <c r="J477" i="19" s="1"/>
  <c r="H479" i="19"/>
  <c r="J479" i="19" s="1"/>
  <c r="H481" i="19"/>
  <c r="J481" i="19" s="1"/>
  <c r="H482" i="19"/>
  <c r="J482" i="19" s="1"/>
  <c r="H484" i="19"/>
  <c r="J484" i="19" s="1"/>
  <c r="H486" i="19"/>
  <c r="J486" i="19" s="1"/>
  <c r="H488" i="19"/>
  <c r="J488" i="19" s="1"/>
  <c r="H489" i="19"/>
  <c r="J489" i="19" s="1"/>
  <c r="H490" i="19"/>
  <c r="J490" i="19" s="1"/>
  <c r="H491" i="19"/>
  <c r="J491" i="19" s="1"/>
  <c r="H492" i="19"/>
  <c r="J492" i="19" s="1"/>
  <c r="H493" i="19"/>
  <c r="J493" i="19" s="1"/>
  <c r="H849" i="19"/>
  <c r="J849" i="19" s="1"/>
  <c r="H851" i="19"/>
  <c r="J851" i="19" s="1"/>
  <c r="H853" i="19"/>
  <c r="J853" i="19" s="1"/>
  <c r="H855" i="19"/>
  <c r="J855" i="19" s="1"/>
  <c r="H856" i="19"/>
  <c r="J856" i="19" s="1"/>
  <c r="H858" i="19"/>
  <c r="J858" i="19" s="1"/>
  <c r="H859" i="19"/>
  <c r="J859" i="19" s="1"/>
  <c r="H861" i="19"/>
  <c r="J861" i="19" s="1"/>
  <c r="H862" i="19"/>
  <c r="J862" i="19" s="1"/>
  <c r="H863" i="19"/>
  <c r="J863" i="19" s="1"/>
  <c r="H866" i="19"/>
  <c r="J866" i="19" s="1"/>
  <c r="H867" i="19"/>
  <c r="J867" i="19" s="1"/>
  <c r="H868" i="19"/>
  <c r="J868" i="19" s="1"/>
  <c r="H870" i="19"/>
  <c r="J870" i="19" s="1"/>
  <c r="H871" i="19"/>
  <c r="J871" i="19" s="1"/>
  <c r="H872" i="19"/>
  <c r="J872" i="19" s="1"/>
  <c r="H873" i="19"/>
  <c r="J873" i="19" s="1"/>
  <c r="H874" i="19"/>
  <c r="J874" i="19" s="1"/>
  <c r="H876" i="19"/>
  <c r="J876" i="19" s="1"/>
  <c r="H877" i="19"/>
  <c r="J877" i="19" s="1"/>
  <c r="H878" i="19"/>
  <c r="J878" i="19" s="1"/>
  <c r="H879" i="19"/>
  <c r="J879" i="19" s="1"/>
  <c r="H880" i="19"/>
  <c r="J880" i="19" s="1"/>
  <c r="H882" i="19"/>
  <c r="J882" i="19" s="1"/>
  <c r="H884" i="19"/>
  <c r="J884" i="19" s="1"/>
  <c r="H885" i="19"/>
  <c r="J885" i="19" s="1"/>
  <c r="H887" i="19"/>
  <c r="J887" i="19" s="1"/>
  <c r="H888" i="19"/>
  <c r="J888" i="19" s="1"/>
  <c r="H889" i="19"/>
  <c r="J889" i="19" s="1"/>
  <c r="H890" i="19"/>
  <c r="J890" i="19" s="1"/>
  <c r="H891" i="19"/>
  <c r="J891" i="19" s="1"/>
  <c r="H892" i="19"/>
  <c r="J892" i="19" s="1"/>
  <c r="H894" i="19"/>
  <c r="J894" i="19" s="1"/>
  <c r="H895" i="19"/>
  <c r="J895" i="19" s="1"/>
  <c r="H896" i="19"/>
  <c r="J896" i="19" s="1"/>
  <c r="H898" i="19"/>
  <c r="J898" i="19" s="1"/>
  <c r="H899" i="19"/>
  <c r="J899" i="19" s="1"/>
  <c r="H900" i="19"/>
  <c r="J900" i="19" s="1"/>
  <c r="H901" i="19"/>
  <c r="J901" i="19" s="1"/>
  <c r="H902" i="19"/>
  <c r="J902" i="19" s="1"/>
  <c r="H903" i="19"/>
  <c r="J903" i="19" s="1"/>
  <c r="H905" i="19"/>
  <c r="J905" i="19" s="1"/>
  <c r="H906" i="19"/>
  <c r="J906" i="19" s="1"/>
  <c r="H907" i="19"/>
  <c r="J907" i="19" s="1"/>
  <c r="H908" i="19"/>
  <c r="J908" i="19" s="1"/>
  <c r="H909" i="19"/>
  <c r="J909" i="19" s="1"/>
  <c r="H910" i="19"/>
  <c r="J910" i="19" s="1"/>
  <c r="H911" i="19"/>
  <c r="J911" i="19" s="1"/>
  <c r="H912" i="19"/>
  <c r="J912" i="19" s="1"/>
  <c r="H913" i="19"/>
  <c r="J913" i="19" s="1"/>
  <c r="H914" i="19"/>
  <c r="J914" i="19" s="1"/>
  <c r="H916" i="19"/>
  <c r="J916" i="19" s="1"/>
  <c r="H918" i="19"/>
  <c r="J918" i="19" s="1"/>
  <c r="H919" i="19"/>
  <c r="J919" i="19" s="1"/>
  <c r="H920" i="19"/>
  <c r="J920" i="19" s="1"/>
  <c r="H921" i="19"/>
  <c r="J921" i="19" s="1"/>
  <c r="H922" i="19"/>
  <c r="J922" i="19" s="1"/>
  <c r="H923" i="19"/>
  <c r="J923" i="19" s="1"/>
  <c r="H13" i="19"/>
  <c r="H5" i="19"/>
  <c r="H15" i="19"/>
  <c r="H22" i="19"/>
  <c r="H24" i="19"/>
  <c r="H264" i="19"/>
  <c r="H282" i="19"/>
  <c r="H307" i="19"/>
  <c r="H317" i="19"/>
  <c r="H312" i="19"/>
  <c r="H400" i="19"/>
  <c r="H408" i="19"/>
  <c r="H421" i="19"/>
  <c r="H422" i="19"/>
  <c r="H415" i="19"/>
  <c r="H416" i="19"/>
  <c r="H424" i="19"/>
  <c r="H427" i="19"/>
  <c r="H473" i="19"/>
  <c r="H483" i="19"/>
  <c r="H676" i="19"/>
  <c r="H169" i="19"/>
  <c r="H81" i="19"/>
  <c r="H68" i="19"/>
  <c r="H512" i="19"/>
  <c r="H106" i="19"/>
  <c r="H702" i="19"/>
  <c r="H196" i="19"/>
  <c r="H215" i="19"/>
  <c r="H616" i="19"/>
  <c r="H634" i="19"/>
  <c r="H513" i="19"/>
  <c r="H562" i="19"/>
  <c r="H198" i="19"/>
  <c r="H797" i="19"/>
  <c r="H51" i="19"/>
  <c r="H570" i="19"/>
  <c r="H730" i="19"/>
  <c r="H591" i="19"/>
  <c r="H75" i="19"/>
  <c r="H202" i="19"/>
  <c r="H85" i="19"/>
  <c r="H66" i="19"/>
  <c r="H571" i="19"/>
  <c r="H771" i="19"/>
  <c r="H615" i="19"/>
  <c r="H123" i="19"/>
  <c r="H652" i="19"/>
  <c r="H222" i="19"/>
  <c r="H168" i="19"/>
  <c r="H86" i="19"/>
  <c r="H252" i="19"/>
  <c r="H115" i="19"/>
  <c r="H124" i="19"/>
  <c r="H250" i="19"/>
  <c r="H847" i="19"/>
  <c r="I852" i="19" a="1"/>
  <c r="I852" i="19" s="1"/>
  <c r="I881" i="19" a="1"/>
  <c r="I881" i="19" s="1"/>
  <c r="I883" i="19" a="1"/>
  <c r="I883" i="19" s="1"/>
  <c r="I893" i="19" a="1"/>
  <c r="I893" i="19" s="1"/>
  <c r="I590" i="19" a="1"/>
  <c r="I590" i="19" s="1"/>
  <c r="I594" i="19" a="1"/>
  <c r="I594" i="19" s="1"/>
  <c r="I606" i="19" a="1"/>
  <c r="I606" i="19" s="1"/>
  <c r="I610" i="19" a="1"/>
  <c r="I610" i="19" s="1"/>
  <c r="I640" i="19" a="1"/>
  <c r="I640" i="19" s="1"/>
  <c r="I705" i="19" a="1"/>
  <c r="I705" i="19" s="1"/>
  <c r="I838" i="19" a="1"/>
  <c r="I838" i="19" s="1"/>
  <c r="I289" i="19" a="1"/>
  <c r="I289" i="19" s="1"/>
  <c r="I291" i="19" a="1"/>
  <c r="I291" i="19" s="1"/>
  <c r="I304" i="19" a="1"/>
  <c r="I304" i="19" s="1"/>
  <c r="I308" i="19" a="1"/>
  <c r="I308" i="19" s="1"/>
  <c r="I318" i="19" a="1"/>
  <c r="I318" i="19" s="1"/>
  <c r="I320" i="19" a="1"/>
  <c r="I320" i="19" s="1"/>
  <c r="I354" i="19" a="1"/>
  <c r="I354" i="19" s="1"/>
  <c r="I389" i="19" a="1"/>
  <c r="I389" i="19" s="1"/>
  <c r="I395" i="19" a="1"/>
  <c r="I395" i="19" s="1"/>
  <c r="I417" i="19" a="1"/>
  <c r="I417" i="19" s="1"/>
  <c r="I420" i="19" a="1"/>
  <c r="I420" i="19" s="1"/>
  <c r="I433" i="19" a="1"/>
  <c r="I433" i="19" s="1"/>
  <c r="I435" i="19" a="1"/>
  <c r="I435" i="19" s="1"/>
  <c r="I438" i="19" a="1"/>
  <c r="I438" i="19" s="1"/>
  <c r="I439" i="19" a="1"/>
  <c r="I439" i="19" s="1"/>
  <c r="I440" i="19" a="1"/>
  <c r="I440" i="19" s="1"/>
  <c r="I444" i="19" a="1"/>
  <c r="I444" i="19" s="1"/>
  <c r="I446" i="19" a="1"/>
  <c r="I446" i="19" s="1"/>
  <c r="I469" i="19" a="1"/>
  <c r="I469" i="19" s="1"/>
  <c r="I475" i="19" a="1"/>
  <c r="I475" i="19" s="1"/>
  <c r="I54" i="19" a="1"/>
  <c r="I54" i="19" s="1"/>
  <c r="I55" i="19" a="1"/>
  <c r="I55" i="19" s="1"/>
  <c r="I58" i="19" a="1"/>
  <c r="I58" i="19" s="1"/>
  <c r="I59" i="19" a="1"/>
  <c r="I59" i="19" s="1"/>
  <c r="I67" i="19" a="1"/>
  <c r="I67" i="19" s="1"/>
  <c r="I69" i="19" a="1"/>
  <c r="I69" i="19" s="1"/>
  <c r="I73" i="19" a="1"/>
  <c r="I73" i="19" s="1"/>
  <c r="I87" i="19" a="1"/>
  <c r="I87" i="19" s="1"/>
  <c r="I88" i="19" a="1"/>
  <c r="I88" i="19" s="1"/>
  <c r="I91" i="19" a="1"/>
  <c r="I91" i="19" s="1"/>
  <c r="I93" i="19" a="1"/>
  <c r="I93" i="19" s="1"/>
  <c r="I97" i="19" a="1"/>
  <c r="I97" i="19" s="1"/>
  <c r="I118" i="19" a="1"/>
  <c r="I118" i="19" s="1"/>
  <c r="I125" i="19" a="1"/>
  <c r="I125" i="19" s="1"/>
  <c r="I157" i="19" a="1"/>
  <c r="I157" i="19" s="1"/>
  <c r="I176" i="19" a="1"/>
  <c r="I176" i="19" s="1"/>
  <c r="I177" i="19" a="1"/>
  <c r="I177" i="19" s="1"/>
  <c r="I195" i="19" a="1"/>
  <c r="I195" i="19" s="1"/>
  <c r="I210" i="19" a="1"/>
  <c r="I210" i="19" s="1"/>
  <c r="I233" i="19" a="1"/>
  <c r="I233" i="19" s="1"/>
  <c r="I2" i="19" a="1"/>
  <c r="I2" i="19" s="1"/>
  <c r="I9" i="19" a="1"/>
  <c r="I9" i="19" s="1"/>
  <c r="I21" i="19" a="1"/>
  <c r="I21" i="19" s="1"/>
  <c r="I28" i="19" a="1"/>
  <c r="I28" i="19" s="1"/>
  <c r="I32" i="19" a="1"/>
  <c r="I32" i="19" s="1"/>
  <c r="I848" i="19" a="1"/>
  <c r="I848" i="19" s="1"/>
  <c r="I850" i="19" a="1"/>
  <c r="I850" i="19" s="1"/>
  <c r="I854" i="19" a="1"/>
  <c r="I854" i="19" s="1"/>
  <c r="I857" i="19" a="1"/>
  <c r="I857" i="19" s="1"/>
  <c r="I860" i="19" a="1"/>
  <c r="I860" i="19" s="1"/>
  <c r="I865" i="19" a="1"/>
  <c r="I865" i="19" s="1"/>
  <c r="I869" i="19" a="1"/>
  <c r="I869" i="19" s="1"/>
  <c r="I875" i="19" a="1"/>
  <c r="I875" i="19" s="1"/>
  <c r="I886" i="19" a="1"/>
  <c r="I886" i="19" s="1"/>
  <c r="I897" i="19" a="1"/>
  <c r="I897" i="19" s="1"/>
  <c r="I904" i="19" a="1"/>
  <c r="I904" i="19" s="1"/>
  <c r="I917" i="19" a="1"/>
  <c r="I917" i="19" s="1"/>
  <c r="I496" i="19" a="1"/>
  <c r="I496" i="19" s="1"/>
  <c r="I504" i="19" a="1"/>
  <c r="I504" i="19" s="1"/>
  <c r="I505" i="19" a="1"/>
  <c r="I505" i="19" s="1"/>
  <c r="I507" i="19" a="1"/>
  <c r="I507" i="19" s="1"/>
  <c r="I511" i="19" a="1"/>
  <c r="I511" i="19" s="1"/>
  <c r="I517" i="19" a="1"/>
  <c r="I517" i="19" s="1"/>
  <c r="I519" i="19" a="1"/>
  <c r="I519" i="19" s="1"/>
  <c r="I533" i="19" a="1"/>
  <c r="I533" i="19" s="1"/>
  <c r="I535" i="19" a="1"/>
  <c r="I535" i="19" s="1"/>
  <c r="I537" i="19" a="1"/>
  <c r="I537" i="19" s="1"/>
  <c r="I542" i="19" a="1"/>
  <c r="I542" i="19" s="1"/>
  <c r="I544" i="19" a="1"/>
  <c r="I544" i="19" s="1"/>
  <c r="I552" i="19" a="1"/>
  <c r="I552" i="19" s="1"/>
  <c r="I554" i="19" a="1"/>
  <c r="I554" i="19" s="1"/>
  <c r="I558" i="19" a="1"/>
  <c r="I558" i="19" s="1"/>
  <c r="I567" i="19" a="1"/>
  <c r="I567" i="19" s="1"/>
  <c r="I578" i="19" a="1"/>
  <c r="I578" i="19" s="1"/>
  <c r="I583" i="19" a="1"/>
  <c r="I583" i="19" s="1"/>
  <c r="I588" i="19" a="1"/>
  <c r="I588" i="19" s="1"/>
  <c r="I595" i="19" a="1"/>
  <c r="I595" i="19" s="1"/>
  <c r="I597" i="19" a="1"/>
  <c r="I597" i="19" s="1"/>
  <c r="I609" i="19" a="1"/>
  <c r="I609" i="19" s="1"/>
  <c r="I611" i="19" a="1"/>
  <c r="I611" i="19" s="1"/>
  <c r="I612" i="19" a="1"/>
  <c r="I612" i="19" s="1"/>
  <c r="I614" i="19" a="1"/>
  <c r="I614" i="19" s="1"/>
  <c r="I617" i="19" a="1"/>
  <c r="I617" i="19" s="1"/>
  <c r="I618" i="19" a="1"/>
  <c r="I618" i="19" s="1"/>
  <c r="I620" i="19" a="1"/>
  <c r="I620" i="19" s="1"/>
  <c r="I621" i="19" a="1"/>
  <c r="I621" i="19" s="1"/>
  <c r="I623" i="19" a="1"/>
  <c r="I623" i="19" s="1"/>
  <c r="I638" i="19" a="1"/>
  <c r="I638" i="19" s="1"/>
  <c r="I664" i="19" a="1"/>
  <c r="I664" i="19" s="1"/>
  <c r="I667" i="19" a="1"/>
  <c r="I667" i="19" s="1"/>
  <c r="I668" i="19" a="1"/>
  <c r="I668" i="19" s="1"/>
  <c r="I675" i="19" a="1"/>
  <c r="I675" i="19" s="1"/>
  <c r="I685" i="19" a="1"/>
  <c r="I685" i="19" s="1"/>
  <c r="I686" i="19" a="1"/>
  <c r="I686" i="19" s="1"/>
  <c r="I690" i="19" a="1"/>
  <c r="I690" i="19" s="1"/>
  <c r="I693" i="19" a="1"/>
  <c r="I693" i="19" s="1"/>
  <c r="I699" i="19" a="1"/>
  <c r="I699" i="19" s="1"/>
  <c r="I703" i="19" a="1"/>
  <c r="I703" i="19" s="1"/>
  <c r="I707" i="19" a="1"/>
  <c r="I707" i="19" s="1"/>
  <c r="I713" i="19" a="1"/>
  <c r="I713" i="19" s="1"/>
  <c r="I715" i="19" a="1"/>
  <c r="I715" i="19" s="1"/>
  <c r="I720" i="19" a="1"/>
  <c r="I720" i="19" s="1"/>
  <c r="I722" i="19" a="1"/>
  <c r="I722" i="19" s="1"/>
  <c r="I723" i="19" a="1"/>
  <c r="I723" i="19" s="1"/>
  <c r="I725" i="19" a="1"/>
  <c r="I725" i="19" s="1"/>
  <c r="I726" i="19" a="1"/>
  <c r="I726" i="19" s="1"/>
  <c r="I731" i="19" a="1"/>
  <c r="I731" i="19" s="1"/>
  <c r="I732" i="19" a="1"/>
  <c r="I732" i="19" s="1"/>
  <c r="I734" i="19" a="1"/>
  <c r="I734" i="19" s="1"/>
  <c r="I736" i="19" a="1"/>
  <c r="I736" i="19" s="1"/>
  <c r="I743" i="19" a="1"/>
  <c r="I743" i="19" s="1"/>
  <c r="I747" i="19" a="1"/>
  <c r="I747" i="19" s="1"/>
  <c r="I749" i="19" a="1"/>
  <c r="I749" i="19" s="1"/>
  <c r="I754" i="19" a="1"/>
  <c r="I754" i="19" s="1"/>
  <c r="I755" i="19" a="1"/>
  <c r="I755" i="19" s="1"/>
  <c r="I758" i="19" a="1"/>
  <c r="I758" i="19" s="1"/>
  <c r="I766" i="19" a="1"/>
  <c r="I766" i="19" s="1"/>
  <c r="I767" i="19" a="1"/>
  <c r="I767" i="19" s="1"/>
  <c r="I770" i="19" a="1"/>
  <c r="I770" i="19" s="1"/>
  <c r="I772" i="19" a="1"/>
  <c r="I772" i="19" s="1"/>
  <c r="I781" i="19" a="1"/>
  <c r="I781" i="19" s="1"/>
  <c r="I785" i="19" a="1"/>
  <c r="I785" i="19" s="1"/>
  <c r="I795" i="19" a="1"/>
  <c r="I795" i="19" s="1"/>
  <c r="I799" i="19" a="1"/>
  <c r="I799" i="19" s="1"/>
  <c r="I800" i="19" a="1"/>
  <c r="I800" i="19" s="1"/>
  <c r="I807" i="19" a="1"/>
  <c r="I807" i="19" s="1"/>
  <c r="I809" i="19" a="1"/>
  <c r="I809" i="19" s="1"/>
  <c r="I820" i="19" a="1"/>
  <c r="I820" i="19" s="1"/>
  <c r="I821" i="19" a="1"/>
  <c r="I821" i="19" s="1"/>
  <c r="I822" i="19" a="1"/>
  <c r="I822" i="19" s="1"/>
  <c r="I823" i="19" a="1"/>
  <c r="I823" i="19" s="1"/>
  <c r="I824" i="19" a="1"/>
  <c r="I824" i="19" s="1"/>
  <c r="I826" i="19" a="1"/>
  <c r="I826" i="19" s="1"/>
  <c r="I828" i="19" a="1"/>
  <c r="I828" i="19" s="1"/>
  <c r="I829" i="19" a="1"/>
  <c r="I829" i="19" s="1"/>
  <c r="I831" i="19" a="1"/>
  <c r="I831" i="19" s="1"/>
  <c r="I833" i="19" a="1"/>
  <c r="I833" i="19" s="1"/>
  <c r="I835" i="19" a="1"/>
  <c r="I835" i="19" s="1"/>
  <c r="I840" i="19" a="1"/>
  <c r="I840" i="19" s="1"/>
  <c r="I841" i="19" a="1"/>
  <c r="I841" i="19" s="1"/>
  <c r="I45" i="19" a="1"/>
  <c r="I45" i="19" s="1"/>
  <c r="I137" i="19" a="1"/>
  <c r="I137" i="19" s="1"/>
  <c r="I243" i="19" a="1"/>
  <c r="I243" i="19" s="1"/>
  <c r="I241" i="19" a="1"/>
  <c r="I241" i="19" s="1"/>
  <c r="I150" i="19" a="1"/>
  <c r="I150" i="19" s="1"/>
  <c r="I148" i="19" a="1"/>
  <c r="I148" i="19" s="1"/>
  <c r="I205" i="19" a="1"/>
  <c r="I205" i="19" s="1"/>
  <c r="I145" i="19" a="1"/>
  <c r="I145" i="19" s="1"/>
  <c r="I138" i="19" a="1"/>
  <c r="I138" i="19" s="1"/>
  <c r="I119" i="19" a="1"/>
  <c r="I119" i="19" s="1"/>
  <c r="I174" i="19" a="1"/>
  <c r="I174" i="19" s="1"/>
  <c r="I47" i="19" a="1"/>
  <c r="I47" i="19" s="1"/>
  <c r="I50" i="19" a="1"/>
  <c r="I50" i="19" s="1"/>
  <c r="I96" i="19" a="1"/>
  <c r="I96" i="19" s="1"/>
  <c r="I224" i="19" a="1"/>
  <c r="I224" i="19" s="1"/>
  <c r="I72" i="19" a="1"/>
  <c r="I72" i="19" s="1"/>
  <c r="I254" i="19" a="1"/>
  <c r="I254" i="19" s="1"/>
  <c r="I260" i="19" a="1"/>
  <c r="I260" i="19" s="1"/>
  <c r="I266" i="19" a="1"/>
  <c r="I266" i="19" s="1"/>
  <c r="I286" i="19" a="1"/>
  <c r="I286" i="19" s="1"/>
  <c r="I292" i="19" a="1"/>
  <c r="I292" i="19" s="1"/>
  <c r="I335" i="19" a="1"/>
  <c r="I335" i="19" s="1"/>
  <c r="I347" i="19" a="1"/>
  <c r="I347" i="19" s="1"/>
  <c r="I352" i="19" a="1"/>
  <c r="I352" i="19" s="1"/>
  <c r="I359" i="19" a="1"/>
  <c r="I359" i="19" s="1"/>
  <c r="I361" i="19" a="1"/>
  <c r="I361" i="19" s="1"/>
  <c r="I367" i="19" a="1"/>
  <c r="I367" i="19" s="1"/>
  <c r="I369" i="19" a="1"/>
  <c r="I369" i="19" s="1"/>
  <c r="I377" i="19" a="1"/>
  <c r="I377" i="19" s="1"/>
  <c r="I379" i="19" a="1"/>
  <c r="I379" i="19" s="1"/>
  <c r="I381" i="19" a="1"/>
  <c r="I381" i="19" s="1"/>
  <c r="I397" i="19" a="1"/>
  <c r="I397" i="19" s="1"/>
  <c r="I403" i="19" a="1"/>
  <c r="I403" i="19" s="1"/>
  <c r="I448" i="19" a="1"/>
  <c r="I448" i="19" s="1"/>
  <c r="I480" i="19" a="1"/>
  <c r="I480" i="19" s="1"/>
  <c r="I37" i="19" a="1"/>
  <c r="I37" i="19" s="1"/>
  <c r="I42" i="19" a="1"/>
  <c r="I42" i="19" s="1"/>
  <c r="I846" i="19" a="1"/>
  <c r="I846" i="19" s="1"/>
  <c r="I864" i="19" a="1"/>
  <c r="I864" i="19" s="1"/>
  <c r="I915" i="19" a="1"/>
  <c r="I915" i="19" s="1"/>
  <c r="I643" i="19" a="1"/>
  <c r="I643" i="19" s="1"/>
  <c r="I564" i="19" a="1"/>
  <c r="I564" i="19" s="1"/>
  <c r="I830" i="19" a="1"/>
  <c r="I830" i="19" s="1"/>
  <c r="I532" i="19" a="1"/>
  <c r="I532" i="19" s="1"/>
  <c r="I540" i="19" a="1"/>
  <c r="I540" i="19" s="1"/>
  <c r="I555" i="19" a="1"/>
  <c r="I555" i="19" s="1"/>
  <c r="I526" i="19" a="1"/>
  <c r="I526" i="19" s="1"/>
  <c r="I825" i="19" a="1"/>
  <c r="I825" i="19" s="1"/>
  <c r="I716" i="19" a="1"/>
  <c r="I716" i="19" s="1"/>
  <c r="I568" i="19" a="1"/>
  <c r="I568" i="19" s="1"/>
  <c r="I559" i="19" a="1"/>
  <c r="I559" i="19" s="1"/>
  <c r="I602" i="19" a="1"/>
  <c r="I602" i="19" s="1"/>
  <c r="I232" i="19" a="1"/>
  <c r="I232" i="19" s="1"/>
  <c r="I141" i="19" a="1"/>
  <c r="I141" i="19" s="1"/>
  <c r="I227" i="19" a="1"/>
  <c r="I227" i="19" s="1"/>
  <c r="I140" i="19" a="1"/>
  <c r="I140" i="19" s="1"/>
  <c r="I234" i="19" a="1"/>
  <c r="I234" i="19" s="1"/>
  <c r="I209" i="19" a="1"/>
  <c r="I209" i="19" s="1"/>
  <c r="I193" i="19" a="1"/>
  <c r="I193" i="19" s="1"/>
  <c r="I677" i="19" a="1"/>
  <c r="I677" i="19" s="1"/>
  <c r="I98" i="19" a="1"/>
  <c r="I98" i="19" s="1"/>
  <c r="I661" i="19" a="1"/>
  <c r="I661" i="19" s="1"/>
  <c r="I704" i="19" a="1"/>
  <c r="I704" i="19" s="1"/>
  <c r="I662" i="19" a="1"/>
  <c r="I662" i="19" s="1"/>
  <c r="I645" i="19" a="1"/>
  <c r="I645" i="19" s="1"/>
  <c r="I262" i="19" a="1"/>
  <c r="I262" i="19" s="1"/>
  <c r="I271" i="19" a="1"/>
  <c r="I271" i="19" s="1"/>
  <c r="I285" i="19" a="1"/>
  <c r="I285" i="19" s="1"/>
  <c r="I288" i="19" a="1"/>
  <c r="I288" i="19" s="1"/>
  <c r="I290" i="19" a="1"/>
  <c r="I290" i="19" s="1"/>
  <c r="I305" i="19" a="1"/>
  <c r="I305" i="19" s="1"/>
  <c r="I309" i="19" a="1"/>
  <c r="I309" i="19" s="1"/>
  <c r="I310" i="19" a="1"/>
  <c r="I310" i="19" s="1"/>
  <c r="I368" i="19" a="1"/>
  <c r="I368" i="19" s="1"/>
  <c r="I391" i="19" a="1"/>
  <c r="I391" i="19" s="1"/>
  <c r="I413" i="19" a="1"/>
  <c r="I413" i="19" s="1"/>
  <c r="I423" i="19" a="1"/>
  <c r="I423" i="19" s="1"/>
  <c r="I450" i="19" a="1"/>
  <c r="I450" i="19" s="1"/>
  <c r="I455" i="19" a="1"/>
  <c r="I455" i="19" s="1"/>
  <c r="I462" i="19" a="1"/>
  <c r="I462" i="19" s="1"/>
  <c r="I464" i="19" a="1"/>
  <c r="I464" i="19" s="1"/>
  <c r="I465" i="19" a="1"/>
  <c r="I465" i="19" s="1"/>
  <c r="I478" i="19" a="1"/>
  <c r="I478" i="19" s="1"/>
  <c r="I485" i="19" a="1"/>
  <c r="I485" i="19" s="1"/>
  <c r="I487" i="19" a="1"/>
  <c r="I487" i="19" s="1"/>
  <c r="I171" i="19" a="1"/>
  <c r="I171" i="19" s="1"/>
  <c r="I170" i="19" a="1"/>
  <c r="I170" i="19" s="1"/>
  <c r="I459" i="19" a="1"/>
  <c r="I459" i="19" s="1"/>
  <c r="I3" i="19" a="1"/>
  <c r="I3" i="19" s="1"/>
  <c r="I4" i="19" a="1"/>
  <c r="I4" i="19" s="1"/>
  <c r="I6" i="19" a="1"/>
  <c r="I6" i="19" s="1"/>
  <c r="I7" i="19" a="1"/>
  <c r="I7" i="19" s="1"/>
  <c r="I8" i="19" a="1"/>
  <c r="I8" i="19" s="1"/>
  <c r="I10" i="19" a="1"/>
  <c r="I10" i="19" s="1"/>
  <c r="I11" i="19" a="1"/>
  <c r="I11" i="19" s="1"/>
  <c r="I12" i="19" a="1"/>
  <c r="I12" i="19" s="1"/>
  <c r="I14" i="19" a="1"/>
  <c r="I14" i="19" s="1"/>
  <c r="I16" i="19" a="1"/>
  <c r="I16" i="19" s="1"/>
  <c r="I17" i="19" a="1"/>
  <c r="I17" i="19" s="1"/>
  <c r="I18" i="19" a="1"/>
  <c r="I18" i="19" s="1"/>
  <c r="I19" i="19" a="1"/>
  <c r="I19" i="19" s="1"/>
  <c r="I20" i="19" a="1"/>
  <c r="I20" i="19" s="1"/>
  <c r="I23" i="19" a="1"/>
  <c r="I23" i="19" s="1"/>
  <c r="I25" i="19" a="1"/>
  <c r="I25" i="19" s="1"/>
  <c r="I26" i="19" a="1"/>
  <c r="I26" i="19" s="1"/>
  <c r="I27" i="19" a="1"/>
  <c r="I27" i="19" s="1"/>
  <c r="I29" i="19" a="1"/>
  <c r="I29" i="19" s="1"/>
  <c r="I30" i="19" a="1"/>
  <c r="I30" i="19" s="1"/>
  <c r="I31" i="19" a="1"/>
  <c r="I31" i="19" s="1"/>
  <c r="I33" i="19" a="1"/>
  <c r="I33" i="19" s="1"/>
  <c r="I34" i="19" a="1"/>
  <c r="I34" i="19" s="1"/>
  <c r="I35" i="19" a="1"/>
  <c r="I35" i="19" s="1"/>
  <c r="I36" i="19" a="1"/>
  <c r="I36" i="19" s="1"/>
  <c r="I38" i="19" a="1"/>
  <c r="I38" i="19" s="1"/>
  <c r="I39" i="19" a="1"/>
  <c r="I39" i="19" s="1"/>
  <c r="I40" i="19" a="1"/>
  <c r="I40" i="19" s="1"/>
  <c r="I41" i="19" a="1"/>
  <c r="I41" i="19" s="1"/>
  <c r="I135" i="19" a="1"/>
  <c r="I135" i="19" s="1"/>
  <c r="I78" i="19" a="1"/>
  <c r="I78" i="19" s="1"/>
  <c r="I673" i="19" a="1"/>
  <c r="I673" i="19" s="1"/>
  <c r="I197" i="19" a="1"/>
  <c r="I197" i="19" s="1"/>
  <c r="I714" i="19" a="1"/>
  <c r="I714" i="19" s="1"/>
  <c r="I94" i="19" a="1"/>
  <c r="I94" i="19" s="1"/>
  <c r="I808" i="19" a="1"/>
  <c r="I808" i="19" s="1"/>
  <c r="I598" i="19" a="1"/>
  <c r="I598" i="19" s="1"/>
  <c r="I518" i="19" a="1"/>
  <c r="I518" i="19" s="1"/>
  <c r="I581" i="19" a="1"/>
  <c r="I581" i="19" s="1"/>
  <c r="I806" i="19" a="1"/>
  <c r="I806" i="19" s="1"/>
  <c r="I843" i="19" a="1"/>
  <c r="I843" i="19" s="1"/>
  <c r="I557" i="19" a="1"/>
  <c r="I557" i="19" s="1"/>
  <c r="I814" i="19" a="1"/>
  <c r="I814" i="19" s="1"/>
  <c r="I813" i="19" a="1"/>
  <c r="I813" i="19" s="1"/>
  <c r="I842" i="19" a="1"/>
  <c r="I842" i="19" s="1"/>
  <c r="I796" i="19" a="1"/>
  <c r="I796" i="19" s="1"/>
  <c r="I160" i="19" a="1"/>
  <c r="I160" i="19" s="1"/>
  <c r="I576" i="19" a="1"/>
  <c r="I576" i="19" s="1"/>
  <c r="I522" i="19" a="1"/>
  <c r="I522" i="19" s="1"/>
  <c r="I509" i="19" a="1"/>
  <c r="I509" i="19" s="1"/>
  <c r="I659" i="19" a="1"/>
  <c r="I659" i="19" s="1"/>
  <c r="I657" i="19" a="1"/>
  <c r="I657" i="19" s="1"/>
  <c r="I553" i="19" a="1"/>
  <c r="I553" i="19" s="1"/>
  <c r="I683" i="19" a="1"/>
  <c r="I683" i="19" s="1"/>
  <c r="I131" i="19" a="1"/>
  <c r="I131" i="19" s="1"/>
  <c r="I689" i="19" a="1"/>
  <c r="I689" i="19" s="1"/>
  <c r="I650" i="19" a="1"/>
  <c r="I650" i="19" s="1"/>
  <c r="I101" i="19" a="1"/>
  <c r="I101" i="19" s="1"/>
  <c r="I213" i="19" a="1"/>
  <c r="I213" i="19" s="1"/>
  <c r="I208" i="19" a="1"/>
  <c r="I208" i="19" s="1"/>
  <c r="I231" i="19" a="1"/>
  <c r="I231" i="19" s="1"/>
  <c r="I79" i="19" a="1"/>
  <c r="I79" i="19" s="1"/>
  <c r="I216" i="19" a="1"/>
  <c r="I216" i="19" s="1"/>
  <c r="I165" i="19" a="1"/>
  <c r="I165" i="19" s="1"/>
  <c r="I687" i="19" a="1"/>
  <c r="I687" i="19" s="1"/>
  <c r="I801" i="19" a="1"/>
  <c r="I801" i="19" s="1"/>
  <c r="I136" i="19" a="1"/>
  <c r="I136" i="19" s="1"/>
  <c r="I818" i="19" a="1"/>
  <c r="I818" i="19" s="1"/>
  <c r="I82" i="19" a="1"/>
  <c r="I82" i="19" s="1"/>
  <c r="I819" i="19" a="1"/>
  <c r="I819" i="19" s="1"/>
  <c r="I752" i="19" a="1"/>
  <c r="I752" i="19" s="1"/>
  <c r="I604" i="19" a="1"/>
  <c r="I604" i="19" s="1"/>
  <c r="I733" i="19" a="1"/>
  <c r="I733" i="19" s="1"/>
  <c r="I753" i="19" a="1"/>
  <c r="I753" i="19" s="1"/>
  <c r="I494" i="19" a="1"/>
  <c r="I494" i="19" s="1"/>
  <c r="I500" i="19" a="1"/>
  <c r="I500" i="19" s="1"/>
  <c r="I577" i="19" a="1"/>
  <c r="I577" i="19" s="1"/>
  <c r="I792" i="19" a="1"/>
  <c r="I792" i="19" s="1"/>
  <c r="I742" i="19" a="1"/>
  <c r="I742" i="19" s="1"/>
  <c r="I600" i="19" a="1"/>
  <c r="I600" i="19" s="1"/>
  <c r="I147" i="19" a="1"/>
  <c r="I147" i="19" s="1"/>
  <c r="I127" i="19" a="1"/>
  <c r="I127" i="19" s="1"/>
  <c r="I506" i="19" a="1"/>
  <c r="I506" i="19" s="1"/>
  <c r="I774" i="19" a="1"/>
  <c r="I774" i="19" s="1"/>
  <c r="I593" i="19" a="1"/>
  <c r="I593" i="19" s="1"/>
  <c r="I207" i="19" a="1"/>
  <c r="I207" i="19" s="1"/>
  <c r="I547" i="19" a="1"/>
  <c r="I547" i="19" s="1"/>
  <c r="I52" i="19" a="1"/>
  <c r="I52" i="19" s="1"/>
  <c r="I179" i="19" a="1"/>
  <c r="I179" i="19" s="1"/>
  <c r="I166" i="19" a="1"/>
  <c r="I166" i="19" s="1"/>
  <c r="I181" i="19" a="1"/>
  <c r="I181" i="19" s="1"/>
  <c r="I180" i="19" a="1"/>
  <c r="I180" i="19" s="1"/>
  <c r="I199" i="19" a="1"/>
  <c r="I199" i="19" s="1"/>
  <c r="I70" i="19" a="1"/>
  <c r="I70" i="19" s="1"/>
  <c r="I139" i="19" a="1"/>
  <c r="I139" i="19" s="1"/>
  <c r="I587" i="19" a="1"/>
  <c r="I587" i="19" s="1"/>
  <c r="I671" i="19" a="1"/>
  <c r="I671" i="19" s="1"/>
  <c r="I665" i="19" a="1"/>
  <c r="I665" i="19" s="1"/>
  <c r="I589" i="19" a="1"/>
  <c r="I589" i="19" s="1"/>
  <c r="I523" i="19" a="1"/>
  <c r="I523" i="19" s="1"/>
  <c r="I639" i="19" a="1"/>
  <c r="I639" i="19" s="1"/>
  <c r="I649" i="19" a="1"/>
  <c r="I649" i="19" s="1"/>
  <c r="I700" i="19" a="1"/>
  <c r="I700" i="19" s="1"/>
  <c r="I90" i="19" a="1"/>
  <c r="I90" i="19" s="1"/>
  <c r="I56" i="19" a="1"/>
  <c r="I56" i="19" s="1"/>
  <c r="I630" i="19" a="1"/>
  <c r="I630" i="19" s="1"/>
  <c r="I599" i="19" a="1"/>
  <c r="I599" i="19" s="1"/>
  <c r="I516" i="19" a="1"/>
  <c r="I516" i="19" s="1"/>
  <c r="I508" i="19" a="1"/>
  <c r="I508" i="19" s="1"/>
  <c r="I161" i="19" a="1"/>
  <c r="I161" i="19" s="1"/>
  <c r="I779" i="19" a="1"/>
  <c r="I779" i="19" s="1"/>
  <c r="I780" i="19" a="1"/>
  <c r="I780" i="19" s="1"/>
  <c r="I201" i="19" a="1"/>
  <c r="I201" i="19" s="1"/>
  <c r="I706" i="19" a="1"/>
  <c r="I706" i="19" s="1"/>
  <c r="I520" i="19" a="1"/>
  <c r="I520" i="19" s="1"/>
  <c r="I200" i="19" a="1"/>
  <c r="I200" i="19" s="1"/>
  <c r="I844" i="19" a="1"/>
  <c r="I844" i="19" s="1"/>
  <c r="I582" i="19" a="1"/>
  <c r="I582" i="19" s="1"/>
  <c r="I625" i="19" a="1"/>
  <c r="I625" i="19" s="1"/>
  <c r="I735" i="19" a="1"/>
  <c r="I735" i="19" s="1"/>
  <c r="I613" i="19" a="1"/>
  <c r="I613" i="19" s="1"/>
  <c r="I644" i="19" a="1"/>
  <c r="I644" i="19" s="1"/>
  <c r="I237" i="19" a="1"/>
  <c r="I237" i="19" s="1"/>
  <c r="I223" i="19" a="1"/>
  <c r="I223" i="19" s="1"/>
  <c r="I709" i="19" a="1"/>
  <c r="I709" i="19" s="1"/>
  <c r="I190" i="19" a="1"/>
  <c r="I190" i="19" s="1"/>
  <c r="I798" i="19" a="1"/>
  <c r="I798" i="19" s="1"/>
  <c r="I764" i="19" a="1"/>
  <c r="I764" i="19" s="1"/>
  <c r="I637" i="19" a="1"/>
  <c r="I637" i="19" s="1"/>
  <c r="I642" i="19" a="1"/>
  <c r="I642" i="19" s="1"/>
  <c r="I701" i="19" a="1"/>
  <c r="I701" i="19" s="1"/>
  <c r="I622" i="19" a="1"/>
  <c r="I622" i="19" s="1"/>
  <c r="I653" i="19" a="1"/>
  <c r="I653" i="19" s="1"/>
  <c r="I158" i="19" a="1"/>
  <c r="I158" i="19" s="1"/>
  <c r="I763" i="19" a="1"/>
  <c r="I763" i="19" s="1"/>
  <c r="I44" i="19" a="1"/>
  <c r="I44" i="19" s="1"/>
  <c r="I691" i="19" a="1"/>
  <c r="I691" i="19" s="1"/>
  <c r="I678" i="19" a="1"/>
  <c r="I678" i="19" s="1"/>
  <c r="I83" i="19" a="1"/>
  <c r="I83" i="19" s="1"/>
  <c r="I816" i="19" a="1"/>
  <c r="I816" i="19" s="1"/>
  <c r="I694" i="19" a="1"/>
  <c r="I694" i="19" s="1"/>
  <c r="I187" i="19" a="1"/>
  <c r="I187" i="19" s="1"/>
  <c r="I811" i="19" a="1"/>
  <c r="I811" i="19" s="1"/>
  <c r="I211" i="19" a="1"/>
  <c r="I211" i="19" s="1"/>
  <c r="I122" i="19" a="1"/>
  <c r="I122" i="19" s="1"/>
  <c r="I121" i="19" a="1"/>
  <c r="I121" i="19" s="1"/>
  <c r="I229" i="19" a="1"/>
  <c r="I229" i="19" s="1"/>
  <c r="I84" i="19" a="1"/>
  <c r="I84" i="19" s="1"/>
  <c r="I89" i="19" a="1"/>
  <c r="I89" i="19" s="1"/>
  <c r="I660" i="19" a="1"/>
  <c r="I660" i="19" s="1"/>
  <c r="I80" i="19" a="1"/>
  <c r="I80" i="19" s="1"/>
  <c r="I740" i="19" a="1"/>
  <c r="I740" i="19" s="1"/>
  <c r="I744" i="19" a="1"/>
  <c r="I744" i="19" s="1"/>
  <c r="I242" i="19" a="1"/>
  <c r="I242" i="19" s="1"/>
  <c r="I220" i="19" a="1"/>
  <c r="I220" i="19" s="1"/>
  <c r="I221" i="19" a="1"/>
  <c r="I221" i="19" s="1"/>
  <c r="I729" i="19" a="1"/>
  <c r="I729" i="19" s="1"/>
  <c r="I251" i="19" a="1"/>
  <c r="I251" i="19" s="1"/>
  <c r="I178" i="19" a="1"/>
  <c r="I178" i="19" s="1"/>
  <c r="I527" i="19" a="1"/>
  <c r="I527" i="19" s="1"/>
  <c r="I543" i="19" a="1"/>
  <c r="I543" i="19" s="1"/>
  <c r="I778" i="19" a="1"/>
  <c r="I778" i="19" s="1"/>
  <c r="I206" i="19" a="1"/>
  <c r="I206" i="19" s="1"/>
  <c r="I116" i="19" a="1"/>
  <c r="I116" i="19" s="1"/>
  <c r="I113" i="19" a="1"/>
  <c r="I113" i="19" s="1"/>
  <c r="I110" i="19" a="1"/>
  <c r="I110" i="19" s="1"/>
  <c r="I114" i="19" a="1"/>
  <c r="I114" i="19" s="1"/>
  <c r="I784" i="19" a="1"/>
  <c r="I784" i="19" s="1"/>
  <c r="I695" i="19" a="1"/>
  <c r="I695" i="19" s="1"/>
  <c r="I696" i="19" a="1"/>
  <c r="I696" i="19" s="1"/>
  <c r="I839" i="19" a="1"/>
  <c r="I839" i="19" s="1"/>
  <c r="I163" i="19" a="1"/>
  <c r="I163" i="19" s="1"/>
  <c r="I531" i="19" a="1"/>
  <c r="I531" i="19" s="1"/>
  <c r="I655" i="19" a="1"/>
  <c r="I655" i="19" s="1"/>
  <c r="I805" i="19" a="1"/>
  <c r="I805" i="19" s="1"/>
  <c r="I651" i="19" a="1"/>
  <c r="I651" i="19" s="1"/>
  <c r="I249" i="19" a="1"/>
  <c r="I249" i="19" s="1"/>
  <c r="I74" i="19" a="1"/>
  <c r="I74" i="19" s="1"/>
  <c r="I793" i="19" a="1"/>
  <c r="I793" i="19" s="1"/>
  <c r="I794" i="19" a="1"/>
  <c r="I794" i="19" s="1"/>
  <c r="I782" i="19" a="1"/>
  <c r="I782" i="19" s="1"/>
  <c r="I680" i="19" a="1"/>
  <c r="I680" i="19" s="1"/>
  <c r="I603" i="19" a="1"/>
  <c r="I603" i="19" s="1"/>
  <c r="I194" i="19" a="1"/>
  <c r="I194" i="19" s="1"/>
  <c r="I191" i="19" a="1"/>
  <c r="I191" i="19" s="1"/>
  <c r="I192" i="19" a="1"/>
  <c r="I192" i="19" s="1"/>
  <c r="I789" i="19" a="1"/>
  <c r="I789" i="19" s="1"/>
  <c r="I132" i="19" a="1"/>
  <c r="I132" i="19" s="1"/>
  <c r="I756" i="19" a="1"/>
  <c r="I756" i="19" s="1"/>
  <c r="I658" i="19" a="1"/>
  <c r="I658" i="19" s="1"/>
  <c r="I698" i="19" a="1"/>
  <c r="I698" i="19" s="1"/>
  <c r="I214" i="19" a="1"/>
  <c r="I214" i="19" s="1"/>
  <c r="I688" i="19" a="1"/>
  <c r="I688" i="19" s="1"/>
  <c r="I551" i="19" a="1"/>
  <c r="I551" i="19" s="1"/>
  <c r="I247" i="19" a="1"/>
  <c r="I247" i="19" s="1"/>
  <c r="I788" i="19" a="1"/>
  <c r="I788" i="19" s="1"/>
  <c r="I721" i="19" a="1"/>
  <c r="I721" i="19" s="1"/>
  <c r="I499" i="19" a="1"/>
  <c r="I499" i="19" s="1"/>
  <c r="I162" i="19" a="1"/>
  <c r="I162" i="19" s="1"/>
  <c r="I129" i="19" a="1"/>
  <c r="I129" i="19" s="1"/>
  <c r="I172" i="19" a="1"/>
  <c r="I172" i="19" s="1"/>
  <c r="I175" i="19" a="1"/>
  <c r="I175" i="19" s="1"/>
  <c r="I530" i="19" a="1"/>
  <c r="I530" i="19" s="1"/>
  <c r="I112" i="19" a="1"/>
  <c r="I112" i="19" s="1"/>
  <c r="I501" i="19" a="1"/>
  <c r="I501" i="19" s="1"/>
  <c r="I503" i="19" a="1"/>
  <c r="I503" i="19" s="1"/>
  <c r="I586" i="19" a="1"/>
  <c r="I586" i="19" s="1"/>
  <c r="I635" i="19" a="1"/>
  <c r="I635" i="19" s="1"/>
  <c r="I550" i="19" a="1"/>
  <c r="I550" i="19" s="1"/>
  <c r="I708" i="19" a="1"/>
  <c r="I708" i="19" s="1"/>
  <c r="I765" i="19" a="1"/>
  <c r="I765" i="19" s="1"/>
  <c r="I684" i="19" a="1"/>
  <c r="I684" i="19" s="1"/>
  <c r="I144" i="19" a="1"/>
  <c r="I144" i="19" s="1"/>
  <c r="I710" i="19" a="1"/>
  <c r="I710" i="19" s="1"/>
  <c r="I607" i="19" a="1"/>
  <c r="I607" i="19" s="1"/>
  <c r="I103" i="19" a="1"/>
  <c r="I103" i="19" s="1"/>
  <c r="I746" i="19" a="1"/>
  <c r="I746" i="19" s="1"/>
  <c r="I719" i="19" a="1"/>
  <c r="I719" i="19" s="1"/>
  <c r="I717" i="19" a="1"/>
  <c r="I717" i="19" s="1"/>
  <c r="I63" i="19" a="1"/>
  <c r="I63" i="19" s="1"/>
  <c r="I212" i="19" a="1"/>
  <c r="I212" i="19" s="1"/>
  <c r="I495" i="19" a="1"/>
  <c r="I495" i="19" s="1"/>
  <c r="I184" i="19" a="1"/>
  <c r="I184" i="19" s="1"/>
  <c r="I185" i="19" a="1"/>
  <c r="I185" i="19" s="1"/>
  <c r="I186" i="19" a="1"/>
  <c r="I186" i="19" s="1"/>
  <c r="I182" i="19" a="1"/>
  <c r="I182" i="19" s="1"/>
  <c r="I670" i="19" a="1"/>
  <c r="I670" i="19" s="1"/>
  <c r="I769" i="19" a="1"/>
  <c r="I769" i="19" s="1"/>
  <c r="I579" i="19" a="1"/>
  <c r="I579" i="19" s="1"/>
  <c r="I727" i="19" a="1"/>
  <c r="I727" i="19" s="1"/>
  <c r="I741" i="19" a="1"/>
  <c r="I741" i="19" s="1"/>
  <c r="I521" i="19" a="1"/>
  <c r="I521" i="19" s="1"/>
  <c r="I502" i="19" a="1"/>
  <c r="I502" i="19" s="1"/>
  <c r="I62" i="19" a="1"/>
  <c r="I62" i="19" s="1"/>
  <c r="I497" i="19" a="1"/>
  <c r="I497" i="19" s="1"/>
  <c r="I837" i="19" a="1"/>
  <c r="I837" i="19" s="1"/>
  <c r="I739" i="19" a="1"/>
  <c r="I739" i="19" s="1"/>
  <c r="I95" i="19" a="1"/>
  <c r="I95" i="19" s="1"/>
  <c r="I762" i="19" a="1"/>
  <c r="I762" i="19" s="1"/>
  <c r="I832" i="19" a="1"/>
  <c r="I832" i="19" s="1"/>
  <c r="I827" i="19" a="1"/>
  <c r="I827" i="19" s="1"/>
  <c r="I146" i="19" a="1"/>
  <c r="I146" i="19" s="1"/>
  <c r="I57" i="19" a="1"/>
  <c r="I57" i="19" s="1"/>
  <c r="I679" i="19" a="1"/>
  <c r="I679" i="19" s="1"/>
  <c r="I515" i="19" a="1"/>
  <c r="I515" i="19" s="1"/>
  <c r="I845" i="19" a="1"/>
  <c r="I845" i="19" s="1"/>
  <c r="I49" i="19" a="1"/>
  <c r="I49" i="19" s="1"/>
  <c r="I628" i="19" a="1"/>
  <c r="I628" i="19" s="1"/>
  <c r="I183" i="19" a="1"/>
  <c r="I183" i="19" s="1"/>
  <c r="I498" i="19" a="1"/>
  <c r="I498" i="19" s="1"/>
  <c r="I750" i="19" a="1"/>
  <c r="I750" i="19" s="1"/>
  <c r="I636" i="19" a="1"/>
  <c r="I636" i="19" s="1"/>
  <c r="I133" i="19" a="1"/>
  <c r="I133" i="19" s="1"/>
  <c r="I159" i="19" a="1"/>
  <c r="I159" i="19" s="1"/>
  <c r="I802" i="19" a="1"/>
  <c r="I802" i="19" s="1"/>
  <c r="I803" i="19" a="1"/>
  <c r="I803" i="19" s="1"/>
  <c r="I757" i="19" a="1"/>
  <c r="I757" i="19" s="1"/>
  <c r="I560" i="19" a="1"/>
  <c r="I560" i="19" s="1"/>
  <c r="I574" i="19" a="1"/>
  <c r="I574" i="19" s="1"/>
  <c r="I632" i="19" a="1"/>
  <c r="I632" i="19" s="1"/>
  <c r="I748" i="19" a="1"/>
  <c r="I748" i="19" s="1"/>
  <c r="I514" i="19" a="1"/>
  <c r="I514" i="19" s="1"/>
  <c r="I240" i="19" a="1"/>
  <c r="I240" i="19" s="1"/>
  <c r="I92" i="19" a="1"/>
  <c r="I92" i="19" s="1"/>
  <c r="I728" i="19" a="1"/>
  <c r="I728" i="19" s="1"/>
  <c r="I584" i="19" a="1"/>
  <c r="I584" i="19" s="1"/>
  <c r="I534" i="19" a="1"/>
  <c r="I534" i="19" s="1"/>
  <c r="I580" i="19" a="1"/>
  <c r="I580" i="19" s="1"/>
  <c r="I152" i="19" a="1"/>
  <c r="I152" i="19" s="1"/>
  <c r="I646" i="19" a="1"/>
  <c r="I646" i="19" s="1"/>
  <c r="I549" i="19" a="1"/>
  <c r="I549" i="19" s="1"/>
  <c r="I545" i="19" a="1"/>
  <c r="I545" i="19" s="1"/>
  <c r="I142" i="19" a="1"/>
  <c r="I142" i="19" s="1"/>
  <c r="I791" i="19" a="1"/>
  <c r="I791" i="19" s="1"/>
  <c r="I536" i="19" a="1"/>
  <c r="I536" i="19" s="1"/>
  <c r="I126" i="19" a="1"/>
  <c r="I126" i="19" s="1"/>
  <c r="I674" i="19" a="1"/>
  <c r="I674" i="19" s="1"/>
  <c r="I760" i="19" a="1"/>
  <c r="I760" i="19" s="1"/>
  <c r="I525" i="19" a="1"/>
  <c r="I525" i="19" s="1"/>
  <c r="I53" i="19" a="1"/>
  <c r="I53" i="19" s="1"/>
  <c r="I738" i="19" a="1"/>
  <c r="I738" i="19" s="1"/>
  <c r="I790" i="19" a="1"/>
  <c r="I790" i="19" s="1"/>
  <c r="I108" i="19" a="1"/>
  <c r="I108" i="19" s="1"/>
  <c r="I60" i="19" a="1"/>
  <c r="I60" i="19" s="1"/>
  <c r="I641" i="19" a="1"/>
  <c r="I641" i="19" s="1"/>
  <c r="I154" i="19" a="1"/>
  <c r="I154" i="19" s="1"/>
  <c r="I666" i="19" a="1"/>
  <c r="I666" i="19" s="1"/>
  <c r="I786" i="19" a="1"/>
  <c r="I786" i="19" s="1"/>
  <c r="I745" i="19" a="1"/>
  <c r="I745" i="19" s="1"/>
  <c r="I130" i="19" a="1"/>
  <c r="I130" i="19" s="1"/>
  <c r="I225" i="19" a="1"/>
  <c r="I225" i="19" s="1"/>
  <c r="I167" i="19" a="1"/>
  <c r="I167" i="19" s="1"/>
  <c r="I510" i="19" a="1"/>
  <c r="I510" i="19" s="1"/>
  <c r="I718" i="19" a="1"/>
  <c r="I718" i="19" s="1"/>
  <c r="I71" i="19" a="1"/>
  <c r="I71" i="19" s="1"/>
  <c r="I834" i="19" a="1"/>
  <c r="I834" i="19" s="1"/>
  <c r="I711" i="19" a="1"/>
  <c r="I711" i="19" s="1"/>
  <c r="I529" i="19" a="1"/>
  <c r="I529" i="19" s="1"/>
  <c r="I107" i="19" a="1"/>
  <c r="I107" i="19" s="1"/>
  <c r="I64" i="19" a="1"/>
  <c r="I64" i="19" s="1"/>
  <c r="I541" i="19" a="1"/>
  <c r="I541" i="19" s="1"/>
  <c r="I629" i="19" a="1"/>
  <c r="I629" i="19" s="1"/>
  <c r="I569" i="19" a="1"/>
  <c r="I569" i="19" s="1"/>
  <c r="I143" i="19" a="1"/>
  <c r="I143" i="19" s="1"/>
  <c r="I619" i="19" a="1"/>
  <c r="I619" i="19" s="1"/>
  <c r="I188" i="19" a="1"/>
  <c r="I188" i="19" s="1"/>
  <c r="I173" i="19" a="1"/>
  <c r="I173" i="19" s="1"/>
  <c r="I189" i="19" a="1"/>
  <c r="I189" i="19" s="1"/>
  <c r="I627" i="19" a="1"/>
  <c r="I627" i="19" s="1"/>
  <c r="I804" i="19" a="1"/>
  <c r="I804" i="19" s="1"/>
  <c r="I149" i="19" a="1"/>
  <c r="I149" i="19" s="1"/>
  <c r="I573" i="19" a="1"/>
  <c r="I573" i="19" s="1"/>
  <c r="I238" i="19" a="1"/>
  <c r="I238" i="19" s="1"/>
  <c r="I817" i="19" a="1"/>
  <c r="I817" i="19" s="1"/>
  <c r="I43" i="19" a="1"/>
  <c r="I43" i="19" s="1"/>
  <c r="I592" i="19" a="1"/>
  <c r="I592" i="19" s="1"/>
  <c r="I761" i="19" a="1"/>
  <c r="I761" i="19" s="1"/>
  <c r="I682" i="19" a="1"/>
  <c r="I682" i="19" s="1"/>
  <c r="I155" i="19" a="1"/>
  <c r="I155" i="19" s="1"/>
  <c r="I48" i="19" a="1"/>
  <c r="I48" i="19" s="1"/>
  <c r="I217" i="19" a="1"/>
  <c r="I217" i="19" s="1"/>
  <c r="I111" i="19" a="1"/>
  <c r="I111" i="19" s="1"/>
  <c r="I102" i="19" a="1"/>
  <c r="I102" i="19" s="1"/>
  <c r="I776" i="19" a="1"/>
  <c r="I776" i="19" s="1"/>
  <c r="I105" i="19" a="1"/>
  <c r="I105" i="19" s="1"/>
  <c r="I605" i="19" a="1"/>
  <c r="I605" i="19" s="1"/>
  <c r="I128" i="19" a="1"/>
  <c r="I128" i="19" s="1"/>
  <c r="I783" i="19" a="1"/>
  <c r="I783" i="19" s="1"/>
  <c r="I812" i="19" a="1"/>
  <c r="I812" i="19" s="1"/>
  <c r="I810" i="19" a="1"/>
  <c r="I810" i="19" s="1"/>
  <c r="I724" i="19" a="1"/>
  <c r="I724" i="19" s="1"/>
  <c r="I539" i="19" a="1"/>
  <c r="I539" i="19" s="1"/>
  <c r="I759" i="19" a="1"/>
  <c r="I759" i="19" s="1"/>
  <c r="I647" i="19" a="1"/>
  <c r="I647" i="19" s="1"/>
  <c r="I648" i="19" a="1"/>
  <c r="I648" i="19" s="1"/>
  <c r="I204" i="19" a="1"/>
  <c r="I204" i="19" s="1"/>
  <c r="I203" i="19" a="1"/>
  <c r="I203" i="19" s="1"/>
  <c r="I654" i="19" a="1"/>
  <c r="I654" i="19" s="1"/>
  <c r="I565" i="19" a="1"/>
  <c r="I565" i="19" s="1"/>
  <c r="I244" i="19" a="1"/>
  <c r="I244" i="19" s="1"/>
  <c r="I156" i="19" a="1"/>
  <c r="I156" i="19" s="1"/>
  <c r="I76" i="19" a="1"/>
  <c r="I76" i="19" s="1"/>
  <c r="I773" i="19" a="1"/>
  <c r="I773" i="19" s="1"/>
  <c r="I61" i="19" a="1"/>
  <c r="I61" i="19" s="1"/>
  <c r="I601" i="19" a="1"/>
  <c r="I601" i="19" s="1"/>
  <c r="I672" i="19" a="1"/>
  <c r="I672" i="19" s="1"/>
  <c r="I663" i="19" a="1"/>
  <c r="I663" i="19" s="1"/>
  <c r="I712" i="19" a="1"/>
  <c r="I712" i="19" s="1"/>
  <c r="I608" i="19" a="1"/>
  <c r="I608" i="19" s="1"/>
  <c r="I815" i="19" a="1"/>
  <c r="I815" i="19" s="1"/>
  <c r="I236" i="19" a="1"/>
  <c r="I236" i="19" s="1"/>
  <c r="I235" i="19" a="1"/>
  <c r="I235" i="19" s="1"/>
  <c r="I768" i="19" a="1"/>
  <c r="I768" i="19" s="1"/>
  <c r="I596" i="19" a="1"/>
  <c r="I596" i="19" s="1"/>
  <c r="I575" i="19" a="1"/>
  <c r="I575" i="19" s="1"/>
  <c r="I737" i="19" a="1"/>
  <c r="I737" i="19" s="1"/>
  <c r="I524" i="19" a="1"/>
  <c r="I524" i="19" s="1"/>
  <c r="I134" i="19" a="1"/>
  <c r="I134" i="19" s="1"/>
  <c r="I681" i="19" a="1"/>
  <c r="I681" i="19" s="1"/>
  <c r="I164" i="19" a="1"/>
  <c r="I164" i="19" s="1"/>
  <c r="I253" i="19" a="1"/>
  <c r="I253" i="19" s="1"/>
  <c r="I585" i="19" a="1"/>
  <c r="I585" i="19" s="1"/>
  <c r="I777" i="19" a="1"/>
  <c r="I777" i="19" s="1"/>
  <c r="I566" i="19" a="1"/>
  <c r="I566" i="19" s="1"/>
  <c r="I787" i="19" a="1"/>
  <c r="I787" i="19" s="1"/>
  <c r="I120" i="19" a="1"/>
  <c r="I120" i="19" s="1"/>
  <c r="I226" i="19" a="1"/>
  <c r="I226" i="19" s="1"/>
  <c r="I572" i="19" a="1"/>
  <c r="I572" i="19" s="1"/>
  <c r="I538" i="19" a="1"/>
  <c r="I538" i="19" s="1"/>
  <c r="I46" i="19" a="1"/>
  <c r="I46" i="19" s="1"/>
  <c r="I151" i="19" a="1"/>
  <c r="I151" i="19" s="1"/>
  <c r="I528" i="19" a="1"/>
  <c r="I528" i="19" s="1"/>
  <c r="I99" i="19" a="1"/>
  <c r="I99" i="19" s="1"/>
  <c r="I751" i="19" a="1"/>
  <c r="I751" i="19" s="1"/>
  <c r="I153" i="19" a="1"/>
  <c r="I153" i="19" s="1"/>
  <c r="I246" i="19" a="1"/>
  <c r="I246" i="19" s="1"/>
  <c r="I546" i="19" a="1"/>
  <c r="I546" i="19" s="1"/>
  <c r="I104" i="19" a="1"/>
  <c r="I104" i="19" s="1"/>
  <c r="I697" i="19" a="1"/>
  <c r="I697" i="19" s="1"/>
  <c r="I775" i="19" a="1"/>
  <c r="I775" i="19" s="1"/>
  <c r="I109" i="19" a="1"/>
  <c r="I109" i="19" s="1"/>
  <c r="I561" i="19" a="1"/>
  <c r="I561" i="19" s="1"/>
  <c r="I77" i="19" a="1"/>
  <c r="I77" i="19" s="1"/>
  <c r="I836" i="19" a="1"/>
  <c r="I836" i="19" s="1"/>
  <c r="I633" i="19" a="1"/>
  <c r="I633" i="19" s="1"/>
  <c r="I100" i="19" a="1"/>
  <c r="I100" i="19" s="1"/>
  <c r="I245" i="19" a="1"/>
  <c r="I245" i="19" s="1"/>
  <c r="I548" i="19" a="1"/>
  <c r="I548" i="19" s="1"/>
  <c r="I692" i="19" a="1"/>
  <c r="I692" i="19" s="1"/>
  <c r="I218" i="19" a="1"/>
  <c r="I218" i="19" s="1"/>
  <c r="I656" i="19" a="1"/>
  <c r="I656" i="19" s="1"/>
  <c r="I239" i="19" a="1"/>
  <c r="I239" i="19" s="1"/>
  <c r="I65" i="19" a="1"/>
  <c r="I65" i="19" s="1"/>
  <c r="I626" i="19" a="1"/>
  <c r="I626" i="19" s="1"/>
  <c r="I669" i="19" a="1"/>
  <c r="I669" i="19" s="1"/>
  <c r="I248" i="19" a="1"/>
  <c r="I248" i="19" s="1"/>
  <c r="I563" i="19" a="1"/>
  <c r="I563" i="19" s="1"/>
  <c r="I228" i="19" a="1"/>
  <c r="I228" i="19" s="1"/>
  <c r="I219" i="19" a="1"/>
  <c r="I219" i="19" s="1"/>
  <c r="I624" i="19" a="1"/>
  <c r="I624" i="19" s="1"/>
  <c r="I230" i="19" a="1"/>
  <c r="I230" i="19" s="1"/>
  <c r="I556" i="19" a="1"/>
  <c r="I556" i="19" s="1"/>
  <c r="I631" i="19" a="1"/>
  <c r="I631" i="19" s="1"/>
  <c r="I117" i="19" a="1"/>
  <c r="I117" i="19" s="1"/>
  <c r="I255" i="19" a="1"/>
  <c r="I255" i="19" s="1"/>
  <c r="I256" i="19" a="1"/>
  <c r="I256" i="19" s="1"/>
  <c r="I257" i="19" a="1"/>
  <c r="I257" i="19" s="1"/>
  <c r="I258" i="19" a="1"/>
  <c r="I258" i="19" s="1"/>
  <c r="I259" i="19" a="1"/>
  <c r="I259" i="19" s="1"/>
  <c r="I261" i="19" a="1"/>
  <c r="I261" i="19" s="1"/>
  <c r="I263" i="19" a="1"/>
  <c r="I263" i="19" s="1"/>
  <c r="I265" i="19" a="1"/>
  <c r="I265" i="19" s="1"/>
  <c r="I267" i="19" a="1"/>
  <c r="I267" i="19" s="1"/>
  <c r="I268" i="19" a="1"/>
  <c r="I268" i="19" s="1"/>
  <c r="I269" i="19" a="1"/>
  <c r="I269" i="19" s="1"/>
  <c r="I270" i="19" a="1"/>
  <c r="I270" i="19" s="1"/>
  <c r="I272" i="19" a="1"/>
  <c r="I272" i="19" s="1"/>
  <c r="I273" i="19" a="1"/>
  <c r="I273" i="19" s="1"/>
  <c r="I274" i="19" a="1"/>
  <c r="I274" i="19" s="1"/>
  <c r="I275" i="19" a="1"/>
  <c r="I275" i="19" s="1"/>
  <c r="I276" i="19" a="1"/>
  <c r="I276" i="19" s="1"/>
  <c r="I277" i="19" a="1"/>
  <c r="I277" i="19" s="1"/>
  <c r="I278" i="19" a="1"/>
  <c r="I278" i="19" s="1"/>
  <c r="I279" i="19" a="1"/>
  <c r="I279" i="19" s="1"/>
  <c r="I280" i="19" a="1"/>
  <c r="I280" i="19" s="1"/>
  <c r="I281" i="19" a="1"/>
  <c r="I281" i="19" s="1"/>
  <c r="I283" i="19" a="1"/>
  <c r="I283" i="19" s="1"/>
  <c r="I284" i="19" a="1"/>
  <c r="I284" i="19" s="1"/>
  <c r="I287" i="19" a="1"/>
  <c r="I287" i="19" s="1"/>
  <c r="I293" i="19" a="1"/>
  <c r="I293" i="19" s="1"/>
  <c r="I294" i="19" a="1"/>
  <c r="I294" i="19" s="1"/>
  <c r="I295" i="19" a="1"/>
  <c r="I295" i="19" s="1"/>
  <c r="I296" i="19" a="1"/>
  <c r="I296" i="19" s="1"/>
  <c r="I297" i="19" a="1"/>
  <c r="I297" i="19" s="1"/>
  <c r="I298" i="19" a="1"/>
  <c r="I298" i="19" s="1"/>
  <c r="I299" i="19" a="1"/>
  <c r="I299" i="19" s="1"/>
  <c r="I300" i="19" a="1"/>
  <c r="I300" i="19" s="1"/>
  <c r="I301" i="19" a="1"/>
  <c r="I301" i="19" s="1"/>
  <c r="I302" i="19" a="1"/>
  <c r="I302" i="19" s="1"/>
  <c r="I303" i="19" a="1"/>
  <c r="I303" i="19" s="1"/>
  <c r="I306" i="19" a="1"/>
  <c r="I306" i="19" s="1"/>
  <c r="I311" i="19" a="1"/>
  <c r="I311" i="19" s="1"/>
  <c r="I313" i="19" a="1"/>
  <c r="I313" i="19" s="1"/>
  <c r="I314" i="19" a="1"/>
  <c r="I314" i="19" s="1"/>
  <c r="I315" i="19" a="1"/>
  <c r="I315" i="19" s="1"/>
  <c r="I316" i="19" a="1"/>
  <c r="I316" i="19" s="1"/>
  <c r="I319" i="19" a="1"/>
  <c r="I319" i="19" s="1"/>
  <c r="I321" i="19" a="1"/>
  <c r="I321" i="19" s="1"/>
  <c r="I322" i="19" a="1"/>
  <c r="I322" i="19" s="1"/>
  <c r="I323" i="19" a="1"/>
  <c r="I323" i="19" s="1"/>
  <c r="I324" i="19" a="1"/>
  <c r="I324" i="19" s="1"/>
  <c r="I325" i="19" a="1"/>
  <c r="I325" i="19" s="1"/>
  <c r="I326" i="19" a="1"/>
  <c r="I326" i="19" s="1"/>
  <c r="I327" i="19" a="1"/>
  <c r="I327" i="19" s="1"/>
  <c r="I328" i="19" a="1"/>
  <c r="I328" i="19" s="1"/>
  <c r="I329" i="19" a="1"/>
  <c r="I329" i="19" s="1"/>
  <c r="I330" i="19" a="1"/>
  <c r="I330" i="19" s="1"/>
  <c r="I331" i="19" a="1"/>
  <c r="I331" i="19" s="1"/>
  <c r="I332" i="19" a="1"/>
  <c r="I332" i="19" s="1"/>
  <c r="I333" i="19" a="1"/>
  <c r="I333" i="19" s="1"/>
  <c r="I334" i="19" a="1"/>
  <c r="I334" i="19" s="1"/>
  <c r="I336" i="19" a="1"/>
  <c r="I336" i="19" s="1"/>
  <c r="I337" i="19" a="1"/>
  <c r="I337" i="19" s="1"/>
  <c r="I338" i="19" a="1"/>
  <c r="I338" i="19" s="1"/>
  <c r="I339" i="19" a="1"/>
  <c r="I339" i="19" s="1"/>
  <c r="I340" i="19" a="1"/>
  <c r="I340" i="19" s="1"/>
  <c r="I341" i="19" a="1"/>
  <c r="I341" i="19" s="1"/>
  <c r="I342" i="19" a="1"/>
  <c r="I342" i="19" s="1"/>
  <c r="I343" i="19" a="1"/>
  <c r="I343" i="19" s="1"/>
  <c r="I344" i="19" a="1"/>
  <c r="I344" i="19" s="1"/>
  <c r="I345" i="19" a="1"/>
  <c r="I345" i="19" s="1"/>
  <c r="I346" i="19" a="1"/>
  <c r="I346" i="19" s="1"/>
  <c r="I348" i="19" a="1"/>
  <c r="I348" i="19" s="1"/>
  <c r="I349" i="19" a="1"/>
  <c r="I349" i="19" s="1"/>
  <c r="I350" i="19" a="1"/>
  <c r="I350" i="19" s="1"/>
  <c r="I351" i="19" a="1"/>
  <c r="I351" i="19" s="1"/>
  <c r="I353" i="19" a="1"/>
  <c r="I353" i="19" s="1"/>
  <c r="I355" i="19" a="1"/>
  <c r="I355" i="19" s="1"/>
  <c r="I356" i="19" a="1"/>
  <c r="I356" i="19" s="1"/>
  <c r="I357" i="19" a="1"/>
  <c r="I357" i="19" s="1"/>
  <c r="I358" i="19" a="1"/>
  <c r="I358" i="19" s="1"/>
  <c r="I360" i="19" a="1"/>
  <c r="I360" i="19" s="1"/>
  <c r="I362" i="19" a="1"/>
  <c r="I362" i="19" s="1"/>
  <c r="I363" i="19" a="1"/>
  <c r="I363" i="19" s="1"/>
  <c r="I364" i="19" a="1"/>
  <c r="I364" i="19" s="1"/>
  <c r="I365" i="19" a="1"/>
  <c r="I365" i="19" s="1"/>
  <c r="I366" i="19" a="1"/>
  <c r="I366" i="19" s="1"/>
  <c r="I370" i="19" a="1"/>
  <c r="I370" i="19" s="1"/>
  <c r="I371" i="19" a="1"/>
  <c r="I371" i="19" s="1"/>
  <c r="I372" i="19" a="1"/>
  <c r="I372" i="19" s="1"/>
  <c r="I373" i="19" a="1"/>
  <c r="I373" i="19" s="1"/>
  <c r="I374" i="19" a="1"/>
  <c r="I374" i="19" s="1"/>
  <c r="I375" i="19" a="1"/>
  <c r="I375" i="19" s="1"/>
  <c r="I376" i="19" a="1"/>
  <c r="I376" i="19" s="1"/>
  <c r="I378" i="19" a="1"/>
  <c r="I378" i="19" s="1"/>
  <c r="I380" i="19" a="1"/>
  <c r="I380" i="19" s="1"/>
  <c r="I382" i="19" a="1"/>
  <c r="I382" i="19" s="1"/>
  <c r="I383" i="19" a="1"/>
  <c r="I383" i="19" s="1"/>
  <c r="I384" i="19" a="1"/>
  <c r="I384" i="19" s="1"/>
  <c r="I385" i="19" a="1"/>
  <c r="I385" i="19" s="1"/>
  <c r="I386" i="19" a="1"/>
  <c r="I386" i="19" s="1"/>
  <c r="I387" i="19" a="1"/>
  <c r="I387" i="19" s="1"/>
  <c r="I388" i="19" a="1"/>
  <c r="I388" i="19" s="1"/>
  <c r="I390" i="19" a="1"/>
  <c r="I390" i="19" s="1"/>
  <c r="I392" i="19" a="1"/>
  <c r="I392" i="19" s="1"/>
  <c r="I393" i="19" a="1"/>
  <c r="I393" i="19" s="1"/>
  <c r="I394" i="19" a="1"/>
  <c r="I394" i="19" s="1"/>
  <c r="I396" i="19" a="1"/>
  <c r="I396" i="19" s="1"/>
  <c r="I398" i="19" a="1"/>
  <c r="I398" i="19" s="1"/>
  <c r="I399" i="19" a="1"/>
  <c r="I399" i="19" s="1"/>
  <c r="I401" i="19" a="1"/>
  <c r="I401" i="19" s="1"/>
  <c r="I402" i="19" a="1"/>
  <c r="I402" i="19" s="1"/>
  <c r="I404" i="19" a="1"/>
  <c r="I404" i="19" s="1"/>
  <c r="I405" i="19" a="1"/>
  <c r="I405" i="19" s="1"/>
  <c r="I406" i="19" a="1"/>
  <c r="I406" i="19" s="1"/>
  <c r="I407" i="19" a="1"/>
  <c r="I407" i="19" s="1"/>
  <c r="I409" i="19" a="1"/>
  <c r="I409" i="19" s="1"/>
  <c r="I410" i="19" a="1"/>
  <c r="I410" i="19" s="1"/>
  <c r="I411" i="19" a="1"/>
  <c r="I411" i="19" s="1"/>
  <c r="I412" i="19" a="1"/>
  <c r="I412" i="19" s="1"/>
  <c r="I414" i="19" a="1"/>
  <c r="I414" i="19" s="1"/>
  <c r="I418" i="19" a="1"/>
  <c r="I418" i="19" s="1"/>
  <c r="I419" i="19" a="1"/>
  <c r="I419" i="19" s="1"/>
  <c r="I425" i="19" a="1"/>
  <c r="I425" i="19" s="1"/>
  <c r="I426" i="19" a="1"/>
  <c r="I426" i="19" s="1"/>
  <c r="I428" i="19" a="1"/>
  <c r="I428" i="19" s="1"/>
  <c r="I429" i="19" a="1"/>
  <c r="I429" i="19" s="1"/>
  <c r="I430" i="19" a="1"/>
  <c r="I430" i="19" s="1"/>
  <c r="I431" i="19" a="1"/>
  <c r="I431" i="19" s="1"/>
  <c r="I432" i="19" a="1"/>
  <c r="I432" i="19" s="1"/>
  <c r="I434" i="19" a="1"/>
  <c r="I434" i="19" s="1"/>
  <c r="I436" i="19" a="1"/>
  <c r="I436" i="19" s="1"/>
  <c r="I437" i="19" a="1"/>
  <c r="I437" i="19" s="1"/>
  <c r="I441" i="19" a="1"/>
  <c r="I441" i="19" s="1"/>
  <c r="I442" i="19" a="1"/>
  <c r="I442" i="19" s="1"/>
  <c r="I443" i="19" a="1"/>
  <c r="I443" i="19" s="1"/>
  <c r="I445" i="19" a="1"/>
  <c r="I445" i="19" s="1"/>
  <c r="I447" i="19" a="1"/>
  <c r="I447" i="19" s="1"/>
  <c r="I449" i="19" a="1"/>
  <c r="I449" i="19" s="1"/>
  <c r="I451" i="19" a="1"/>
  <c r="I451" i="19" s="1"/>
  <c r="I452" i="19" a="1"/>
  <c r="I452" i="19" s="1"/>
  <c r="I453" i="19" a="1"/>
  <c r="I453" i="19" s="1"/>
  <c r="I454" i="19" a="1"/>
  <c r="I454" i="19" s="1"/>
  <c r="I456" i="19" a="1"/>
  <c r="I456" i="19" s="1"/>
  <c r="I457" i="19" a="1"/>
  <c r="I457" i="19" s="1"/>
  <c r="I458" i="19" a="1"/>
  <c r="I458" i="19" s="1"/>
  <c r="I460" i="19" a="1"/>
  <c r="I460" i="19" s="1"/>
  <c r="I461" i="19" a="1"/>
  <c r="I461" i="19" s="1"/>
  <c r="I463" i="19" a="1"/>
  <c r="I463" i="19" s="1"/>
  <c r="I466" i="19" a="1"/>
  <c r="I466" i="19" s="1"/>
  <c r="I467" i="19" a="1"/>
  <c r="I467" i="19" s="1"/>
  <c r="I468" i="19" a="1"/>
  <c r="I468" i="19" s="1"/>
  <c r="I470" i="19" a="1"/>
  <c r="I470" i="19" s="1"/>
  <c r="I471" i="19" a="1"/>
  <c r="I471" i="19" s="1"/>
  <c r="I472" i="19" a="1"/>
  <c r="I472" i="19" s="1"/>
  <c r="I474" i="19" a="1"/>
  <c r="I474" i="19" s="1"/>
  <c r="I476" i="19" a="1"/>
  <c r="I476" i="19" s="1"/>
  <c r="I477" i="19" a="1"/>
  <c r="I477" i="19" s="1"/>
  <c r="I479" i="19" a="1"/>
  <c r="I479" i="19" s="1"/>
  <c r="I481" i="19" a="1"/>
  <c r="I481" i="19" s="1"/>
  <c r="I482" i="19" a="1"/>
  <c r="I482" i="19" s="1"/>
  <c r="I484" i="19" a="1"/>
  <c r="I484" i="19" s="1"/>
  <c r="I486" i="19" a="1"/>
  <c r="I486" i="19" s="1"/>
  <c r="I488" i="19" a="1"/>
  <c r="I488" i="19" s="1"/>
  <c r="I489" i="19" a="1"/>
  <c r="I489" i="19" s="1"/>
  <c r="I490" i="19" a="1"/>
  <c r="I490" i="19" s="1"/>
  <c r="I491" i="19" a="1"/>
  <c r="I491" i="19" s="1"/>
  <c r="I492" i="19" a="1"/>
  <c r="I492" i="19" s="1"/>
  <c r="I493" i="19" a="1"/>
  <c r="I493" i="19" s="1"/>
  <c r="I849" i="19" a="1"/>
  <c r="I849" i="19" s="1"/>
  <c r="I851" i="19" a="1"/>
  <c r="I851" i="19" s="1"/>
  <c r="I853" i="19" a="1"/>
  <c r="I853" i="19" s="1"/>
  <c r="I855" i="19" a="1"/>
  <c r="I855" i="19" s="1"/>
  <c r="I856" i="19" a="1"/>
  <c r="I856" i="19" s="1"/>
  <c r="I858" i="19" a="1"/>
  <c r="I858" i="19" s="1"/>
  <c r="I859" i="19" a="1"/>
  <c r="I859" i="19" s="1"/>
  <c r="I861" i="19" a="1"/>
  <c r="I861" i="19" s="1"/>
  <c r="I862" i="19" a="1"/>
  <c r="I862" i="19" s="1"/>
  <c r="I863" i="19" a="1"/>
  <c r="I863" i="19" s="1"/>
  <c r="I866" i="19" a="1"/>
  <c r="I866" i="19" s="1"/>
  <c r="I867" i="19" a="1"/>
  <c r="I867" i="19" s="1"/>
  <c r="I868" i="19" a="1"/>
  <c r="I868" i="19" s="1"/>
  <c r="I870" i="19" a="1"/>
  <c r="I870" i="19" s="1"/>
  <c r="I871" i="19" a="1"/>
  <c r="I871" i="19" s="1"/>
  <c r="I872" i="19" a="1"/>
  <c r="I872" i="19" s="1"/>
  <c r="I873" i="19" a="1"/>
  <c r="I873" i="19" s="1"/>
  <c r="I874" i="19" a="1"/>
  <c r="I874" i="19" s="1"/>
  <c r="I876" i="19" a="1"/>
  <c r="I876" i="19" s="1"/>
  <c r="I877" i="19" a="1"/>
  <c r="I877" i="19" s="1"/>
  <c r="I878" i="19" a="1"/>
  <c r="I878" i="19" s="1"/>
  <c r="I879" i="19" a="1"/>
  <c r="I879" i="19" s="1"/>
  <c r="I880" i="19" a="1"/>
  <c r="I880" i="19" s="1"/>
  <c r="I882" i="19" a="1"/>
  <c r="I882" i="19" s="1"/>
  <c r="I884" i="19" a="1"/>
  <c r="I884" i="19" s="1"/>
  <c r="I885" i="19" a="1"/>
  <c r="I885" i="19" s="1"/>
  <c r="I887" i="19" a="1"/>
  <c r="I887" i="19" s="1"/>
  <c r="I888" i="19" a="1"/>
  <c r="I888" i="19" s="1"/>
  <c r="I889" i="19" a="1"/>
  <c r="I889" i="19" s="1"/>
  <c r="I890" i="19" a="1"/>
  <c r="I890" i="19" s="1"/>
  <c r="I891" i="19" a="1"/>
  <c r="I891" i="19" s="1"/>
  <c r="I892" i="19" a="1"/>
  <c r="I892" i="19" s="1"/>
  <c r="I894" i="19" a="1"/>
  <c r="I894" i="19" s="1"/>
  <c r="I895" i="19" a="1"/>
  <c r="I895" i="19" s="1"/>
  <c r="I896" i="19" a="1"/>
  <c r="I896" i="19" s="1"/>
  <c r="I898" i="19" a="1"/>
  <c r="I898" i="19" s="1"/>
  <c r="I899" i="19" a="1"/>
  <c r="I899" i="19" s="1"/>
  <c r="I900" i="19" a="1"/>
  <c r="I900" i="19" s="1"/>
  <c r="I901" i="19" a="1"/>
  <c r="I901" i="19" s="1"/>
  <c r="I902" i="19" a="1"/>
  <c r="I902" i="19" s="1"/>
  <c r="I903" i="19" a="1"/>
  <c r="I903" i="19" s="1"/>
  <c r="I905" i="19" a="1"/>
  <c r="I905" i="19" s="1"/>
  <c r="I906" i="19" a="1"/>
  <c r="I906" i="19" s="1"/>
  <c r="I907" i="19" a="1"/>
  <c r="I907" i="19" s="1"/>
  <c r="I908" i="19" a="1"/>
  <c r="I908" i="19" s="1"/>
  <c r="I909" i="19" a="1"/>
  <c r="I909" i="19" s="1"/>
  <c r="I910" i="19" a="1"/>
  <c r="I910" i="19" s="1"/>
  <c r="I911" i="19" a="1"/>
  <c r="I911" i="19" s="1"/>
  <c r="I912" i="19" a="1"/>
  <c r="I912" i="19" s="1"/>
  <c r="I913" i="19" a="1"/>
  <c r="I913" i="19" s="1"/>
  <c r="I914" i="19" a="1"/>
  <c r="I914" i="19" s="1"/>
  <c r="I916" i="19" a="1"/>
  <c r="I916" i="19" s="1"/>
  <c r="I918" i="19" a="1"/>
  <c r="I918" i="19" s="1"/>
  <c r="I919" i="19" a="1"/>
  <c r="I919" i="19" s="1"/>
  <c r="I920" i="19" a="1"/>
  <c r="I920" i="19" s="1"/>
  <c r="I921" i="19" a="1"/>
  <c r="I921" i="19" s="1"/>
  <c r="I922" i="19" a="1"/>
  <c r="I922" i="19" s="1"/>
  <c r="I923" i="19" a="1"/>
  <c r="I923" i="19" s="1"/>
  <c r="I13" i="19" a="1"/>
  <c r="I13" i="19" s="1"/>
  <c r="I5" i="19" a="1"/>
  <c r="I5" i="19" s="1"/>
  <c r="I15" i="19" a="1"/>
  <c r="I15" i="19" s="1"/>
  <c r="I22" i="19" a="1"/>
  <c r="I22" i="19" s="1"/>
  <c r="I24" i="19" a="1"/>
  <c r="I24" i="19" s="1"/>
  <c r="I264" i="19" a="1"/>
  <c r="I264" i="19" s="1"/>
  <c r="I282" i="19" a="1"/>
  <c r="I282" i="19" s="1"/>
  <c r="I307" i="19" a="1"/>
  <c r="I307" i="19" s="1"/>
  <c r="I317" i="19" a="1"/>
  <c r="I317" i="19" s="1"/>
  <c r="I312" i="19" a="1"/>
  <c r="I312" i="19" s="1"/>
  <c r="I400" i="19" a="1"/>
  <c r="I400" i="19" s="1"/>
  <c r="I408" i="19" a="1"/>
  <c r="I408" i="19" s="1"/>
  <c r="I421" i="19" a="1"/>
  <c r="I421" i="19" s="1"/>
  <c r="I422" i="19" a="1"/>
  <c r="I422" i="19" s="1"/>
  <c r="I415" i="19" a="1"/>
  <c r="I415" i="19" s="1"/>
  <c r="I416" i="19" a="1"/>
  <c r="I416" i="19" s="1"/>
  <c r="I424" i="19" a="1"/>
  <c r="I424" i="19" s="1"/>
  <c r="I427" i="19" a="1"/>
  <c r="I427" i="19" s="1"/>
  <c r="I473" i="19" a="1"/>
  <c r="I473" i="19" s="1"/>
  <c r="I483" i="19" a="1"/>
  <c r="I483" i="19" s="1"/>
  <c r="I676" i="19" a="1"/>
  <c r="I676" i="19" s="1"/>
  <c r="I169" i="19" a="1"/>
  <c r="I169" i="19" s="1"/>
  <c r="I81" i="19" a="1"/>
  <c r="I81" i="19" s="1"/>
  <c r="I68" i="19" a="1"/>
  <c r="I68" i="19" s="1"/>
  <c r="I512" i="19" a="1"/>
  <c r="I512" i="19" s="1"/>
  <c r="I106" i="19" a="1"/>
  <c r="I106" i="19" s="1"/>
  <c r="I702" i="19" a="1"/>
  <c r="I702" i="19" s="1"/>
  <c r="I196" i="19" a="1"/>
  <c r="I196" i="19" s="1"/>
  <c r="I215" i="19" a="1"/>
  <c r="I215" i="19" s="1"/>
  <c r="I616" i="19" a="1"/>
  <c r="I616" i="19" s="1"/>
  <c r="I634" i="19" a="1"/>
  <c r="I634" i="19" s="1"/>
  <c r="I513" i="19" a="1"/>
  <c r="I513" i="19" s="1"/>
  <c r="I562" i="19" a="1"/>
  <c r="I562" i="19" s="1"/>
  <c r="I198" i="19" a="1"/>
  <c r="I198" i="19" s="1"/>
  <c r="I797" i="19" a="1"/>
  <c r="I797" i="19" s="1"/>
  <c r="I51" i="19" a="1"/>
  <c r="I51" i="19" s="1"/>
  <c r="I570" i="19" a="1"/>
  <c r="I570" i="19" s="1"/>
  <c r="I730" i="19" a="1"/>
  <c r="I730" i="19" s="1"/>
  <c r="I591" i="19" a="1"/>
  <c r="I591" i="19" s="1"/>
  <c r="I75" i="19" a="1"/>
  <c r="I75" i="19" s="1"/>
  <c r="I202" i="19" a="1"/>
  <c r="I202" i="19" s="1"/>
  <c r="I85" i="19" a="1"/>
  <c r="I85" i="19" s="1"/>
  <c r="I66" i="19" a="1"/>
  <c r="I66" i="19" s="1"/>
  <c r="I571" i="19" a="1"/>
  <c r="I571" i="19" s="1"/>
  <c r="I771" i="19" a="1"/>
  <c r="I771" i="19" s="1"/>
  <c r="I615" i="19" a="1"/>
  <c r="I615" i="19" s="1"/>
  <c r="I123" i="19" a="1"/>
  <c r="I123" i="19" s="1"/>
  <c r="I652" i="19" a="1"/>
  <c r="I652" i="19" s="1"/>
  <c r="I222" i="19" a="1"/>
  <c r="I222" i="19" s="1"/>
  <c r="I168" i="19" a="1"/>
  <c r="I168" i="19" s="1"/>
  <c r="I86" i="19" a="1"/>
  <c r="I86" i="19" s="1"/>
  <c r="I252" i="19" a="1"/>
  <c r="I252" i="19" s="1"/>
  <c r="I115" i="19" a="1"/>
  <c r="I115" i="19" s="1"/>
  <c r="I124" i="19" a="1"/>
  <c r="I124" i="19" s="1"/>
  <c r="I250" i="19" a="1"/>
  <c r="I250" i="19" s="1"/>
  <c r="I847" i="19" a="1"/>
  <c r="I847" i="19" s="1"/>
  <c r="C15" i="5" l="1"/>
  <c r="C6" i="5"/>
  <c r="C39" i="5"/>
  <c r="C34" i="5"/>
  <c r="C42" i="5"/>
  <c r="C3" i="5"/>
  <c r="C37" i="5"/>
  <c r="C4" i="5"/>
  <c r="C46" i="5" l="1"/>
  <c r="C32" i="5"/>
  <c r="C29" i="5" l="1"/>
  <c r="C41" i="5"/>
  <c r="C10" i="5"/>
  <c r="C35" i="5"/>
  <c r="C47" i="5"/>
  <c r="C7" i="5"/>
  <c r="C24" i="5"/>
  <c r="C2" i="5"/>
  <c r="C12" i="5"/>
  <c r="C27" i="5"/>
  <c r="C49" i="5"/>
  <c r="C30" i="5"/>
  <c r="C38" i="5"/>
  <c r="C48" i="5"/>
  <c r="C8" i="5"/>
  <c r="C17" i="5"/>
  <c r="C18" i="5"/>
  <c r="C45" i="5"/>
  <c r="C33" i="5"/>
  <c r="C26" i="5"/>
  <c r="C23" i="5"/>
  <c r="C5" i="5"/>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<sst xmlns="http://schemas.openxmlformats.org/spreadsheetml/2006/main" count="28500" uniqueCount="6486">
  <si>
    <t>IP1 5NW</t>
  </si>
  <si>
    <t>Ipswich</t>
  </si>
  <si>
    <t>Greene King</t>
  </si>
  <si>
    <t>Brewers Arms</t>
  </si>
  <si>
    <t>IP1 3NS</t>
  </si>
  <si>
    <t>L&amp;T</t>
  </si>
  <si>
    <t>IP1 5DN</t>
  </si>
  <si>
    <t>Stonegate</t>
  </si>
  <si>
    <t>Stella Artois</t>
  </si>
  <si>
    <t>Swan Inn</t>
  </si>
  <si>
    <t>IP6 9AJ</t>
  </si>
  <si>
    <t>IP6 9EH</t>
  </si>
  <si>
    <t>CO3 4RG</t>
  </si>
  <si>
    <t>Colchester</t>
  </si>
  <si>
    <t>CO2 9EG</t>
  </si>
  <si>
    <t>CO1 2AS</t>
  </si>
  <si>
    <t>CO2 8JB</t>
  </si>
  <si>
    <t>Rose &amp; Crown Hotel</t>
  </si>
  <si>
    <t>CO1 2TZ</t>
  </si>
  <si>
    <t>ilza</t>
  </si>
  <si>
    <t>ilze.iriste@rose-and-crown.com</t>
  </si>
  <si>
    <t>CMBC</t>
  </si>
  <si>
    <t>ealza. is bar manager and wedding manager... walked in whilst a bride was walking down the isle.... lots of crying. reception says she's super easy going and likely to chat, sending email off cmbc list. 
couldn't see bar as wedding, tbd</t>
  </si>
  <si>
    <t>CO10 9JL</t>
  </si>
  <si>
    <t>Becks</t>
  </si>
  <si>
    <t>Swan</t>
  </si>
  <si>
    <t>CO10 9JQ</t>
  </si>
  <si>
    <t>CO10 9DF</t>
  </si>
  <si>
    <t>nik and kate</t>
  </si>
  <si>
    <t>Greyhound (Lavenham)</t>
  </si>
  <si>
    <t>CO10 9PZ</t>
  </si>
  <si>
    <t>sally</t>
  </si>
  <si>
    <t>info@greyhoundlavenham.co.uk</t>
  </si>
  <si>
    <t>Sally in tomorrow,  (Keighley?) tender shared email to book in. slammed for mid day and good vibes. ops for fruit cider swap to stella or hells.</t>
  </si>
  <si>
    <t>Swan Hotel Lavenham</t>
  </si>
  <si>
    <t>CO10 9QA</t>
  </si>
  <si>
    <t>james sanders gm- gillian bar mngr dm</t>
  </si>
  <si>
    <t>gillian.murgia@theswanatlavenham.co.uk</t>
  </si>
  <si>
    <t>freddy, very quiet shy youngster behind the bar. doesn't know much of the trading vibe but passed on email for mngr and sending email. has a x3 joints, others are restraunt and spa. tbd on ops</t>
  </si>
  <si>
    <t>Cock Horse</t>
  </si>
  <si>
    <t>CO10 9SA</t>
  </si>
  <si>
    <t>kev and becca</t>
  </si>
  <si>
    <t>info@thecockhorse.co.uk</t>
  </si>
  <si>
    <t>Plough</t>
  </si>
  <si>
    <t>NR32 5AN</t>
  </si>
  <si>
    <t>Suffolk</t>
  </si>
  <si>
    <t>dan ll a nd Dawn tender</t>
  </si>
  <si>
    <t>info@ploughinn-blundeston.co.uk</t>
  </si>
  <si>
    <t>Parkhill Hotel</t>
  </si>
  <si>
    <t>NR32 5DQ</t>
  </si>
  <si>
    <t>Lowestoft</t>
  </si>
  <si>
    <t>Ruth pwmer (noel daughters wife and bar manager)</t>
  </si>
  <si>
    <t>mail@parkhillhotel.co.uk</t>
  </si>
  <si>
    <t>Golfers Arms</t>
  </si>
  <si>
    <t>NR30 4LU</t>
  </si>
  <si>
    <t>Norfolk</t>
  </si>
  <si>
    <t>chris</t>
  </si>
  <si>
    <t>NR30 2AJ</t>
  </si>
  <si>
    <t>NR30 2HZ</t>
  </si>
  <si>
    <t>Wick Lodge</t>
  </si>
  <si>
    <t>CO16 8BG</t>
  </si>
  <si>
    <t>thewicklodge@gmail.com</t>
  </si>
  <si>
    <t>met owners daughter, passed on Danny's email. only in weekends and said she would hound him for a meet. she's unsure if still cmbc supplied, but doesn't want tnt clientel.</t>
  </si>
  <si>
    <t>San Miguel</t>
  </si>
  <si>
    <t>Warwick Arms</t>
  </si>
  <si>
    <t>CO15 1NJ</t>
  </si>
  <si>
    <t>CO15 3AX</t>
  </si>
  <si>
    <t>CO15 5UH</t>
  </si>
  <si>
    <t>CO16 9LQ</t>
  </si>
  <si>
    <t>Chilton Fields Sports Club</t>
  </si>
  <si>
    <t>IP14 1SZ</t>
  </si>
  <si>
    <t>IP14 3BX</t>
  </si>
  <si>
    <t>IP14 5AG</t>
  </si>
  <si>
    <t>Stowmarket</t>
  </si>
  <si>
    <t>Magpie</t>
  </si>
  <si>
    <t>IP14 2AP</t>
  </si>
  <si>
    <t>Lion</t>
  </si>
  <si>
    <t>Unthank Arms</t>
  </si>
  <si>
    <t>NR2 2DR</t>
  </si>
  <si>
    <t>NR2 2AT</t>
  </si>
  <si>
    <t>Nelson</t>
  </si>
  <si>
    <t>NR2 4DR</t>
  </si>
  <si>
    <t>Corona Extra</t>
  </si>
  <si>
    <t>Gibraltar Gardens</t>
  </si>
  <si>
    <t>NR2 4LZ</t>
  </si>
  <si>
    <t>Cottage</t>
  </si>
  <si>
    <t>NR7 0JD</t>
  </si>
  <si>
    <t>ian</t>
  </si>
  <si>
    <t>Woodside Snooker Centre</t>
  </si>
  <si>
    <t>High Street</t>
  </si>
  <si>
    <t>Woodbridge</t>
  </si>
  <si>
    <t>The Street</t>
  </si>
  <si>
    <t>NR25 6AD</t>
  </si>
  <si>
    <t>NR25 6NX</t>
  </si>
  <si>
    <t>Bud Light</t>
  </si>
  <si>
    <t>NR23 1AE</t>
  </si>
  <si>
    <t>Crown Hotel</t>
  </si>
  <si>
    <t>NR23 1EX</t>
  </si>
  <si>
    <t>IP31 1SW</t>
  </si>
  <si>
    <t>IP33 1BJ</t>
  </si>
  <si>
    <t>Bury St Edmunds</t>
  </si>
  <si>
    <t>tom</t>
  </si>
  <si>
    <t>Gordon</t>
  </si>
  <si>
    <t>London Road</t>
  </si>
  <si>
    <t>Beccles</t>
  </si>
  <si>
    <t>david</t>
  </si>
  <si>
    <t>NR34 9AP</t>
  </si>
  <si>
    <t>NR19 1JW</t>
  </si>
  <si>
    <t>NR19 1DZ</t>
  </si>
  <si>
    <t>PE32 1PA</t>
  </si>
  <si>
    <t>PE32 2AE</t>
  </si>
  <si>
    <t>Ye Old Swan</t>
  </si>
  <si>
    <t>CO7 0AE</t>
  </si>
  <si>
    <t>Kings Head</t>
  </si>
  <si>
    <t>CO7 0HT</t>
  </si>
  <si>
    <t>CO7 0BX</t>
  </si>
  <si>
    <t>julie ll and maddie tender</t>
  </si>
  <si>
    <t>CO7 0AZ</t>
  </si>
  <si>
    <t>CO14 8AP</t>
  </si>
  <si>
    <t>CO14 8PA</t>
  </si>
  <si>
    <t>CO14 8AR</t>
  </si>
  <si>
    <t>Queens Head Hotel</t>
  </si>
  <si>
    <t>CO14 8AD</t>
  </si>
  <si>
    <t>Bell</t>
  </si>
  <si>
    <t>NR33 8JR</t>
  </si>
  <si>
    <t>moss and co</t>
  </si>
  <si>
    <t>Old Red House</t>
  </si>
  <si>
    <t>NR33 8JP</t>
  </si>
  <si>
    <t>Royal George</t>
  </si>
  <si>
    <t>IP31 1DD</t>
  </si>
  <si>
    <t>bob and nick</t>
  </si>
  <si>
    <t>IP16 4PY</t>
  </si>
  <si>
    <t>Station Road</t>
  </si>
  <si>
    <t>IP16 4HD</t>
  </si>
  <si>
    <t>Leiston</t>
  </si>
  <si>
    <t>IP17 1NP</t>
  </si>
  <si>
    <t>IP31 2BX</t>
  </si>
  <si>
    <t>IP31 2BP</t>
  </si>
  <si>
    <t>Dun Cow</t>
  </si>
  <si>
    <t>IP31 1AA</t>
  </si>
  <si>
    <t>IP31 1AB</t>
  </si>
  <si>
    <t>IP4 5NJ</t>
  </si>
  <si>
    <t>St Johns Conservative Club</t>
  </si>
  <si>
    <t>IP4 4PT</t>
  </si>
  <si>
    <t>Three Tuns</t>
  </si>
  <si>
    <t>IP6 8AA</t>
  </si>
  <si>
    <t>Camden Hells</t>
  </si>
  <si>
    <t>IP6 8DQ</t>
  </si>
  <si>
    <t>IP12 1BX</t>
  </si>
  <si>
    <t>Royal British Legion Club</t>
  </si>
  <si>
    <t>IP12 1AH</t>
  </si>
  <si>
    <t>Red Lion</t>
  </si>
  <si>
    <t>IP12 1AL</t>
  </si>
  <si>
    <t>Great Yarmouth</t>
  </si>
  <si>
    <t>NR30 2BG</t>
  </si>
  <si>
    <t>NR30 1LY</t>
  </si>
  <si>
    <t>Maltsters</t>
  </si>
  <si>
    <t>NR13 6AB</t>
  </si>
  <si>
    <t>Hand In Hand</t>
  </si>
  <si>
    <t>IP11 0RL</t>
  </si>
  <si>
    <t>IP11 7DX</t>
  </si>
  <si>
    <t>Felixstowe</t>
  </si>
  <si>
    <t>IP11 9RZ</t>
  </si>
  <si>
    <t>NR27 9HG</t>
  </si>
  <si>
    <t>Holt</t>
  </si>
  <si>
    <t>NR27 0JH</t>
  </si>
  <si>
    <t>NR11 8BN</t>
  </si>
  <si>
    <t>Four Horseshoes (Thornham Magna)</t>
  </si>
  <si>
    <t>IP23 8HD</t>
  </si>
  <si>
    <t>IP6 0PG</t>
  </si>
  <si>
    <t>Bell Inn</t>
  </si>
  <si>
    <t>IP7 6DY</t>
  </si>
  <si>
    <t>NR33 9JT</t>
  </si>
  <si>
    <t>NR33 0QG</t>
  </si>
  <si>
    <t>NR33 0BY</t>
  </si>
  <si>
    <t>Fox</t>
  </si>
  <si>
    <t>Castle</t>
  </si>
  <si>
    <t>IP13 9BP</t>
  </si>
  <si>
    <t>IP13 9AP</t>
  </si>
  <si>
    <t>IP12 2PF</t>
  </si>
  <si>
    <t>CO10 2EB</t>
  </si>
  <si>
    <t>CO10 1RF</t>
  </si>
  <si>
    <t>Horse &amp; Groom</t>
  </si>
  <si>
    <t>CO10 2TU</t>
  </si>
  <si>
    <t>CO10 1RE</t>
  </si>
  <si>
    <t>NR19 1AH</t>
  </si>
  <si>
    <t>NR19 1TE</t>
  </si>
  <si>
    <t>Dereham</t>
  </si>
  <si>
    <t>NR19 2DS</t>
  </si>
  <si>
    <t>NR19 1BX</t>
  </si>
  <si>
    <t>NR19 2EW</t>
  </si>
  <si>
    <t>NR14 6EZ</t>
  </si>
  <si>
    <t>White Horse</t>
  </si>
  <si>
    <t>NR14 6ND</t>
  </si>
  <si>
    <t>NR13 3HA</t>
  </si>
  <si>
    <t>IP14 1NE</t>
  </si>
  <si>
    <t>IP31 3LP</t>
  </si>
  <si>
    <t>IP30 9HD</t>
  </si>
  <si>
    <t>Bull</t>
  </si>
  <si>
    <t>IP30 9SA</t>
  </si>
  <si>
    <t>Gardeners Arms</t>
  </si>
  <si>
    <t>IP30 9PA</t>
  </si>
  <si>
    <t>IP30 9LH</t>
  </si>
  <si>
    <t>Fox &amp; Hounds</t>
  </si>
  <si>
    <t>IP31 3QT</t>
  </si>
  <si>
    <t>Andy</t>
  </si>
  <si>
    <t>CO4 5YX</t>
  </si>
  <si>
    <t>CO1 1QX</t>
  </si>
  <si>
    <t>CO5 9AA</t>
  </si>
  <si>
    <t>Angel</t>
  </si>
  <si>
    <t>CO5 9AN</t>
  </si>
  <si>
    <t>CO5</t>
  </si>
  <si>
    <t>NR29 4NW</t>
  </si>
  <si>
    <t>NR29 4LT</t>
  </si>
  <si>
    <t>contact</t>
  </si>
  <si>
    <t>NR13 3AT</t>
  </si>
  <si>
    <t>Kings Head Acle</t>
  </si>
  <si>
    <t>NR13 3DY</t>
  </si>
  <si>
    <t>pub@thekingsheadacle.co.uk</t>
  </si>
  <si>
    <t>IP2 0ER</t>
  </si>
  <si>
    <t>Railway</t>
  </si>
  <si>
    <t>IP24 1AH</t>
  </si>
  <si>
    <t>Albion</t>
  </si>
  <si>
    <t>IP24 2DN</t>
  </si>
  <si>
    <t>IP24 2AA</t>
  </si>
  <si>
    <t>Black Horse</t>
  </si>
  <si>
    <t>IP24 2BP</t>
  </si>
  <si>
    <t>Thetford</t>
  </si>
  <si>
    <t>Silk Road Lounge &amp; Cocktail Bar</t>
  </si>
  <si>
    <t>CO2 7DX</t>
  </si>
  <si>
    <t>CO1 1DN</t>
  </si>
  <si>
    <t>CO1 1UW</t>
  </si>
  <si>
    <t>Silver Oyster</t>
  </si>
  <si>
    <t>CO2 8LY</t>
  </si>
  <si>
    <t>CO7 7DJ</t>
  </si>
  <si>
    <t>IP4 4ET</t>
  </si>
  <si>
    <t>Golden Hind</t>
  </si>
  <si>
    <t>IP3 9NF</t>
  </si>
  <si>
    <t>IP3 0PQ</t>
  </si>
  <si>
    <t>County</t>
  </si>
  <si>
    <t>IP4 1HH</t>
  </si>
  <si>
    <t>IP1 1EG</t>
  </si>
  <si>
    <t>Moreton Hall Community Association &amp; Club</t>
  </si>
  <si>
    <t>IP32 7EE</t>
  </si>
  <si>
    <t>NR2 1DS</t>
  </si>
  <si>
    <t>drawingrooms@i2ihospitality.co.uk</t>
  </si>
  <si>
    <t>NR4 6LA</t>
  </si>
  <si>
    <t>danny ops mngr, Mia am</t>
  </si>
  <si>
    <t>oaktree@stoutandstoneinns.co.uk</t>
  </si>
  <si>
    <t>NR4 7EH</t>
  </si>
  <si>
    <t>NR5 8AZ</t>
  </si>
  <si>
    <t>Windmill</t>
  </si>
  <si>
    <t>NR3 2RE</t>
  </si>
  <si>
    <t>NR7 0HH</t>
  </si>
  <si>
    <t>distinct group</t>
  </si>
  <si>
    <t>Norwich</t>
  </si>
  <si>
    <t>IP3 8AB</t>
  </si>
  <si>
    <t>Coach &amp; Horses</t>
  </si>
  <si>
    <t>IP12 1PD</t>
  </si>
  <si>
    <t>IP23 7ET</t>
  </si>
  <si>
    <t>kate</t>
  </si>
  <si>
    <t>Eye</t>
  </si>
  <si>
    <t>IP23 8AJ</t>
  </si>
  <si>
    <t>CO2 0HU</t>
  </si>
  <si>
    <t>CO2 0JH</t>
  </si>
  <si>
    <t>NR33 0JS</t>
  </si>
  <si>
    <t>adam mngr sarah am</t>
  </si>
  <si>
    <t>Flying Dutchman</t>
  </si>
  <si>
    <t>NR33 8QS</t>
  </si>
  <si>
    <t>NR33 9JY</t>
  </si>
  <si>
    <t>Village Maid</t>
  </si>
  <si>
    <t>NR32 5LP</t>
  </si>
  <si>
    <t>NR31 8PS</t>
  </si>
  <si>
    <t>The White Horse</t>
  </si>
  <si>
    <t>NR13 6BT</t>
  </si>
  <si>
    <t>large garden, events and music and food focused, removed peroni and madri for stella and san mig. ops for fruit cider. Mrs hood contact best for late afternoons. missing stella pint order, resending</t>
  </si>
  <si>
    <t>NR13 4AZ</t>
  </si>
  <si>
    <t>NR13 4LE</t>
  </si>
  <si>
    <t>New Inn</t>
  </si>
  <si>
    <t>NR12 8PF</t>
  </si>
  <si>
    <t>IP1 2EF</t>
  </si>
  <si>
    <t>NR18 0PH</t>
  </si>
  <si>
    <t>NR17 1AY</t>
  </si>
  <si>
    <t>Lacon Arms</t>
  </si>
  <si>
    <t>NR30 1QJ</t>
  </si>
  <si>
    <t>NR34 8RL</t>
  </si>
  <si>
    <t>amelia and eliza</t>
  </si>
  <si>
    <t>IP22 4BE</t>
  </si>
  <si>
    <t>IP4 4PG</t>
  </si>
  <si>
    <t>IP12 3DU</t>
  </si>
  <si>
    <t>NR17 2AS</t>
  </si>
  <si>
    <t>NR17 2AH</t>
  </si>
  <si>
    <t>IP22 4LB</t>
  </si>
  <si>
    <t>Diss</t>
  </si>
  <si>
    <t>IP13 8JR</t>
  </si>
  <si>
    <t>NR32 3LN</t>
  </si>
  <si>
    <t>NR33 0AE</t>
  </si>
  <si>
    <t>NR31 7AJ</t>
  </si>
  <si>
    <t>Queens Head</t>
  </si>
  <si>
    <t>IP23 7AB</t>
  </si>
  <si>
    <t>IP21 4DR</t>
  </si>
  <si>
    <t>CO10 2HX</t>
  </si>
  <si>
    <t>Prince Of Wales</t>
  </si>
  <si>
    <t>CO10 2AG</t>
  </si>
  <si>
    <t>CO8 5BS</t>
  </si>
  <si>
    <t>NR14 8RN</t>
  </si>
  <si>
    <t>NR4 7AB</t>
  </si>
  <si>
    <t>NR5 0EU</t>
  </si>
  <si>
    <t>NR3 1HF</t>
  </si>
  <si>
    <t>CO5 8SA</t>
  </si>
  <si>
    <t>CO5 8SE</t>
  </si>
  <si>
    <t>NR2 2DQ</t>
  </si>
  <si>
    <t>Brickmakers Arms</t>
  </si>
  <si>
    <t>IP4 5ND</t>
  </si>
  <si>
    <t>CO3 9TG</t>
  </si>
  <si>
    <t>Matt</t>
  </si>
  <si>
    <t>CO10 0QJ</t>
  </si>
  <si>
    <t>NR3 4DY</t>
  </si>
  <si>
    <t>Lollards Pit</t>
  </si>
  <si>
    <t>NR1 1SR</t>
  </si>
  <si>
    <t>NR3 1DD</t>
  </si>
  <si>
    <t>NR2 1NG</t>
  </si>
  <si>
    <t>CO16 8HA</t>
  </si>
  <si>
    <t>CO15 4DA</t>
  </si>
  <si>
    <t>CO15 2PJ</t>
  </si>
  <si>
    <t>Commodore</t>
  </si>
  <si>
    <t>NR32 3NF</t>
  </si>
  <si>
    <t>CO12 3DD</t>
  </si>
  <si>
    <t>CO4 9YQ</t>
  </si>
  <si>
    <t>NR7 0EQ</t>
  </si>
  <si>
    <t>CO16 8PA</t>
  </si>
  <si>
    <t>?</t>
  </si>
  <si>
    <t>IP25 7HD</t>
  </si>
  <si>
    <t>Thetford Golf Club</t>
  </si>
  <si>
    <t>IP24 3NE</t>
  </si>
  <si>
    <t>IP24 1NB</t>
  </si>
  <si>
    <t>NR20 4NY</t>
  </si>
  <si>
    <t>NR10 4AE</t>
  </si>
  <si>
    <t>Crown</t>
  </si>
  <si>
    <t>NR10 4EJ</t>
  </si>
  <si>
    <t>NR2 1DE</t>
  </si>
  <si>
    <t>IP24 3BX</t>
  </si>
  <si>
    <t>Ivy House Country Hotel - Function</t>
  </si>
  <si>
    <t>NR33 8HY</t>
  </si>
  <si>
    <t>NR2 1NR</t>
  </si>
  <si>
    <t>IP2 8AJ</t>
  </si>
  <si>
    <t>CO8 5AE</t>
  </si>
  <si>
    <t>IP16 4EW</t>
  </si>
  <si>
    <t>IP31 2HH</t>
  </si>
  <si>
    <t>NR7 8RY</t>
  </si>
  <si>
    <t>NR12 7BD</t>
  </si>
  <si>
    <t>Silver Fox Taverham</t>
  </si>
  <si>
    <t>NR8 6AD</t>
  </si>
  <si>
    <t>Nikki</t>
  </si>
  <si>
    <t>NR6 7NH</t>
  </si>
  <si>
    <t>NR6 7QA</t>
  </si>
  <si>
    <t>Cock</t>
  </si>
  <si>
    <t>IP8 4DT</t>
  </si>
  <si>
    <t>Belstead Arms</t>
  </si>
  <si>
    <t>IP2 9QU</t>
  </si>
  <si>
    <t>07707859243</t>
  </si>
  <si>
    <t>IP2 8PG</t>
  </si>
  <si>
    <t>nikki</t>
  </si>
  <si>
    <t>Station Hotel</t>
  </si>
  <si>
    <t>IP31 2HJ</t>
  </si>
  <si>
    <t>NR29 3LP</t>
  </si>
  <si>
    <t>NR29 3RP</t>
  </si>
  <si>
    <t>NR29 4PL</t>
  </si>
  <si>
    <t>NR29 4QT</t>
  </si>
  <si>
    <t>IP14 4AG</t>
  </si>
  <si>
    <t>NR11 8SJ</t>
  </si>
  <si>
    <t>Unknown</t>
  </si>
  <si>
    <t>Chequers</t>
  </si>
  <si>
    <t>CO6 1JS</t>
  </si>
  <si>
    <t>CO6 2PA</t>
  </si>
  <si>
    <t>Colne Valley Golf Club</t>
  </si>
  <si>
    <t>CO6 2LT</t>
  </si>
  <si>
    <t>CO6 1BZ</t>
  </si>
  <si>
    <t>IP3 8LB</t>
  </si>
  <si>
    <t>IP1 1TF</t>
  </si>
  <si>
    <t>Ship Inn</t>
  </si>
  <si>
    <t>CO15 4AR</t>
  </si>
  <si>
    <t>CO15 1QX</t>
  </si>
  <si>
    <t>Norkie</t>
  </si>
  <si>
    <t>NR5 9HA</t>
  </si>
  <si>
    <t>NR27 9QH</t>
  </si>
  <si>
    <t>NR31 6PG</t>
  </si>
  <si>
    <t>NR32 5HP</t>
  </si>
  <si>
    <t>IP14 1AH</t>
  </si>
  <si>
    <t>IP6 8AL</t>
  </si>
  <si>
    <t>IP20 9LG</t>
  </si>
  <si>
    <t>IP20 9AD</t>
  </si>
  <si>
    <t>beth owner, Ella mngr</t>
  </si>
  <si>
    <t>IP21 4NQ</t>
  </si>
  <si>
    <t>IP22 2ED</t>
  </si>
  <si>
    <t>IP30 9AB</t>
  </si>
  <si>
    <t>North Walsham</t>
  </si>
  <si>
    <t>NR28 9DA</t>
  </si>
  <si>
    <t>NR28 0RA</t>
  </si>
  <si>
    <t>NR19 2RD</t>
  </si>
  <si>
    <t>NR28 9JX</t>
  </si>
  <si>
    <t>NR28</t>
  </si>
  <si>
    <t>NR28 9BX</t>
  </si>
  <si>
    <t>emma</t>
  </si>
  <si>
    <t>IP31 3AH</t>
  </si>
  <si>
    <t>IP31 3DP</t>
  </si>
  <si>
    <t>IP31 2NX</t>
  </si>
  <si>
    <t>Blue Boar</t>
  </si>
  <si>
    <t>IP31 3AA</t>
  </si>
  <si>
    <t>NR12 7NJ</t>
  </si>
  <si>
    <t>Rising Sun</t>
  </si>
  <si>
    <t>NR12 7EA</t>
  </si>
  <si>
    <t>manager@risingsuncoltishall.co.uk</t>
  </si>
  <si>
    <t>California Tavern</t>
  </si>
  <si>
    <t>NR30 5JL</t>
  </si>
  <si>
    <t>NR30 5HH</t>
  </si>
  <si>
    <t>CO1 1PX</t>
  </si>
  <si>
    <t>CO1 1NX</t>
  </si>
  <si>
    <t>Royal Oak</t>
  </si>
  <si>
    <t>CO7 6XA</t>
  </si>
  <si>
    <t>George &amp; Dragon (Long Melford)</t>
  </si>
  <si>
    <t>CO10 9JA</t>
  </si>
  <si>
    <t>NR3 4PB</t>
  </si>
  <si>
    <t>NR1 3SP</t>
  </si>
  <si>
    <t>IP24 2AJ</t>
  </si>
  <si>
    <t>Norwich Road</t>
  </si>
  <si>
    <t>NR9 3DL</t>
  </si>
  <si>
    <t>NR9 3DD</t>
  </si>
  <si>
    <t>White Hart</t>
  </si>
  <si>
    <t>NR18 0AJ</t>
  </si>
  <si>
    <t>NR16 2AD</t>
  </si>
  <si>
    <t>NR16 2NA</t>
  </si>
  <si>
    <t>CO15 5UT</t>
  </si>
  <si>
    <t>NR14 8ST</t>
  </si>
  <si>
    <t>NR1 1LT</t>
  </si>
  <si>
    <t>Aylsham Ex Servicemens Social Club</t>
  </si>
  <si>
    <t>NR11 6AA</t>
  </si>
  <si>
    <t>NR11 6EH</t>
  </si>
  <si>
    <t>Sudbury</t>
  </si>
  <si>
    <t>CO10 2EA</t>
  </si>
  <si>
    <t>Mahou</t>
  </si>
  <si>
    <t>NR27 9NX</t>
  </si>
  <si>
    <t>NR27 9ES</t>
  </si>
  <si>
    <t>NR19 2DJ</t>
  </si>
  <si>
    <t>Halberd Inn</t>
  </si>
  <si>
    <t>IP1 3BY</t>
  </si>
  <si>
    <t>IP1 3HD</t>
  </si>
  <si>
    <t>IP4 1AD</t>
  </si>
  <si>
    <t>CO1</t>
  </si>
  <si>
    <t>CO1 2JQ</t>
  </si>
  <si>
    <t>CO9 1LL</t>
  </si>
  <si>
    <t>CO9 2AP</t>
  </si>
  <si>
    <t>CO6 2NG</t>
  </si>
  <si>
    <t>NR7 0DR</t>
  </si>
  <si>
    <t>NR13 5LP</t>
  </si>
  <si>
    <t>NR34 9PL</t>
  </si>
  <si>
    <t>NR35 1AX</t>
  </si>
  <si>
    <t>NR35 1NZ</t>
  </si>
  <si>
    <t>Black Swan</t>
  </si>
  <si>
    <t>IP20 0ET</t>
  </si>
  <si>
    <t>NR12 8RX</t>
  </si>
  <si>
    <t>outlet_name</t>
  </si>
  <si>
    <t>street_address</t>
  </si>
  <si>
    <t>town</t>
  </si>
  <si>
    <t>postcode_outward</t>
  </si>
  <si>
    <t>Hare Inn Long Melford</t>
  </si>
  <si>
    <t>CO10</t>
  </si>
  <si>
    <t>Yachtsmans Arms</t>
  </si>
  <si>
    <t>CO7</t>
  </si>
  <si>
    <t>CO3</t>
  </si>
  <si>
    <t>RTM</t>
  </si>
  <si>
    <t>RM</t>
  </si>
  <si>
    <t>GK L&amp;T</t>
  </si>
  <si>
    <t>CO10 0JE</t>
  </si>
  <si>
    <t>CO11 1AH</t>
  </si>
  <si>
    <t>GK IFT</t>
  </si>
  <si>
    <t>Pearson</t>
  </si>
  <si>
    <t>Brand in</t>
  </si>
  <si>
    <t>Notes</t>
  </si>
  <si>
    <t>Alma</t>
  </si>
  <si>
    <t>Landlords</t>
  </si>
  <si>
    <t>Group?</t>
  </si>
  <si>
    <t>y</t>
  </si>
  <si>
    <t>Cricketers</t>
  </si>
  <si>
    <t>Stella</t>
  </si>
  <si>
    <t xml:space="preserve">Crown </t>
  </si>
  <si>
    <t>Stella likely, works at alma. Rm push promised</t>
  </si>
  <si>
    <t>Natalie &amp; Phil?</t>
  </si>
  <si>
    <t>stella best fit. well up for switcheroo to try things. peroni bigg3st cost but sells well amd only pub in town with it. no Stella ops, feels her older clientel have the wife beater stuck in theor head, and is all over town.
madri does a hit and miss and is up for san mig, wants rm to quote her and likely will move forward.
hells and kop ops for summer. small cellar, no extra tap, would replace aspall and peroni if dips (hasn't seen a rep in ages)</t>
  </si>
  <si>
    <t>Sam</t>
  </si>
  <si>
    <t>rose is kates sister. - either can be dm. tori tender checked upstairs but kate is out. haven't changed up the bar since I was here this time LY. emailing. Peroni ops</t>
  </si>
  <si>
    <t>BDM TODO</t>
  </si>
  <si>
    <t>Gary and Ashley</t>
  </si>
  <si>
    <t>wants rid of icebreaker and will swap anything for a bribe (wants a canopy for outside at min covered with parasols) bud is great for him amd better than Foster, target proud of his 0 offerings and adding huk 0 if I don't do my job well lol research beers at other pubs as want to be different and thinks weavers has camden (they dont) . fu meeting next week pre opwning</t>
  </si>
  <si>
    <t xml:space="preserve">Lifeboat </t>
  </si>
  <si>
    <t>NR12 0AL</t>
  </si>
  <si>
    <t>Galpin</t>
  </si>
  <si>
    <t>customer lvm with landline, tried twice lvm no resposne. Has SM</t>
  </si>
  <si>
    <t>Admiral</t>
  </si>
  <si>
    <t>white horse</t>
  </si>
  <si>
    <t>zipcode</t>
  </si>
  <si>
    <t>golden star</t>
  </si>
  <si>
    <t>nr3 1dd</t>
  </si>
  <si>
    <t>Jarvis</t>
  </si>
  <si>
    <t>Leva</t>
  </si>
  <si>
    <t>leva - leva to wahts app me a good date for next week , as on holiday this.
call to confirm visit next Thursday after 5 . Stella best fit - but says no? happy for a chat but more kop btl and 0%... Push camden light ops (data lead)</t>
  </si>
  <si>
    <t>norfolk terrier</t>
  </si>
  <si>
    <t>IP24 1TA</t>
  </si>
  <si>
    <t>Tish</t>
  </si>
  <si>
    <t>HIVE TO LEASED IN FEB</t>
  </si>
  <si>
    <t xml:space="preserve">Stella </t>
  </si>
  <si>
    <t>Rob</t>
  </si>
  <si>
    <t>Ric AM</t>
  </si>
  <si>
    <t>Debenn inns - with rob to email</t>
  </si>
  <si>
    <t>Danny</t>
  </si>
  <si>
    <t>function weeks- 32pints in one pod- uses 6-7 pods (estrella mainly).. 3 kegs a week outside of events.
noel is married to the daughter of the owners. from Pennsylvania. met her wife at Disney and moved here. 
she's happy for a meet to explore options. feels the carlsberg Dispense system is limited on choice to be able to switch up.
sanmig sold well but delisted on the Dispense system and estrella is much more ££...but volumes are the same. 
worried to remove Dispense system. as goes through little volumes and saves on wastage. but up to explore. will share with sdm and see ops, not likely to be of worth for gk tbd.
lots of packaged options and easier for them.</t>
  </si>
  <si>
    <t>has three other pubs: bell st olives the priory (seasonal pub)- opposite the bell. Wavley river center - towards Beccles  
alpaca newest, inches new ipo aspall. cruz and oil top vol, the cask.</t>
  </si>
  <si>
    <t>PROSPECT
IFT</t>
  </si>
  <si>
    <t>very sp site, not really tnt, bella pubs (previously not replyed via email/phone Bunbury arms ip33,  linden tree ip33- both (gk l&amp;t), and three kings inn -fornham all saints</t>
  </si>
  <si>
    <t>asked to fu ops in early november</t>
  </si>
  <si>
    <t>TINA</t>
  </si>
  <si>
    <t>Tina on hols until sept 27, one carling drinker, has x3 coor to attack dupes, neckoil does well but ££, no tnt but ops as just too costly</t>
  </si>
  <si>
    <t>NR14</t>
  </si>
  <si>
    <t>IP30</t>
  </si>
  <si>
    <t>Cromer</t>
  </si>
  <si>
    <t>NR27</t>
  </si>
  <si>
    <t>Hall Street</t>
  </si>
  <si>
    <t>NR31</t>
  </si>
  <si>
    <t>Pointer Inn</t>
  </si>
  <si>
    <t>Wivenhoe Road</t>
  </si>
  <si>
    <t>NR16</t>
  </si>
  <si>
    <t>IP33</t>
  </si>
  <si>
    <t>IP21</t>
  </si>
  <si>
    <t>White Swan Halesworth</t>
  </si>
  <si>
    <t>Halesworth</t>
  </si>
  <si>
    <t>IP19</t>
  </si>
  <si>
    <t>NR30</t>
  </si>
  <si>
    <t>Salutation Inn</t>
  </si>
  <si>
    <t>65-67 Carr Street</t>
  </si>
  <si>
    <t>IP4</t>
  </si>
  <si>
    <t>IP16</t>
  </si>
  <si>
    <t>Halstead</t>
  </si>
  <si>
    <t>CO9</t>
  </si>
  <si>
    <t>The Street, Bodham</t>
  </si>
  <si>
    <t>NR25</t>
  </si>
  <si>
    <t>Glemsford</t>
  </si>
  <si>
    <t>NR11</t>
  </si>
  <si>
    <t>67 Shipdham Road</t>
  </si>
  <si>
    <t>NR19</t>
  </si>
  <si>
    <t>Greyhound</t>
  </si>
  <si>
    <t>The Green</t>
  </si>
  <si>
    <t>NR12</t>
  </si>
  <si>
    <t>122 Nelson Street</t>
  </si>
  <si>
    <t>NR2</t>
  </si>
  <si>
    <t>IP8</t>
  </si>
  <si>
    <t>162 King Street</t>
  </si>
  <si>
    <t>IP28</t>
  </si>
  <si>
    <t>Pickerel</t>
  </si>
  <si>
    <t>65 Stowupland Street</t>
  </si>
  <si>
    <t>IP14</t>
  </si>
  <si>
    <t>Woolpack</t>
  </si>
  <si>
    <t>1 Tuddenham Road</t>
  </si>
  <si>
    <t>8 Common Place</t>
  </si>
  <si>
    <t>Walsingham</t>
  </si>
  <si>
    <t>NR22</t>
  </si>
  <si>
    <t>Belle Vue</t>
  </si>
  <si>
    <t>46 St. Philips Road</t>
  </si>
  <si>
    <t>CO6</t>
  </si>
  <si>
    <t>NR33</t>
  </si>
  <si>
    <t>NR13</t>
  </si>
  <si>
    <t>CO13</t>
  </si>
  <si>
    <t>1 Leicester Street</t>
  </si>
  <si>
    <t>NR29</t>
  </si>
  <si>
    <t>NR32</t>
  </si>
  <si>
    <t>IP12</t>
  </si>
  <si>
    <t>NR9</t>
  </si>
  <si>
    <t>2 Valley Road</t>
  </si>
  <si>
    <t>CO15</t>
  </si>
  <si>
    <t>Black Swan Loke</t>
  </si>
  <si>
    <t>CO14</t>
  </si>
  <si>
    <t>Harleston</t>
  </si>
  <si>
    <t>IP20</t>
  </si>
  <si>
    <t>29 Market Street</t>
  </si>
  <si>
    <t>Wymondham</t>
  </si>
  <si>
    <t>NR18</t>
  </si>
  <si>
    <t>Stanley Arms</t>
  </si>
  <si>
    <t>33 Magdalen Road</t>
  </si>
  <si>
    <t>NR3</t>
  </si>
  <si>
    <t>23 Black Horse Lane</t>
  </si>
  <si>
    <t>IP1</t>
  </si>
  <si>
    <t>IP6</t>
  </si>
  <si>
    <t>Bull Hotel</t>
  </si>
  <si>
    <t>4 Crouch Street</t>
  </si>
  <si>
    <t>Old Mariner</t>
  </si>
  <si>
    <t>26 New Street</t>
  </si>
  <si>
    <t>50 Colman Road</t>
  </si>
  <si>
    <t>NR4</t>
  </si>
  <si>
    <t>7 Tombland</t>
  </si>
  <si>
    <t>75 Mount Street</t>
  </si>
  <si>
    <t>IP22</t>
  </si>
  <si>
    <t>2 Eaton Street</t>
  </si>
  <si>
    <t>17 Market Place</t>
  </si>
  <si>
    <t>Golden Fleece</t>
  </si>
  <si>
    <t>The Quay</t>
  </si>
  <si>
    <t>Wells-Next-The-Sea</t>
  </si>
  <si>
    <t>NR23</t>
  </si>
  <si>
    <t>IP24</t>
  </si>
  <si>
    <t>Three Swallows</t>
  </si>
  <si>
    <t>Newgate Green</t>
  </si>
  <si>
    <t>11 Old Market</t>
  </si>
  <si>
    <t>NR34</t>
  </si>
  <si>
    <t>Old Post Office Court</t>
  </si>
  <si>
    <t>NR5</t>
  </si>
  <si>
    <t>The Hill</t>
  </si>
  <si>
    <t>49 Pakefield Street</t>
  </si>
  <si>
    <t>IP11</t>
  </si>
  <si>
    <t>NR7</t>
  </si>
  <si>
    <t>15 High Street</t>
  </si>
  <si>
    <t>Hole In The Wall</t>
  </si>
  <si>
    <t>Balkerne Hill</t>
  </si>
  <si>
    <t>Attleborough</t>
  </si>
  <si>
    <t>NR17</t>
  </si>
  <si>
    <t>Walton on the Naze</t>
  </si>
  <si>
    <t>NR8</t>
  </si>
  <si>
    <t>IP29</t>
  </si>
  <si>
    <t>Bell Inn Kersey</t>
  </si>
  <si>
    <t>The Street Kersey</t>
  </si>
  <si>
    <t>IP7</t>
  </si>
  <si>
    <t>496 Sprowston Road</t>
  </si>
  <si>
    <t>Lattice Barn</t>
  </si>
  <si>
    <t>975 Woodbridge Road</t>
  </si>
  <si>
    <t>Ferry Inn &amp; Cafe</t>
  </si>
  <si>
    <t>The Ferry</t>
  </si>
  <si>
    <t>IP31</t>
  </si>
  <si>
    <t>NR15</t>
  </si>
  <si>
    <t>Fakenham</t>
  </si>
  <si>
    <t>NR21</t>
  </si>
  <si>
    <t>Kings Arms</t>
  </si>
  <si>
    <t>Harnser</t>
  </si>
  <si>
    <t>Cawston</t>
  </si>
  <si>
    <t>NR10</t>
  </si>
  <si>
    <t>Galloway</t>
  </si>
  <si>
    <t>mahou</t>
  </si>
  <si>
    <t>belle vue</t>
  </si>
  <si>
    <t>nr2 3bl</t>
  </si>
  <si>
    <t>golden thorpe group (and cellar house). Wants mahoue ipo madri (modelo and eazy also in talks as of dec. 1)</t>
  </si>
  <si>
    <t>ift</t>
  </si>
  <si>
    <t>reddit</t>
  </si>
  <si>
    <t>four horseshoes</t>
  </si>
  <si>
    <t>White Horse Upton</t>
  </si>
  <si>
    <t xml:space="preserve">Angel </t>
  </si>
  <si>
    <t>NR32 3DQ</t>
  </si>
  <si>
    <t>rob brown</t>
  </si>
  <si>
    <t>adam vass</t>
  </si>
  <si>
    <t>zip</t>
  </si>
  <si>
    <t>co14 8pz</t>
  </si>
  <si>
    <t>nr17 2as</t>
  </si>
  <si>
    <t>Group</t>
  </si>
  <si>
    <t>POC</t>
  </si>
  <si>
    <t>mngr/owner</t>
  </si>
  <si>
    <t>email</t>
  </si>
  <si>
    <t>phone</t>
  </si>
  <si>
    <t>cantley cock</t>
  </si>
  <si>
    <t>nr13 3jq</t>
  </si>
  <si>
    <t>hells in may, sm always</t>
  </si>
  <si>
    <t>hatfield</t>
  </si>
  <si>
    <t>nr33 0qg</t>
  </si>
  <si>
    <t>sm always - no hells</t>
  </si>
  <si>
    <t>kerrys</t>
  </si>
  <si>
    <t>nr2 4tl</t>
  </si>
  <si>
    <t>hells and sm in aprl</t>
  </si>
  <si>
    <t>butcher bhoy</t>
  </si>
  <si>
    <t>nr2 1at</t>
  </si>
  <si>
    <t>stag</t>
  </si>
  <si>
    <t>NR13 6RW</t>
  </si>
  <si>
    <t>sm in aprl - no hells</t>
  </si>
  <si>
    <t>oaklands</t>
  </si>
  <si>
    <t>hells in aprl and sm always</t>
  </si>
  <si>
    <t>sole and heel</t>
  </si>
  <si>
    <t>NR13 6QH</t>
  </si>
  <si>
    <t>hells in aprl and sm feb</t>
  </si>
  <si>
    <t>henham barns</t>
  </si>
  <si>
    <t>NR34 8AQ</t>
  </si>
  <si>
    <t>no bbg</t>
  </si>
  <si>
    <t xml:space="preserve">angel </t>
  </si>
  <si>
    <t>nr34 8rl</t>
  </si>
  <si>
    <t>san mig and stella on -(didn’t see stella on last, but on vols-missed?) carlsberg dip, ops for BL?</t>
  </si>
  <si>
    <t>bell</t>
  </si>
  <si>
    <t>nr33 8jr</t>
  </si>
  <si>
    <t>harley gm baily am</t>
  </si>
  <si>
    <t>sm on, and stella -(didn’t see stella on last, but on vols- missed?) replace with adnams</t>
  </si>
  <si>
    <t>harbour</t>
  </si>
  <si>
    <t>nr33 0ag</t>
  </si>
  <si>
    <t>stella and sm on</t>
  </si>
  <si>
    <t>jolly sailors</t>
  </si>
  <si>
    <t>nr33 0js</t>
  </si>
  <si>
    <t>adam mngr, sarah am</t>
  </si>
  <si>
    <t>SM and Stella on - Hells and BL on mobile</t>
  </si>
  <si>
    <t>broadlands</t>
  </si>
  <si>
    <t>abby mngr tina am</t>
  </si>
  <si>
    <t>sanmig and stella pouring -hells ops, packaged is good</t>
  </si>
  <si>
    <t>vilage maid</t>
  </si>
  <si>
    <t>rachel gm, kyle am</t>
  </si>
  <si>
    <t>Sm on, no stella but any ops?</t>
  </si>
  <si>
    <t>niki tender, em gm</t>
  </si>
  <si>
    <t>stella and sm on, stella was on churn watch, bobbie said ops for kop</t>
  </si>
  <si>
    <t>Tom mngr, bobbie ho</t>
  </si>
  <si>
    <t>Norwich Inns</t>
  </si>
  <si>
    <t>Alexandra Tavern</t>
  </si>
  <si>
    <t>NR2 3BB</t>
  </si>
  <si>
    <t>Craig McLaren CEO</t>
  </si>
  <si>
    <t>secretary@norwichinns.co.uk</t>
  </si>
  <si>
    <t>07799 530152
01603 627772</t>
  </si>
  <si>
    <t>https://www.norwichinns.com/
flag from sdm, working on propsoal</t>
  </si>
  <si>
    <t>Annesley House Hotel, Norwich</t>
  </si>
  <si>
    <t>nr2 2la</t>
  </si>
  <si>
    <t>Black Boys Hotel</t>
  </si>
  <si>
    <t>nr11 6eh</t>
  </si>
  <si>
    <t>01263 732122</t>
  </si>
  <si>
    <t>nr7 8rl</t>
  </si>
  <si>
    <t>Brick Kilns</t>
  </si>
  <si>
    <t>nr13 5jh</t>
  </si>
  <si>
    <t>(01603) 720043</t>
  </si>
  <si>
    <t>nr29 3qw</t>
  </si>
  <si>
    <t>01493 730340</t>
  </si>
  <si>
    <t>nr1 1ba</t>
  </si>
  <si>
    <t>Countryman</t>
  </si>
  <si>
    <t>nr15 1ns</t>
  </si>
  <si>
    <t>01508 470946</t>
  </si>
  <si>
    <t>Dales Hotel</t>
  </si>
  <si>
    <t>nr26 8tj</t>
  </si>
  <si>
    <t>01263 824555</t>
  </si>
  <si>
    <t>Dog Inn</t>
  </si>
  <si>
    <t>nr29 5ny</t>
  </si>
  <si>
    <t> 01692 631041</t>
  </si>
  <si>
    <t>Dolphin Club</t>
  </si>
  <si>
    <t>nr29 4jd</t>
  </si>
  <si>
    <t>Eaton Golf Club</t>
  </si>
  <si>
    <t>nr4 6sf</t>
  </si>
  <si>
    <t>01603 251395</t>
  </si>
  <si>
    <t>Furzedown Hotel</t>
  </si>
  <si>
    <t>NR30 4EN</t>
  </si>
  <si>
    <t>01493 844138</t>
  </si>
  <si>
    <t>George Hotel. Norwich</t>
  </si>
  <si>
    <t>NR2 2DA</t>
  </si>
  <si>
    <t>Glen Lodge Bawburgh Golf Club</t>
  </si>
  <si>
    <t>NR9 3LU</t>
  </si>
  <si>
    <t>NR30 1BG</t>
  </si>
  <si>
    <t>Kings Head Bawburgh</t>
  </si>
  <si>
    <t>NR9 3LS</t>
  </si>
  <si>
    <t>01603 744977</t>
  </si>
  <si>
    <t>Kings Head, Loddon</t>
  </si>
  <si>
    <t>01508 520330</t>
  </si>
  <si>
    <t>Kings Head. Ashwellthorpe</t>
  </si>
  <si>
    <t>01603 737426</t>
  </si>
  <si>
    <t>Links Hotel</t>
  </si>
  <si>
    <t>01263 838383</t>
  </si>
  <si>
    <t>Merlins</t>
  </si>
  <si>
    <t>NR30 2EJ</t>
  </si>
  <si>
    <t>Park Farm Hotel</t>
  </si>
  <si>
    <t>01603 810264</t>
  </si>
  <si>
    <t>Pier Hotel</t>
  </si>
  <si>
    <t>NR31 6PL</t>
  </si>
  <si>
    <t>01493 662631</t>
  </si>
  <si>
    <t>Pleasure Beach Inn</t>
  </si>
  <si>
    <t>NR30 3EH</t>
  </si>
  <si>
    <t>Prom Hotel</t>
  </si>
  <si>
    <t>NR30 2DH</t>
  </si>
  <si>
    <t>01493 842308</t>
  </si>
  <si>
    <t>NR9 3QB</t>
  </si>
  <si>
    <t>01603 810226</t>
  </si>
  <si>
    <t>Recruiting Sergeant</t>
  </si>
  <si>
    <t>NR12 7EE</t>
  </si>
  <si>
    <t>01603 737077</t>
  </si>
  <si>
    <t>is this not colchester inns????</t>
  </si>
  <si>
    <t>Red Lion, Eaton</t>
  </si>
  <si>
    <t>nR4 7LD</t>
  </si>
  <si>
    <t>Ribs of Beef Riverside Freehouse</t>
  </si>
  <si>
    <t>NR3 1HY</t>
  </si>
  <si>
    <t>01603 619517</t>
  </si>
  <si>
    <t>Richmond Park Golf Club</t>
  </si>
  <si>
    <t>IP25 6EA</t>
  </si>
  <si>
    <t>01953 881803</t>
  </si>
  <si>
    <t>Salhouse Lodge</t>
  </si>
  <si>
    <t>NR13 6HD</t>
  </si>
  <si>
    <t>01603 782828</t>
  </si>
  <si>
    <t>Seamarge Hotel</t>
  </si>
  <si>
    <t>NR27 0AB</t>
  </si>
  <si>
    <t>01263 579579</t>
  </si>
  <si>
    <t>Shoulder of Mutton</t>
  </si>
  <si>
    <t>NR13 4NT</t>
  </si>
  <si>
    <t> (01603) 926530</t>
  </si>
  <si>
    <t>Temple Bar</t>
  </si>
  <si>
    <t>NR2 2RA</t>
  </si>
  <si>
    <t>The 12 Lost Churches</t>
  </si>
  <si>
    <t>IP17 3DQ</t>
  </si>
  <si>
    <t>01728 648282</t>
  </si>
  <si>
    <t>The Buckinghamshire Arms</t>
  </si>
  <si>
    <t>NR11 6NF</t>
  </si>
  <si>
    <t>The Eagle PH</t>
  </si>
  <si>
    <t>NR2 2HN</t>
  </si>
  <si>
    <t>01603 624173</t>
  </si>
  <si>
    <t>The Hotel Victoria</t>
  </si>
  <si>
    <t>NR33 0BZ</t>
  </si>
  <si>
    <t>+44 (0) 1502 574433</t>
  </si>
  <si>
    <t>The Murderers</t>
  </si>
  <si>
    <t>NR1 3LB</t>
  </si>
  <si>
    <t>01603 621 447</t>
  </si>
  <si>
    <t>The Old Hall Hotel, Caister-On-Sea</t>
  </si>
  <si>
    <t>(0)1493 720400</t>
  </si>
  <si>
    <t>The Sandsgate</t>
  </si>
  <si>
    <t>NR29 4JE</t>
  </si>
  <si>
    <t>01493 730023</t>
  </si>
  <si>
    <t>Unthank Arms Restaurant and Bar</t>
  </si>
  <si>
    <t>01603 631557</t>
  </si>
  <si>
    <t>is this the cricketers??????</t>
  </si>
  <si>
    <t>Vernon Arms</t>
  </si>
  <si>
    <t>NR11 8NP</t>
  </si>
  <si>
    <t>01263 833355</t>
  </si>
  <si>
    <t>Waggon &amp; Horses</t>
  </si>
  <si>
    <t>IP25 6QD</t>
  </si>
  <si>
    <t>01953 883847</t>
  </si>
  <si>
    <t>NR2 3LD</t>
  </si>
  <si>
    <t>01603 627687</t>
  </si>
  <si>
    <t>Wellington Hotel</t>
  </si>
  <si>
    <t>NR27 9HN</t>
  </si>
  <si>
    <t>Whalebone Freehouse</t>
  </si>
  <si>
    <t>NR3 4BA</t>
  </si>
  <si>
    <t>01603 425482</t>
  </si>
  <si>
    <t>Whitwell &amp; Reepham Railway Complex</t>
  </si>
  <si>
    <t>NR10 4GA</t>
  </si>
  <si>
    <t>01603 871694</t>
  </si>
  <si>
    <t>Wig &amp; Pen</t>
  </si>
  <si>
    <t>NR3 1RN</t>
  </si>
  <si>
    <t>01603 625891</t>
  </si>
  <si>
    <t>William IV</t>
  </si>
  <si>
    <t>NR1 4AU</t>
  </si>
  <si>
    <t>01603 441526</t>
  </si>
  <si>
    <t>Stout and Stone Inns</t>
  </si>
  <si>
    <t xml:space="preserve">Oak Tree </t>
  </si>
  <si>
    <t>nr4 6la</t>
  </si>
  <si>
    <t>STONEGATE</t>
  </si>
  <si>
    <t>tel:01603362642</t>
  </si>
  <si>
    <t>outside of patch https://www.stoutandstoneinns.com/our-pubs</t>
  </si>
  <si>
    <t>Snug Inns</t>
  </si>
  <si>
    <t>White Lodge (Attleborough)</t>
  </si>
  <si>
    <t>Daniel Pratt OWNER -LUCY MNGR</t>
  </si>
  <si>
    <t>pub@thewhitelodgeattleborough.co.uk</t>
  </si>
  <si>
    <t>01953 528988</t>
  </si>
  <si>
    <t>Queens Head (Hethersett)</t>
  </si>
  <si>
    <t>Richard &amp; Michael - CHARLOTTE ON SITE</t>
  </si>
  <si>
    <t>pub@thequeensheadthurlton.co.uk</t>
  </si>
  <si>
    <t>01603 559 599</t>
  </si>
  <si>
    <t>PERHAPS RICHARD AND MICHAEL NO LONGER?</t>
  </si>
  <si>
    <t>The Kings Head - Acle Steakhouse</t>
  </si>
  <si>
    <t>NATALIE</t>
  </si>
  <si>
    <t>CORONA ON</t>
  </si>
  <si>
    <t>Woodman</t>
  </si>
  <si>
    <t>RYAN</t>
  </si>
  <si>
    <t>WAM?</t>
  </si>
  <si>
    <t>pub@thewoodmanoldcatton.co.uk</t>
  </si>
  <si>
    <t>NR12 9AD</t>
  </si>
  <si>
    <t>DARREN</t>
  </si>
  <si>
    <t>pub@thecrownsmallburgh.co.uk</t>
  </si>
  <si>
    <t>Freemasons Arms</t>
  </si>
  <si>
    <t>NR1 3HQ</t>
  </si>
  <si>
    <t>Charlotte</t>
  </si>
  <si>
    <t>pub@thefreemasonsarmsnorwich.co.uk</t>
  </si>
  <si>
    <t>Rose &amp; Crown</t>
  </si>
  <si>
    <t>PE31 6TW</t>
  </si>
  <si>
    <t>Warren</t>
  </si>
  <si>
    <t>pub@theroseandcrownharopley.co.uk</t>
  </si>
  <si>
    <t>01485 521807</t>
  </si>
  <si>
    <t>Crystal</t>
  </si>
  <si>
    <t>pub@thenelsonnorwich.co.uk</t>
  </si>
  <si>
    <t>was paul, new to snug - corona going on</t>
  </si>
  <si>
    <t>Keighly &amp; Patrick</t>
  </si>
  <si>
    <t>Wortwell Bell (Wortwell)</t>
  </si>
  <si>
    <t>IP20 0HH</t>
  </si>
  <si>
    <t>Dickleburgh Crown (Dickleburgh)</t>
  </si>
  <si>
    <t>Colchester Inns</t>
  </si>
  <si>
    <t>Black Boys (Aylsham)</t>
  </si>
  <si>
    <t>Matt Colchester</t>
  </si>
  <si>
    <t>admin@blackboyshotel.co.uk
matt.blackboyshotel@hotmail.com</t>
  </si>
  <si>
    <t>Nicola</t>
  </si>
  <si>
    <t>nicola@recruitingsergeant.co.uk</t>
  </si>
  <si>
    <t>is this norwich inns now???????????</t>
  </si>
  <si>
    <t>01603 737440</t>
  </si>
  <si>
    <t>tried corning andy, didn't respond to my comms re removing amdri... maybe adnams rep won this one... no changes yet and andy not in ran into the adnams rep here. recieved new tbars from huk for line up, contract over and open to taking off madri and amstwl has 3 other pubs, black boy leased is one</t>
  </si>
  <si>
    <t>Bucks Arms</t>
  </si>
  <si>
    <t>manager@bucksarms.co.uk</t>
  </si>
  <si>
    <t>01263 732133</t>
  </si>
  <si>
    <t>The Lodge at Salhouse</t>
  </si>
  <si>
    <t>George</t>
  </si>
  <si>
    <t>george@salhouselodge.co.uk
manager@salhouselodge.co.uk</t>
  </si>
  <si>
    <t>01603 928181</t>
  </si>
  <si>
    <t>NR8 6AB</t>
  </si>
  <si>
    <t>andy@swanatringland.co.uk
manager@swanatringland.co.uk</t>
  </si>
  <si>
    <t>01603 572736</t>
  </si>
  <si>
    <t>Jason Barker?</t>
  </si>
  <si>
    <t>White Swan (North Walsham)</t>
  </si>
  <si>
    <t>Jason Barker owner? Mark mngr?</t>
  </si>
  <si>
    <t>lots of bbg packaged ops for core brands and san mig. not craftybat all low priority but revisit when booked in town</t>
  </si>
  <si>
    <t>Wendy Smuts</t>
  </si>
  <si>
    <t>Pale on, hells ops. - birth place of cardenal wolsey. Stuart is rm happy to push hells, emailing for aid. amstel did a dip but more apt to remove fosters.... wants SP for not SP pricing tho. rose sticking to current line up, and likes to keep them the same. to busy for chat fu apt week after 15th
Wendy is leaser-
7542000421
owned 1.5years
pale glasses stubby request
Norwich rose opening on 2nd - wants to keep offering the same - letting the other pub open and then perhaps hells (reminder for next month check in
emailing activation options to push hells
most beers on 60/40
pale had a co2 fitted
curiosity gas is hells ? just weary about work, though we do it for them</t>
  </si>
  <si>
    <t>Norwich Rose</t>
  </si>
  <si>
    <t>nr2 2at</t>
  </si>
  <si>
    <t>info@therosepubanddeli.co.uk</t>
  </si>
  <si>
    <t>01603 623 942</t>
  </si>
  <si>
    <t xml:space="preserve">Oldest trading pub in norwich </t>
  </si>
  <si>
    <t>Steve &amp; Andy</t>
  </si>
  <si>
    <t>brewers arms</t>
  </si>
  <si>
    <t>ip1 3ns</t>
  </si>
  <si>
    <t>Walnut Tree</t>
  </si>
  <si>
    <t xml:space="preserve">Cricketers </t>
  </si>
  <si>
    <t>co11 1ah</t>
  </si>
  <si>
    <t xml:space="preserve">Alma </t>
  </si>
  <si>
    <t>Co6 1bz</t>
  </si>
  <si>
    <t xml:space="preserve">is this norwich inns???? </t>
  </si>
  <si>
    <t>Nick</t>
  </si>
  <si>
    <t>i2i hospitality</t>
  </si>
  <si>
    <t xml:space="preserve">Drawing Rooms </t>
  </si>
  <si>
    <t>Pete Harvey DIRECTOR -Matteo gm, Austin am</t>
  </si>
  <si>
    <t>The Wildman</t>
  </si>
  <si>
    <t>NR2 1AG</t>
  </si>
  <si>
    <t>wildman@i2ihospitality.co.uk</t>
  </si>
  <si>
    <t>The Hero (burnham Overy Staithe</t>
  </si>
  <si>
    <t>PE31 8JE</t>
  </si>
  <si>
    <t>info@theheroburnhamovery.co.uk</t>
  </si>
  <si>
    <t>Ten Bells</t>
  </si>
  <si>
    <t>NR2 4AR</t>
  </si>
  <si>
    <t>tenbells@i2ihospitality.co.uk</t>
  </si>
  <si>
    <t>greene King IFT</t>
  </si>
  <si>
    <t>JARVIS</t>
  </si>
  <si>
    <t xml:space="preserve">nigel </t>
  </si>
  <si>
    <t>ip23 8hd</t>
  </si>
  <si>
    <t xml:space="preserve">SM new in march, stella ipo reti ops - call </t>
  </si>
  <si>
    <t>miss hood</t>
  </si>
  <si>
    <t>Eliza &amp; amelia</t>
  </si>
  <si>
    <t>later afternoons best, Thursdays better. prebook carlberg had a vol dip perhaps ops for bl. not tied fully to gk.</t>
  </si>
  <si>
    <t>punch</t>
  </si>
  <si>
    <t>charlotte&amp;mike</t>
  </si>
  <si>
    <t>murphy/guinnes (on a year and both doing swell-stout ops) - only 0 and fruit cider in fridge</t>
  </si>
  <si>
    <t>mark neild</t>
  </si>
  <si>
    <t>michael and d</t>
  </si>
  <si>
    <t>queens head stowmarket</t>
  </si>
  <si>
    <t>stout</t>
  </si>
  <si>
    <t>stella on - sm off in jan ipo cruz. Open to stout ipo guin…or next to for foc, and fancy differiancion…x 1/2 keg a week of G remove -or if dear, atlantic doing no sells and do both stouts for trail and margin play -rm require postbox</t>
  </si>
  <si>
    <t>IP14 1EF</t>
  </si>
  <si>
    <t>Ipswhich</t>
  </si>
  <si>
    <t xml:space="preserve">September 24 v 25                                                                 </t>
  </si>
  <si>
    <t>BBG Market Share</t>
  </si>
  <si>
    <t>BDM</t>
  </si>
  <si>
    <t>Pints</t>
  </si>
  <si>
    <t>Stockists</t>
  </si>
  <si>
    <t>% change v 24</t>
  </si>
  <si>
    <t>TOTAL</t>
  </si>
  <si>
    <t>Total Draught Sales</t>
  </si>
  <si>
    <t>Total Draught Beer</t>
  </si>
  <si>
    <t>Total BBG</t>
  </si>
  <si>
    <t>Total CMBC</t>
  </si>
  <si>
    <t>Total Molson Coors</t>
  </si>
  <si>
    <t>Total Heineken UK</t>
  </si>
  <si>
    <t>Total All Other</t>
  </si>
  <si>
    <t>CORE LAGER</t>
  </si>
  <si>
    <t>Total Lager</t>
  </si>
  <si>
    <t>Total Core Lager</t>
  </si>
  <si>
    <t>Total Bud Light</t>
  </si>
  <si>
    <t>Total Carling</t>
  </si>
  <si>
    <t>Total Carlsberg Pilsner</t>
  </si>
  <si>
    <t>Total Fosters</t>
  </si>
  <si>
    <t>Total Tennents Lager</t>
  </si>
  <si>
    <t>PREMIUM 4%</t>
  </si>
  <si>
    <t>Total World 4%</t>
  </si>
  <si>
    <t>Total Amstel</t>
  </si>
  <si>
    <t>Total Becks Vier</t>
  </si>
  <si>
    <t>Total Coors</t>
  </si>
  <si>
    <t>Total Grolsch 4%</t>
  </si>
  <si>
    <t>Total Heineken Silver</t>
  </si>
  <si>
    <t>Total Kozel</t>
  </si>
  <si>
    <t>Total Pravha</t>
  </si>
  <si>
    <t>PREMIUM LAGER</t>
  </si>
  <si>
    <t>Total Premium Lager</t>
  </si>
  <si>
    <t>Total Budweiser</t>
  </si>
  <si>
    <t>Total Carlsberg Export</t>
  </si>
  <si>
    <t>Total Heineken</t>
  </si>
  <si>
    <t>Total Kronenbourg 1664</t>
  </si>
  <si>
    <t>Total San Miguel</t>
  </si>
  <si>
    <t>Total Stella Artois</t>
  </si>
  <si>
    <t>WORLD LAGER</t>
  </si>
  <si>
    <t>Total World Beer</t>
  </si>
  <si>
    <t>Total Asahi</t>
  </si>
  <si>
    <t>Total Birra Moretti</t>
  </si>
  <si>
    <t>Total Camden Hells Lager</t>
  </si>
  <si>
    <t>Total Cobra</t>
  </si>
  <si>
    <t>Total Corona Extra</t>
  </si>
  <si>
    <t>Total Estrella Damm</t>
  </si>
  <si>
    <t>Total Madri</t>
  </si>
  <si>
    <t>Total Mahou</t>
  </si>
  <si>
    <t>Total Peroni Nastro Azzurro</t>
  </si>
  <si>
    <t>Total Pilsner Urquell</t>
  </si>
  <si>
    <t>Total Red Stripe</t>
  </si>
  <si>
    <t>Total Sagres</t>
  </si>
  <si>
    <t>Total Staropramen</t>
  </si>
  <si>
    <t>Total Tiger</t>
  </si>
  <si>
    <t>CRAFT 
LAGER</t>
  </si>
  <si>
    <t>Total Spec/Craft Lager</t>
  </si>
  <si>
    <t>Total Hoegaarden</t>
  </si>
  <si>
    <t>Total Leffe Blonde</t>
  </si>
  <si>
    <t>ALE &amp; STOUT</t>
  </si>
  <si>
    <t>Total Ale</t>
  </si>
  <si>
    <t>Total Spec / Craft Ale</t>
  </si>
  <si>
    <t>Total Standard Ale</t>
  </si>
  <si>
    <t>Total Premium Ale</t>
  </si>
  <si>
    <t>Total Cask Ale</t>
  </si>
  <si>
    <t>Total Beavertown Neck Oil</t>
  </si>
  <si>
    <t>Total Brewdog Punk IPA</t>
  </si>
  <si>
    <t>Total Camden Town Pale Ale</t>
  </si>
  <si>
    <t>Total Goose Island IPA</t>
  </si>
  <si>
    <t>Total Innis &amp; Gunn IPA</t>
  </si>
  <si>
    <t>Total Long Horn IPA</t>
  </si>
  <si>
    <t>Total Sharps Atlantic Pale</t>
  </si>
  <si>
    <t>Total Shipyard Rye Pale Ale</t>
  </si>
  <si>
    <t>Total Stout</t>
  </si>
  <si>
    <t>TOTAL CIDER</t>
  </si>
  <si>
    <t>Total Cider</t>
  </si>
  <si>
    <t>Total Apple Cider</t>
  </si>
  <si>
    <t>Total Aspalls Cyder</t>
  </si>
  <si>
    <t>Total Kingston Press</t>
  </si>
  <si>
    <t>Total Magners Draught</t>
  </si>
  <si>
    <t>Total Orchard Thieves</t>
  </si>
  <si>
    <t>Total Strongbow</t>
  </si>
  <si>
    <t>Total Strongbow Cloudy Apple</t>
  </si>
  <si>
    <t>Total Stowford Press</t>
  </si>
  <si>
    <t>Total Symonds Founders Reserve</t>
  </si>
  <si>
    <t>Total Thatchers Gold</t>
  </si>
  <si>
    <t>Total Thatchers Dry</t>
  </si>
  <si>
    <t>Total Thatchers Haze</t>
  </si>
  <si>
    <t>Total Flavoured Cider</t>
  </si>
  <si>
    <t>Total Carling Black Fruits</t>
  </si>
  <si>
    <t>Total Kopparberg Raspberry Cider</t>
  </si>
  <si>
    <t>Total Magners Draught Dark Fruit</t>
  </si>
  <si>
    <t>Total Old Mout Berry</t>
  </si>
  <si>
    <t>Total Strongbow Dark Fruit</t>
  </si>
  <si>
    <t xml:space="preserve">Hells </t>
  </si>
  <si>
    <t>+17.5% Pints YOY</t>
  </si>
  <si>
    <t>Birmingham</t>
  </si>
  <si>
    <t>Oxford Partnership | Monthly BDM Volumes Tracker YTD</t>
  </si>
  <si>
    <t>Bournemouth</t>
  </si>
  <si>
    <t>Source: Oxford Market Watch | Volumes Tracker  (September 2025 )</t>
  </si>
  <si>
    <t>Bristol</t>
  </si>
  <si>
    <t>Cambridge / Home Counties</t>
  </si>
  <si>
    <t>© The Oxford Partnership Limited 2025</t>
  </si>
  <si>
    <t>Cardiff</t>
  </si>
  <si>
    <t>Edinburgh / Glasgow</t>
  </si>
  <si>
    <t>Exeter</t>
  </si>
  <si>
    <t>(All)</t>
  </si>
  <si>
    <t>Leeds &amp; York</t>
  </si>
  <si>
    <t>Leicester</t>
  </si>
  <si>
    <t>Liverpool</t>
  </si>
  <si>
    <t>Manchester</t>
  </si>
  <si>
    <t>Newcastle</t>
  </si>
  <si>
    <t>North London</t>
  </si>
  <si>
    <t>Nottingham</t>
  </si>
  <si>
    <t>Reading</t>
  </si>
  <si>
    <t>Sheffield</t>
  </si>
  <si>
    <t>South London</t>
  </si>
  <si>
    <t>Southampton</t>
  </si>
  <si>
    <t>Truro</t>
  </si>
  <si>
    <t>Camden Pale</t>
  </si>
  <si>
    <t>+11% Pints YOY</t>
  </si>
  <si>
    <t>+400% Pints YOY</t>
  </si>
  <si>
    <t>+37.3% Pints YOY</t>
  </si>
  <si>
    <t>postcode_inward</t>
  </si>
  <si>
    <t>SK11</t>
  </si>
  <si>
    <t>TQ12</t>
  </si>
  <si>
    <t>SL6</t>
  </si>
  <si>
    <t>ME2</t>
  </si>
  <si>
    <t>RG26</t>
  </si>
  <si>
    <t>TS11</t>
  </si>
  <si>
    <t>TS23</t>
  </si>
  <si>
    <t>DN20</t>
  </si>
  <si>
    <t>SY20</t>
  </si>
  <si>
    <t>West Midlands</t>
  </si>
  <si>
    <t>SL9</t>
  </si>
  <si>
    <t>BA2</t>
  </si>
  <si>
    <t>BS39</t>
  </si>
  <si>
    <t>EN6</t>
  </si>
  <si>
    <t>HG4</t>
  </si>
  <si>
    <t>TR20</t>
  </si>
  <si>
    <t>ST3</t>
  </si>
  <si>
    <t>LL16</t>
  </si>
  <si>
    <t>Wales</t>
  </si>
  <si>
    <t>BA4</t>
  </si>
  <si>
    <t>Rugby</t>
  </si>
  <si>
    <t>CV21</t>
  </si>
  <si>
    <t>BA5</t>
  </si>
  <si>
    <t>ME9</t>
  </si>
  <si>
    <t>PL19</t>
  </si>
  <si>
    <t>CW6</t>
  </si>
  <si>
    <t>CT12</t>
  </si>
  <si>
    <t>HS1</t>
  </si>
  <si>
    <t>Scotland</t>
  </si>
  <si>
    <t>OX26</t>
  </si>
  <si>
    <t>Wolverhampton</t>
  </si>
  <si>
    <t>WV4</t>
  </si>
  <si>
    <t>Worthing</t>
  </si>
  <si>
    <t>BN14</t>
  </si>
  <si>
    <t>WR9</t>
  </si>
  <si>
    <t>Sunderland</t>
  </si>
  <si>
    <t>SR4</t>
  </si>
  <si>
    <t>BA11</t>
  </si>
  <si>
    <t>OX18</t>
  </si>
  <si>
    <t>LU6</t>
  </si>
  <si>
    <t>Conwy</t>
  </si>
  <si>
    <t>LL32</t>
  </si>
  <si>
    <t>WS15</t>
  </si>
  <si>
    <t>SE11</t>
  </si>
  <si>
    <t>KT12</t>
  </si>
  <si>
    <t>L39</t>
  </si>
  <si>
    <t>SL4</t>
  </si>
  <si>
    <t>HP16</t>
  </si>
  <si>
    <t>N1</t>
  </si>
  <si>
    <t>TN12</t>
  </si>
  <si>
    <t>Wigan</t>
  </si>
  <si>
    <t>WN2</t>
  </si>
  <si>
    <t>LE12</t>
  </si>
  <si>
    <t>GU10</t>
  </si>
  <si>
    <t>GU17</t>
  </si>
  <si>
    <t>NG16</t>
  </si>
  <si>
    <t>LL77</t>
  </si>
  <si>
    <t>SY2</t>
  </si>
  <si>
    <t>LE16</t>
  </si>
  <si>
    <t>FK3</t>
  </si>
  <si>
    <t>NE32</t>
  </si>
  <si>
    <t>NW1</t>
  </si>
  <si>
    <t>BA1</t>
  </si>
  <si>
    <t>KA1</t>
  </si>
  <si>
    <t>Leeds</t>
  </si>
  <si>
    <t>LS7</t>
  </si>
  <si>
    <t>SO14</t>
  </si>
  <si>
    <t>Kettering</t>
  </si>
  <si>
    <t>NN16</t>
  </si>
  <si>
    <t>WR11</t>
  </si>
  <si>
    <t>HU15</t>
  </si>
  <si>
    <t>BA20</t>
  </si>
  <si>
    <t>Northampton</t>
  </si>
  <si>
    <t>NN6</t>
  </si>
  <si>
    <t>Middlesbrough</t>
  </si>
  <si>
    <t>TS9</t>
  </si>
  <si>
    <t>TF2</t>
  </si>
  <si>
    <t>N16</t>
  </si>
  <si>
    <t>LE15</t>
  </si>
  <si>
    <t>RM3</t>
  </si>
  <si>
    <t>HP1</t>
  </si>
  <si>
    <t>Luton</t>
  </si>
  <si>
    <t>LU3</t>
  </si>
  <si>
    <t>OX29</t>
  </si>
  <si>
    <t>WA6</t>
  </si>
  <si>
    <t>CR5</t>
  </si>
  <si>
    <t>Gateshead</t>
  </si>
  <si>
    <t>NE9</t>
  </si>
  <si>
    <t>L22</t>
  </si>
  <si>
    <t>LL31</t>
  </si>
  <si>
    <t>RG9</t>
  </si>
  <si>
    <t>Peterborough</t>
  </si>
  <si>
    <t>PE2</t>
  </si>
  <si>
    <t>Wakefield</t>
  </si>
  <si>
    <t>WF1</t>
  </si>
  <si>
    <t>Wokingham</t>
  </si>
  <si>
    <t>RG41</t>
  </si>
  <si>
    <t>ME17</t>
  </si>
  <si>
    <t>LN5</t>
  </si>
  <si>
    <t>NG12</t>
  </si>
  <si>
    <t>RM17</t>
  </si>
  <si>
    <t>PR25</t>
  </si>
  <si>
    <t>SO51</t>
  </si>
  <si>
    <t>G69</t>
  </si>
  <si>
    <t>RG4</t>
  </si>
  <si>
    <t>ML3</t>
  </si>
  <si>
    <t>PR26</t>
  </si>
  <si>
    <t>Solihull</t>
  </si>
  <si>
    <t>B90</t>
  </si>
  <si>
    <t>Bradford</t>
  </si>
  <si>
    <t>BD13</t>
  </si>
  <si>
    <t>ST8</t>
  </si>
  <si>
    <t>GU28</t>
  </si>
  <si>
    <t>S80</t>
  </si>
  <si>
    <t>Redditch</t>
  </si>
  <si>
    <t>B98</t>
  </si>
  <si>
    <t>Oldham</t>
  </si>
  <si>
    <t>OL2</t>
  </si>
  <si>
    <t>WD17</t>
  </si>
  <si>
    <t>TN25</t>
  </si>
  <si>
    <t>CM24</t>
  </si>
  <si>
    <t>S32</t>
  </si>
  <si>
    <t>Horsham</t>
  </si>
  <si>
    <t>RH12</t>
  </si>
  <si>
    <t>TN26</t>
  </si>
  <si>
    <t>Dudley</t>
  </si>
  <si>
    <t>DY1</t>
  </si>
  <si>
    <t>GU33</t>
  </si>
  <si>
    <t>Cambridge</t>
  </si>
  <si>
    <t>CB1</t>
  </si>
  <si>
    <t>RG14</t>
  </si>
  <si>
    <t>Mansfield</t>
  </si>
  <si>
    <t>NG19</t>
  </si>
  <si>
    <t>Enfield</t>
  </si>
  <si>
    <t>EN2</t>
  </si>
  <si>
    <t>DH8</t>
  </si>
  <si>
    <t>BS4</t>
  </si>
  <si>
    <t>CB22</t>
  </si>
  <si>
    <t>YO23</t>
  </si>
  <si>
    <t>DE13</t>
  </si>
  <si>
    <t>WR14</t>
  </si>
  <si>
    <t>CT5</t>
  </si>
  <si>
    <t>RM20</t>
  </si>
  <si>
    <t>Railway Tavern</t>
  </si>
  <si>
    <t>Chelmsford</t>
  </si>
  <si>
    <t>CM1</t>
  </si>
  <si>
    <t>NG8</t>
  </si>
  <si>
    <t>LL29</t>
  </si>
  <si>
    <t>NG6</t>
  </si>
  <si>
    <t>BS16</t>
  </si>
  <si>
    <t>TA4</t>
  </si>
  <si>
    <t>TN29</t>
  </si>
  <si>
    <t>PE13</t>
  </si>
  <si>
    <t>GU12</t>
  </si>
  <si>
    <t>SA31</t>
  </si>
  <si>
    <t>Brentwood</t>
  </si>
  <si>
    <t>CM13</t>
  </si>
  <si>
    <t>Oxford</t>
  </si>
  <si>
    <t>OX2</t>
  </si>
  <si>
    <t>CM15</t>
  </si>
  <si>
    <t>Cheltenham</t>
  </si>
  <si>
    <t>GL50</t>
  </si>
  <si>
    <t>Preston</t>
  </si>
  <si>
    <t>PR5</t>
  </si>
  <si>
    <t>NE2</t>
  </si>
  <si>
    <t>LL57</t>
  </si>
  <si>
    <t>DY11</t>
  </si>
  <si>
    <t>DT9</t>
  </si>
  <si>
    <t>SO19</t>
  </si>
  <si>
    <t>SN10</t>
  </si>
  <si>
    <t>NW9</t>
  </si>
  <si>
    <t>WA11</t>
  </si>
  <si>
    <t>EX2</t>
  </si>
  <si>
    <t>Swindon</t>
  </si>
  <si>
    <t>SN3</t>
  </si>
  <si>
    <t>G62</t>
  </si>
  <si>
    <t>DA16</t>
  </si>
  <si>
    <t>TA13</t>
  </si>
  <si>
    <t>Barnet</t>
  </si>
  <si>
    <t>EN5</t>
  </si>
  <si>
    <t>TD15</t>
  </si>
  <si>
    <t>RG17</t>
  </si>
  <si>
    <t>LA21</t>
  </si>
  <si>
    <t>ST13</t>
  </si>
  <si>
    <t>Lichfield</t>
  </si>
  <si>
    <t>WS13</t>
  </si>
  <si>
    <t>Maldon</t>
  </si>
  <si>
    <t>CM9</t>
  </si>
  <si>
    <t>CM0</t>
  </si>
  <si>
    <t>SY8</t>
  </si>
  <si>
    <t>Gloucester</t>
  </si>
  <si>
    <t>GL1</t>
  </si>
  <si>
    <t>BN1</t>
  </si>
  <si>
    <t>SG7</t>
  </si>
  <si>
    <t>LU7</t>
  </si>
  <si>
    <t>BN21</t>
  </si>
  <si>
    <t>SY12</t>
  </si>
  <si>
    <t>SA71</t>
  </si>
  <si>
    <t>PL14</t>
  </si>
  <si>
    <t>WV16</t>
  </si>
  <si>
    <t>SN2</t>
  </si>
  <si>
    <t>IP15</t>
  </si>
  <si>
    <t>OL3</t>
  </si>
  <si>
    <t>BN2</t>
  </si>
  <si>
    <t>CW5</t>
  </si>
  <si>
    <t>38 High Street</t>
  </si>
  <si>
    <t>BN43</t>
  </si>
  <si>
    <t>SE25</t>
  </si>
  <si>
    <t>Bexley</t>
  </si>
  <si>
    <t>DA5</t>
  </si>
  <si>
    <t>DT4</t>
  </si>
  <si>
    <t>Lincoln</t>
  </si>
  <si>
    <t>LN2</t>
  </si>
  <si>
    <t>BD20</t>
  </si>
  <si>
    <t>Tunbridge Wells</t>
  </si>
  <si>
    <t>TN1</t>
  </si>
  <si>
    <t>RH4</t>
  </si>
  <si>
    <t>CT6</t>
  </si>
  <si>
    <t>DT6</t>
  </si>
  <si>
    <t>Milton Keynes</t>
  </si>
  <si>
    <t>MK13</t>
  </si>
  <si>
    <t>CW1</t>
  </si>
  <si>
    <t>Wirral</t>
  </si>
  <si>
    <t>CH47</t>
  </si>
  <si>
    <t>DL7</t>
  </si>
  <si>
    <t>BD10</t>
  </si>
  <si>
    <t>NE25</t>
  </si>
  <si>
    <t>CW10</t>
  </si>
  <si>
    <t>CH3</t>
  </si>
  <si>
    <t>CH7</t>
  </si>
  <si>
    <t>CA28</t>
  </si>
  <si>
    <t>BB7</t>
  </si>
  <si>
    <t>L1</t>
  </si>
  <si>
    <t>CH41</t>
  </si>
  <si>
    <t>LS17</t>
  </si>
  <si>
    <t>CA11</t>
  </si>
  <si>
    <t>Bury</t>
  </si>
  <si>
    <t>BL9</t>
  </si>
  <si>
    <t>Stockport</t>
  </si>
  <si>
    <t>SK2</t>
  </si>
  <si>
    <t>LA12</t>
  </si>
  <si>
    <t>BD15</t>
  </si>
  <si>
    <t>CW7</t>
  </si>
  <si>
    <t>HD9</t>
  </si>
  <si>
    <t>Rotherham</t>
  </si>
  <si>
    <t>S60</t>
  </si>
  <si>
    <t>TW11</t>
  </si>
  <si>
    <t>LU1</t>
  </si>
  <si>
    <t>Worcester</t>
  </si>
  <si>
    <t>WR6</t>
  </si>
  <si>
    <t>SO40</t>
  </si>
  <si>
    <t>WF9</t>
  </si>
  <si>
    <t>LA22</t>
  </si>
  <si>
    <t>WV2</t>
  </si>
  <si>
    <t>SG4</t>
  </si>
  <si>
    <t>TN17</t>
  </si>
  <si>
    <t>BD23</t>
  </si>
  <si>
    <t>NE36</t>
  </si>
  <si>
    <t>B69</t>
  </si>
  <si>
    <t>NG25</t>
  </si>
  <si>
    <t>NE40</t>
  </si>
  <si>
    <t>BS37</t>
  </si>
  <si>
    <t>B18</t>
  </si>
  <si>
    <t>SS17</t>
  </si>
  <si>
    <t>UB7</t>
  </si>
  <si>
    <t>SK13</t>
  </si>
  <si>
    <t>WF10</t>
  </si>
  <si>
    <t>M35</t>
  </si>
  <si>
    <t>NE49</t>
  </si>
  <si>
    <t>Gosport</t>
  </si>
  <si>
    <t>PO12</t>
  </si>
  <si>
    <t>NE10</t>
  </si>
  <si>
    <t>Burnley</t>
  </si>
  <si>
    <t>BB11</t>
  </si>
  <si>
    <t>BD24</t>
  </si>
  <si>
    <t>SN4</t>
  </si>
  <si>
    <t>WF14</t>
  </si>
  <si>
    <t>SG13</t>
  </si>
  <si>
    <t>IV51</t>
  </si>
  <si>
    <t>Dover</t>
  </si>
  <si>
    <t>CT16</t>
  </si>
  <si>
    <t>M28</t>
  </si>
  <si>
    <t>Victoria</t>
  </si>
  <si>
    <t>SW8</t>
  </si>
  <si>
    <t>DY3</t>
  </si>
  <si>
    <t>LA5</t>
  </si>
  <si>
    <t>EH26</t>
  </si>
  <si>
    <t>CM4</t>
  </si>
  <si>
    <t>L25</t>
  </si>
  <si>
    <t>KT2</t>
  </si>
  <si>
    <t>Harrow</t>
  </si>
  <si>
    <t>HA2</t>
  </si>
  <si>
    <t>LE11</t>
  </si>
  <si>
    <t>DT2</t>
  </si>
  <si>
    <t>Coventry</t>
  </si>
  <si>
    <t>CV2</t>
  </si>
  <si>
    <t>SW18</t>
  </si>
  <si>
    <t>M24</t>
  </si>
  <si>
    <t>NP22</t>
  </si>
  <si>
    <t>WN6</t>
  </si>
  <si>
    <t>HP23</t>
  </si>
  <si>
    <t>CM5</t>
  </si>
  <si>
    <t>Stroud</t>
  </si>
  <si>
    <t>GL6</t>
  </si>
  <si>
    <t>GL7</t>
  </si>
  <si>
    <t>HP10</t>
  </si>
  <si>
    <t>SY3</t>
  </si>
  <si>
    <t>BA21</t>
  </si>
  <si>
    <t>CT10</t>
  </si>
  <si>
    <t>Bedford</t>
  </si>
  <si>
    <t>MK41</t>
  </si>
  <si>
    <t>SG12</t>
  </si>
  <si>
    <t>NW10</t>
  </si>
  <si>
    <t>Warwick</t>
  </si>
  <si>
    <t>CV34</t>
  </si>
  <si>
    <t>DE72</t>
  </si>
  <si>
    <t>Chichester</t>
  </si>
  <si>
    <t>PO19</t>
  </si>
  <si>
    <t>Anchor</t>
  </si>
  <si>
    <t>KT23</t>
  </si>
  <si>
    <t>Plymouth</t>
  </si>
  <si>
    <t>PL6</t>
  </si>
  <si>
    <t>Derby</t>
  </si>
  <si>
    <t>DE24</t>
  </si>
  <si>
    <t>Swansea</t>
  </si>
  <si>
    <t>SA5</t>
  </si>
  <si>
    <t>NG15</t>
  </si>
  <si>
    <t>DY10</t>
  </si>
  <si>
    <t>Hastings</t>
  </si>
  <si>
    <t>TN34</t>
  </si>
  <si>
    <t>SN11</t>
  </si>
  <si>
    <t>SG5</t>
  </si>
  <si>
    <t>OX28</t>
  </si>
  <si>
    <t>SK10</t>
  </si>
  <si>
    <t>Chesterfield</t>
  </si>
  <si>
    <t>S41</t>
  </si>
  <si>
    <t>IP10</t>
  </si>
  <si>
    <t>CF14</t>
  </si>
  <si>
    <t>ME3</t>
  </si>
  <si>
    <t>Warrington</t>
  </si>
  <si>
    <t>WA5</t>
  </si>
  <si>
    <t>LE67</t>
  </si>
  <si>
    <t>LL14</t>
  </si>
  <si>
    <t>PE28</t>
  </si>
  <si>
    <t>Newcastle upon Tyne</t>
  </si>
  <si>
    <t>NE5</t>
  </si>
  <si>
    <t>RH8</t>
  </si>
  <si>
    <t>Maidstone</t>
  </si>
  <si>
    <t>ME15</t>
  </si>
  <si>
    <t>SK8</t>
  </si>
  <si>
    <t>LE10</t>
  </si>
  <si>
    <t>Winchester</t>
  </si>
  <si>
    <t>SO23</t>
  </si>
  <si>
    <t>EX6</t>
  </si>
  <si>
    <t>DD9</t>
  </si>
  <si>
    <t>SK15</t>
  </si>
  <si>
    <t>E15</t>
  </si>
  <si>
    <t>TR2</t>
  </si>
  <si>
    <t>NE29</t>
  </si>
  <si>
    <t>BS9</t>
  </si>
  <si>
    <t>Bromley</t>
  </si>
  <si>
    <t>BR1</t>
  </si>
  <si>
    <t>SY11</t>
  </si>
  <si>
    <t>W6</t>
  </si>
  <si>
    <t>NE21</t>
  </si>
  <si>
    <t>S40</t>
  </si>
  <si>
    <t>Wrexham</t>
  </si>
  <si>
    <t>LL13</t>
  </si>
  <si>
    <t>BA13</t>
  </si>
  <si>
    <t>SE3</t>
  </si>
  <si>
    <t>GL5</t>
  </si>
  <si>
    <t>DT7</t>
  </si>
  <si>
    <t>PO33</t>
  </si>
  <si>
    <t>EH2</t>
  </si>
  <si>
    <t>AB25</t>
  </si>
  <si>
    <t>Durham</t>
  </si>
  <si>
    <t>DH1</t>
  </si>
  <si>
    <t>NP4</t>
  </si>
  <si>
    <t>SE16</t>
  </si>
  <si>
    <t>BH24</t>
  </si>
  <si>
    <t>GL56</t>
  </si>
  <si>
    <t>HP21</t>
  </si>
  <si>
    <t>RG1</t>
  </si>
  <si>
    <t>LL19</t>
  </si>
  <si>
    <t>DE4</t>
  </si>
  <si>
    <t>TN8</t>
  </si>
  <si>
    <t>SG18</t>
  </si>
  <si>
    <t>MK44</t>
  </si>
  <si>
    <t>RH7</t>
  </si>
  <si>
    <t>SG16</t>
  </si>
  <si>
    <t>Scarborough</t>
  </si>
  <si>
    <t>YO11</t>
  </si>
  <si>
    <t>M34</t>
  </si>
  <si>
    <t>BH21</t>
  </si>
  <si>
    <t>DN16</t>
  </si>
  <si>
    <t>Harrogate</t>
  </si>
  <si>
    <t>HG3</t>
  </si>
  <si>
    <t>NG21</t>
  </si>
  <si>
    <t>EX5</t>
  </si>
  <si>
    <t>BA15</t>
  </si>
  <si>
    <t>CT21</t>
  </si>
  <si>
    <t>HR1</t>
  </si>
  <si>
    <t>Darlington</t>
  </si>
  <si>
    <t>DL2</t>
  </si>
  <si>
    <t>Sevenoaks</t>
  </si>
  <si>
    <t>TN14</t>
  </si>
  <si>
    <t>Barley Mow Inn</t>
  </si>
  <si>
    <t>SA15</t>
  </si>
  <si>
    <t>HR2</t>
  </si>
  <si>
    <t>TN22</t>
  </si>
  <si>
    <t>HD1</t>
  </si>
  <si>
    <t>York</t>
  </si>
  <si>
    <t>YO31</t>
  </si>
  <si>
    <t>SN13</t>
  </si>
  <si>
    <t>WV10</t>
  </si>
  <si>
    <t>RG20</t>
  </si>
  <si>
    <t>G51</t>
  </si>
  <si>
    <t>G82</t>
  </si>
  <si>
    <t>KA12</t>
  </si>
  <si>
    <t>KA3</t>
  </si>
  <si>
    <t>KA11</t>
  </si>
  <si>
    <t>SK14</t>
  </si>
  <si>
    <t>SK9</t>
  </si>
  <si>
    <t>SK1</t>
  </si>
  <si>
    <t>SK4</t>
  </si>
  <si>
    <t>KY2</t>
  </si>
  <si>
    <t>KY16</t>
  </si>
  <si>
    <t>SK7</t>
  </si>
  <si>
    <t>WA8</t>
  </si>
  <si>
    <t>ML8</t>
  </si>
  <si>
    <t>ML6</t>
  </si>
  <si>
    <t>WA10</t>
  </si>
  <si>
    <t>ML2</t>
  </si>
  <si>
    <t>ML4</t>
  </si>
  <si>
    <t>WA3</t>
  </si>
  <si>
    <t>ML10</t>
  </si>
  <si>
    <t>DT8</t>
  </si>
  <si>
    <t>NR1</t>
  </si>
  <si>
    <t>DT1</t>
  </si>
  <si>
    <t>GL53</t>
  </si>
  <si>
    <t>LS18</t>
  </si>
  <si>
    <t>RH13</t>
  </si>
  <si>
    <t>WF11</t>
  </si>
  <si>
    <t>HR8</t>
  </si>
  <si>
    <t>CB4</t>
  </si>
  <si>
    <t>Tewkesbury</t>
  </si>
  <si>
    <t>GL20</t>
  </si>
  <si>
    <t>BD2</t>
  </si>
  <si>
    <t>OX4</t>
  </si>
  <si>
    <t>Bolton</t>
  </si>
  <si>
    <t>BL1</t>
  </si>
  <si>
    <t>BB5</t>
  </si>
  <si>
    <t>BB2</t>
  </si>
  <si>
    <t>Rossendale</t>
  </si>
  <si>
    <t>BB4</t>
  </si>
  <si>
    <t>BL3</t>
  </si>
  <si>
    <t>B1</t>
  </si>
  <si>
    <t>Stout &amp; Stone Inns</t>
  </si>
  <si>
    <t>SL5</t>
  </si>
  <si>
    <t>Chorley</t>
  </si>
  <si>
    <t>PR6</t>
  </si>
  <si>
    <t>L18</t>
  </si>
  <si>
    <t>G73</t>
  </si>
  <si>
    <t>L14</t>
  </si>
  <si>
    <t>MK45</t>
  </si>
  <si>
    <t>GL2</t>
  </si>
  <si>
    <t>M41</t>
  </si>
  <si>
    <t>WA7</t>
  </si>
  <si>
    <t>BN9</t>
  </si>
  <si>
    <t>HR4</t>
  </si>
  <si>
    <t>M1</t>
  </si>
  <si>
    <t>G15</t>
  </si>
  <si>
    <t>IG10</t>
  </si>
  <si>
    <t>L40</t>
  </si>
  <si>
    <t>BD22</t>
  </si>
  <si>
    <t>CR8</t>
  </si>
  <si>
    <t>CF46</t>
  </si>
  <si>
    <t>AB24</t>
  </si>
  <si>
    <t>WN5</t>
  </si>
  <si>
    <t>WN8</t>
  </si>
  <si>
    <t>PA2</t>
  </si>
  <si>
    <t>WN7</t>
  </si>
  <si>
    <t>PH3</t>
  </si>
  <si>
    <t>NE38</t>
  </si>
  <si>
    <t>SR7</t>
  </si>
  <si>
    <t>SR6</t>
  </si>
  <si>
    <t>SR5</t>
  </si>
  <si>
    <t>NE12</t>
  </si>
  <si>
    <t>The Cricketers</t>
  </si>
  <si>
    <t>LE2</t>
  </si>
  <si>
    <t>NE33</t>
  </si>
  <si>
    <t>LE9</t>
  </si>
  <si>
    <t>LE13</t>
  </si>
  <si>
    <t>TS17</t>
  </si>
  <si>
    <t>TS21</t>
  </si>
  <si>
    <t>TS18</t>
  </si>
  <si>
    <t>Hartlepool</t>
  </si>
  <si>
    <t>TS24</t>
  </si>
  <si>
    <t>LN1</t>
  </si>
  <si>
    <t>LE19</t>
  </si>
  <si>
    <t>LE3</t>
  </si>
  <si>
    <t>LN6</t>
  </si>
  <si>
    <t>NG18</t>
  </si>
  <si>
    <t>NG10</t>
  </si>
  <si>
    <t>Falkirk</t>
  </si>
  <si>
    <t>FK1</t>
  </si>
  <si>
    <t>PO21</t>
  </si>
  <si>
    <t>TW12</t>
  </si>
  <si>
    <t>GU23</t>
  </si>
  <si>
    <t>SE26</t>
  </si>
  <si>
    <t>YO15</t>
  </si>
  <si>
    <t>Portsmouth</t>
  </si>
  <si>
    <t>PO2</t>
  </si>
  <si>
    <t>Newport</t>
  </si>
  <si>
    <t>NP20</t>
  </si>
  <si>
    <t>SE13</t>
  </si>
  <si>
    <t>N8</t>
  </si>
  <si>
    <t>TW9</t>
  </si>
  <si>
    <t>BS34</t>
  </si>
  <si>
    <t>G46</t>
  </si>
  <si>
    <t>S6</t>
  </si>
  <si>
    <t>ME12</t>
  </si>
  <si>
    <t>PH2</t>
  </si>
  <si>
    <t>CT14</t>
  </si>
  <si>
    <t>OX14</t>
  </si>
  <si>
    <t>WA1</t>
  </si>
  <si>
    <t>W12</t>
  </si>
  <si>
    <t>PE24</t>
  </si>
  <si>
    <t>SW15</t>
  </si>
  <si>
    <t>ME4</t>
  </si>
  <si>
    <t>GU46</t>
  </si>
  <si>
    <t>GU34</t>
  </si>
  <si>
    <t>CF31</t>
  </si>
  <si>
    <t>NE3</t>
  </si>
  <si>
    <t>CV13</t>
  </si>
  <si>
    <t>SA43</t>
  </si>
  <si>
    <t>SN6</t>
  </si>
  <si>
    <t>TR18</t>
  </si>
  <si>
    <t>Doncaster</t>
  </si>
  <si>
    <t>DN1</t>
  </si>
  <si>
    <t>S42</t>
  </si>
  <si>
    <t>LL53</t>
  </si>
  <si>
    <t>WV1</t>
  </si>
  <si>
    <t>TR26</t>
  </si>
  <si>
    <t>PE6</t>
  </si>
  <si>
    <t>TR27</t>
  </si>
  <si>
    <t>ME13</t>
  </si>
  <si>
    <t>TR9</t>
  </si>
  <si>
    <t>CF5</t>
  </si>
  <si>
    <t>LL55</t>
  </si>
  <si>
    <t>LL51</t>
  </si>
  <si>
    <t>Havant</t>
  </si>
  <si>
    <t>PO9</t>
  </si>
  <si>
    <t>PO31</t>
  </si>
  <si>
    <t>Lancaster</t>
  </si>
  <si>
    <t>LA2</t>
  </si>
  <si>
    <t>TR19</t>
  </si>
  <si>
    <t>WS14</t>
  </si>
  <si>
    <t>HU5</t>
  </si>
  <si>
    <t>PO10</t>
  </si>
  <si>
    <t>CV31</t>
  </si>
  <si>
    <t>Church Street</t>
  </si>
  <si>
    <t>DL4</t>
  </si>
  <si>
    <t>SP6</t>
  </si>
  <si>
    <t>LS28</t>
  </si>
  <si>
    <t>L32</t>
  </si>
  <si>
    <t>DE45</t>
  </si>
  <si>
    <t>SA9</t>
  </si>
  <si>
    <t>LL28</t>
  </si>
  <si>
    <t>LL21</t>
  </si>
  <si>
    <t>OX9</t>
  </si>
  <si>
    <t>KA5</t>
  </si>
  <si>
    <t>NE66</t>
  </si>
  <si>
    <t>BB6</t>
  </si>
  <si>
    <t>KA4</t>
  </si>
  <si>
    <t>OX15</t>
  </si>
  <si>
    <t>GU11</t>
  </si>
  <si>
    <t>S12</t>
  </si>
  <si>
    <t>SE2</t>
  </si>
  <si>
    <t>TR10</t>
  </si>
  <si>
    <t>CM14</t>
  </si>
  <si>
    <t>TS12</t>
  </si>
  <si>
    <t>PL23</t>
  </si>
  <si>
    <t>CA12</t>
  </si>
  <si>
    <t>LE6</t>
  </si>
  <si>
    <t>NG22</t>
  </si>
  <si>
    <t>DN11</t>
  </si>
  <si>
    <t>BS25</t>
  </si>
  <si>
    <t>DT11</t>
  </si>
  <si>
    <t>GU32</t>
  </si>
  <si>
    <t>PO30</t>
  </si>
  <si>
    <t>CW12</t>
  </si>
  <si>
    <t>LN8</t>
  </si>
  <si>
    <t>SN12</t>
  </si>
  <si>
    <t>EX33</t>
  </si>
  <si>
    <t>TR7</t>
  </si>
  <si>
    <t>ME8</t>
  </si>
  <si>
    <t>ST9</t>
  </si>
  <si>
    <t>Watford</t>
  </si>
  <si>
    <t>WD18</t>
  </si>
  <si>
    <t>OX5</t>
  </si>
  <si>
    <t>DE56</t>
  </si>
  <si>
    <t>TN33</t>
  </si>
  <si>
    <t>CM11</t>
  </si>
  <si>
    <t>SO16</t>
  </si>
  <si>
    <t>SP3</t>
  </si>
  <si>
    <t>TA1</t>
  </si>
  <si>
    <t>TR8</t>
  </si>
  <si>
    <t>GL19</t>
  </si>
  <si>
    <t>CM21</t>
  </si>
  <si>
    <t>WV7</t>
  </si>
  <si>
    <t>TS26</t>
  </si>
  <si>
    <t>PO4</t>
  </si>
  <si>
    <t>RH2</t>
  </si>
  <si>
    <t>WF2</t>
  </si>
  <si>
    <t>361 Wootton Road</t>
  </si>
  <si>
    <t>King'S Lynn</t>
  </si>
  <si>
    <t>PE30</t>
  </si>
  <si>
    <t>PO18</t>
  </si>
  <si>
    <t>TN9</t>
  </si>
  <si>
    <t>SS6</t>
  </si>
  <si>
    <t>EN8</t>
  </si>
  <si>
    <t>CF11</t>
  </si>
  <si>
    <t>Walsall</t>
  </si>
  <si>
    <t>WS6</t>
  </si>
  <si>
    <t>Canterbury</t>
  </si>
  <si>
    <t>CT3</t>
  </si>
  <si>
    <t>PE23</t>
  </si>
  <si>
    <t>Stoke-on-Trent</t>
  </si>
  <si>
    <t>ST4</t>
  </si>
  <si>
    <t>RH1</t>
  </si>
  <si>
    <t>TQ11</t>
  </si>
  <si>
    <t>LL65</t>
  </si>
  <si>
    <t>TR17</t>
  </si>
  <si>
    <t>HU17</t>
  </si>
  <si>
    <t>WA16</t>
  </si>
  <si>
    <t>DE15</t>
  </si>
  <si>
    <t>CV12</t>
  </si>
  <si>
    <t>PO36</t>
  </si>
  <si>
    <t>Huntingdon</t>
  </si>
  <si>
    <t>PE19</t>
  </si>
  <si>
    <t>PE27</t>
  </si>
  <si>
    <t>Stevenage</t>
  </si>
  <si>
    <t>SG2</t>
  </si>
  <si>
    <t>IG7</t>
  </si>
  <si>
    <t>AL1</t>
  </si>
  <si>
    <t>AL5</t>
  </si>
  <si>
    <t>SG15</t>
  </si>
  <si>
    <t>BR6</t>
  </si>
  <si>
    <t>ME20</t>
  </si>
  <si>
    <t>ME16</t>
  </si>
  <si>
    <t>ME19</t>
  </si>
  <si>
    <t>N4</t>
  </si>
  <si>
    <t>SE7</t>
  </si>
  <si>
    <t>SE5</t>
  </si>
  <si>
    <t>Basildon</t>
  </si>
  <si>
    <t>SS16</t>
  </si>
  <si>
    <t>Ashford</t>
  </si>
  <si>
    <t>TN23</t>
  </si>
  <si>
    <t>TN38</t>
  </si>
  <si>
    <t>Lewes</t>
  </si>
  <si>
    <t>BN7</t>
  </si>
  <si>
    <t>KT1</t>
  </si>
  <si>
    <t>SR1</t>
  </si>
  <si>
    <t>PO5</t>
  </si>
  <si>
    <t>LN4</t>
  </si>
  <si>
    <t>MK17</t>
  </si>
  <si>
    <t>SW11</t>
  </si>
  <si>
    <t>SY1</t>
  </si>
  <si>
    <t>SN1</t>
  </si>
  <si>
    <t>WR12</t>
  </si>
  <si>
    <t>CF36</t>
  </si>
  <si>
    <t>NN1</t>
  </si>
  <si>
    <t>BL7</t>
  </si>
  <si>
    <t>CV5</t>
  </si>
  <si>
    <t>24 West Street</t>
  </si>
  <si>
    <t>BS22</t>
  </si>
  <si>
    <t>LE8</t>
  </si>
  <si>
    <t>TN31</t>
  </si>
  <si>
    <t>MK18</t>
  </si>
  <si>
    <t>OX16</t>
  </si>
  <si>
    <t>CH1</t>
  </si>
  <si>
    <t>DE7</t>
  </si>
  <si>
    <t>WR3</t>
  </si>
  <si>
    <t>WV3</t>
  </si>
  <si>
    <t>MK42</t>
  </si>
  <si>
    <t>RM8</t>
  </si>
  <si>
    <t>OX33</t>
  </si>
  <si>
    <t>DE11</t>
  </si>
  <si>
    <t>Woking</t>
  </si>
  <si>
    <t>SE12</t>
  </si>
  <si>
    <t>E13</t>
  </si>
  <si>
    <t>Eastleigh</t>
  </si>
  <si>
    <t>SO50</t>
  </si>
  <si>
    <t>PL20</t>
  </si>
  <si>
    <t>TF9</t>
  </si>
  <si>
    <t>TR13</t>
  </si>
  <si>
    <t>TS25</t>
  </si>
  <si>
    <t>PH1</t>
  </si>
  <si>
    <t>CM2</t>
  </si>
  <si>
    <t>IP17</t>
  </si>
  <si>
    <t>N6</t>
  </si>
  <si>
    <t>NN12</t>
  </si>
  <si>
    <t>IP18</t>
  </si>
  <si>
    <t>LA23</t>
  </si>
  <si>
    <t>CH2</t>
  </si>
  <si>
    <t>B97</t>
  </si>
  <si>
    <t>S66</t>
  </si>
  <si>
    <t>GL4</t>
  </si>
  <si>
    <t>NE39</t>
  </si>
  <si>
    <t>SW12</t>
  </si>
  <si>
    <t>TW18</t>
  </si>
  <si>
    <t>TN39</t>
  </si>
  <si>
    <t>EX10</t>
  </si>
  <si>
    <t>OX20</t>
  </si>
  <si>
    <t>DE14</t>
  </si>
  <si>
    <t>AL6</t>
  </si>
  <si>
    <t>TR16</t>
  </si>
  <si>
    <t>NE65</t>
  </si>
  <si>
    <t>PO7</t>
  </si>
  <si>
    <t>TQ1</t>
  </si>
  <si>
    <t>LL41</t>
  </si>
  <si>
    <t>BS20</t>
  </si>
  <si>
    <t>Christchurch</t>
  </si>
  <si>
    <t>BH23</t>
  </si>
  <si>
    <t>B14</t>
  </si>
  <si>
    <t>EH5</t>
  </si>
  <si>
    <t>Poole</t>
  </si>
  <si>
    <t>BH12</t>
  </si>
  <si>
    <t>BH15</t>
  </si>
  <si>
    <t>BH19</t>
  </si>
  <si>
    <t>BH16</t>
  </si>
  <si>
    <t>BH20</t>
  </si>
  <si>
    <t>4LZ</t>
  </si>
  <si>
    <t>BN41</t>
  </si>
  <si>
    <t>PO6</t>
  </si>
  <si>
    <t>BN10</t>
  </si>
  <si>
    <t>SO22</t>
  </si>
  <si>
    <t>GU21</t>
  </si>
  <si>
    <t>SO17</t>
  </si>
  <si>
    <t>LS22</t>
  </si>
  <si>
    <t>GU47</t>
  </si>
  <si>
    <t>ST7</t>
  </si>
  <si>
    <t>SG8</t>
  </si>
  <si>
    <t>WS9</t>
  </si>
  <si>
    <t>Crawley</t>
  </si>
  <si>
    <t>RH10</t>
  </si>
  <si>
    <t>TN3</t>
  </si>
  <si>
    <t>DT10</t>
  </si>
  <si>
    <t>WS4</t>
  </si>
  <si>
    <t>DA8</t>
  </si>
  <si>
    <t>DD4</t>
  </si>
  <si>
    <t>TR5</t>
  </si>
  <si>
    <t>EC3N</t>
  </si>
  <si>
    <t>HA9</t>
  </si>
  <si>
    <t>W4</t>
  </si>
  <si>
    <t>DE55</t>
  </si>
  <si>
    <t>PL21</t>
  </si>
  <si>
    <t>SW16</t>
  </si>
  <si>
    <t>SO45</t>
  </si>
  <si>
    <t>DN36</t>
  </si>
  <si>
    <t>CH60</t>
  </si>
  <si>
    <t>WF4</t>
  </si>
  <si>
    <t>HD4</t>
  </si>
  <si>
    <t>BD11</t>
  </si>
  <si>
    <t>YO30</t>
  </si>
  <si>
    <t>NE23</t>
  </si>
  <si>
    <t>M29</t>
  </si>
  <si>
    <t>OL15</t>
  </si>
  <si>
    <t>M4</t>
  </si>
  <si>
    <t>LS27</t>
  </si>
  <si>
    <t>OL4</t>
  </si>
  <si>
    <t>LA9</t>
  </si>
  <si>
    <t>YO13</t>
  </si>
  <si>
    <t>BB8</t>
  </si>
  <si>
    <t>BB12</t>
  </si>
  <si>
    <t>LN11</t>
  </si>
  <si>
    <t>OL5</t>
  </si>
  <si>
    <t>OL1</t>
  </si>
  <si>
    <t>CT19</t>
  </si>
  <si>
    <t>PL28</t>
  </si>
  <si>
    <t>PL32</t>
  </si>
  <si>
    <t>GU24</t>
  </si>
  <si>
    <t>B46</t>
  </si>
  <si>
    <t>NN5</t>
  </si>
  <si>
    <t>NG31</t>
  </si>
  <si>
    <t>NG2</t>
  </si>
  <si>
    <t>Eastbourne</t>
  </si>
  <si>
    <t>BN22</t>
  </si>
  <si>
    <t>KY7</t>
  </si>
  <si>
    <t>TF7</t>
  </si>
  <si>
    <t>Clacton-On-Sea</t>
  </si>
  <si>
    <t>CO16</t>
  </si>
  <si>
    <t>DE1</t>
  </si>
  <si>
    <t>EX8</t>
  </si>
  <si>
    <t>East Sussex</t>
  </si>
  <si>
    <t>PO20</t>
  </si>
  <si>
    <t>S2</t>
  </si>
  <si>
    <t>SO32</t>
  </si>
  <si>
    <t>High Peak</t>
  </si>
  <si>
    <t>SK22</t>
  </si>
  <si>
    <t>E4</t>
  </si>
  <si>
    <t>MK1</t>
  </si>
  <si>
    <t>B50</t>
  </si>
  <si>
    <t>B5</t>
  </si>
  <si>
    <t>S25</t>
  </si>
  <si>
    <t>SE10</t>
  </si>
  <si>
    <t>IG1</t>
  </si>
  <si>
    <t>DN10</t>
  </si>
  <si>
    <t>CV11</t>
  </si>
  <si>
    <t>CF35</t>
  </si>
  <si>
    <t>S63</t>
  </si>
  <si>
    <t>CF38</t>
  </si>
  <si>
    <t>TW19</t>
  </si>
  <si>
    <t>Stafford</t>
  </si>
  <si>
    <t>ST19</t>
  </si>
  <si>
    <t>SE1</t>
  </si>
  <si>
    <t>LA6</t>
  </si>
  <si>
    <t>CM3</t>
  </si>
  <si>
    <t>TA9</t>
  </si>
  <si>
    <t>BH14</t>
  </si>
  <si>
    <t>DN4</t>
  </si>
  <si>
    <t>LL74</t>
  </si>
  <si>
    <t>SA19</t>
  </si>
  <si>
    <t>CH66</t>
  </si>
  <si>
    <t>SN8</t>
  </si>
  <si>
    <t>WD4</t>
  </si>
  <si>
    <t>LE4</t>
  </si>
  <si>
    <t>GU14</t>
  </si>
  <si>
    <t>NP44</t>
  </si>
  <si>
    <t>WS10</t>
  </si>
  <si>
    <t>RG40</t>
  </si>
  <si>
    <t>DG1</t>
  </si>
  <si>
    <t>HU1</t>
  </si>
  <si>
    <t>PA23</t>
  </si>
  <si>
    <t>HU3</t>
  </si>
  <si>
    <t>HD6</t>
  </si>
  <si>
    <t>HU7</t>
  </si>
  <si>
    <t>CV6</t>
  </si>
  <si>
    <t>TN19</t>
  </si>
  <si>
    <t>EX31</t>
  </si>
  <si>
    <t>62 High Street</t>
  </si>
  <si>
    <t>SG19</t>
  </si>
  <si>
    <t>W1T</t>
  </si>
  <si>
    <t>PE25</t>
  </si>
  <si>
    <t>DY4</t>
  </si>
  <si>
    <t>LE17</t>
  </si>
  <si>
    <t>LL30</t>
  </si>
  <si>
    <t>Greyhound Inn</t>
  </si>
  <si>
    <t>LL11</t>
  </si>
  <si>
    <t>LU2</t>
  </si>
  <si>
    <t>MK2</t>
  </si>
  <si>
    <t>ST5</t>
  </si>
  <si>
    <t>MK40</t>
  </si>
  <si>
    <t>MK19</t>
  </si>
  <si>
    <t>MK11</t>
  </si>
  <si>
    <t>MK3</t>
  </si>
  <si>
    <t>WR5</t>
  </si>
  <si>
    <t>WR13</t>
  </si>
  <si>
    <t>WR10</t>
  </si>
  <si>
    <t>WR4</t>
  </si>
  <si>
    <t>NR6</t>
  </si>
  <si>
    <t>PA5</t>
  </si>
  <si>
    <t>PR8</t>
  </si>
  <si>
    <t>PO14</t>
  </si>
  <si>
    <t>W5</t>
  </si>
  <si>
    <t>L9</t>
  </si>
  <si>
    <t>Rochdale</t>
  </si>
  <si>
    <t>OL11</t>
  </si>
  <si>
    <t>LL37</t>
  </si>
  <si>
    <t>Barnsley</t>
  </si>
  <si>
    <t>S74</t>
  </si>
  <si>
    <t>LE65</t>
  </si>
  <si>
    <t>TD1</t>
  </si>
  <si>
    <t>E8</t>
  </si>
  <si>
    <t>PE38</t>
  </si>
  <si>
    <t>HD8</t>
  </si>
  <si>
    <t>BD4</t>
  </si>
  <si>
    <t>TN37</t>
  </si>
  <si>
    <t>Surrey</t>
  </si>
  <si>
    <t>WD3</t>
  </si>
  <si>
    <t>BS14</t>
  </si>
  <si>
    <t>BS8</t>
  </si>
  <si>
    <t>BS6</t>
  </si>
  <si>
    <t>BS1</t>
  </si>
  <si>
    <t>NP19</t>
  </si>
  <si>
    <t>7AB</t>
  </si>
  <si>
    <t>PL1</t>
  </si>
  <si>
    <t>BS35</t>
  </si>
  <si>
    <t>PL3</t>
  </si>
  <si>
    <t>TQ3</t>
  </si>
  <si>
    <t>TQ14</t>
  </si>
  <si>
    <t>S73</t>
  </si>
  <si>
    <t>HD5</t>
  </si>
  <si>
    <t>SA6</t>
  </si>
  <si>
    <t>BN5</t>
  </si>
  <si>
    <t>EH1</t>
  </si>
  <si>
    <t>ML5</t>
  </si>
  <si>
    <t>EH12</t>
  </si>
  <si>
    <t>SY10</t>
  </si>
  <si>
    <t>TQ5</t>
  </si>
  <si>
    <t>CM7</t>
  </si>
  <si>
    <t>RH11</t>
  </si>
  <si>
    <t>NG34</t>
  </si>
  <si>
    <t>PE31</t>
  </si>
  <si>
    <t>G1</t>
  </si>
  <si>
    <t>SE27</t>
  </si>
  <si>
    <t>DL17</t>
  </si>
  <si>
    <t>UB8</t>
  </si>
  <si>
    <t>B95</t>
  </si>
  <si>
    <t>YO10</t>
  </si>
  <si>
    <t>LS29</t>
  </si>
  <si>
    <t>HG2</t>
  </si>
  <si>
    <t>ME14</t>
  </si>
  <si>
    <t>West Sussex</t>
  </si>
  <si>
    <t>GU31</t>
  </si>
  <si>
    <t>GL51</t>
  </si>
  <si>
    <t>TN32</t>
  </si>
  <si>
    <t>AL7</t>
  </si>
  <si>
    <t>CV33</t>
  </si>
  <si>
    <t>CV10</t>
  </si>
  <si>
    <t>GL12</t>
  </si>
  <si>
    <t>TA11</t>
  </si>
  <si>
    <t>GU6</t>
  </si>
  <si>
    <t>CV9</t>
  </si>
  <si>
    <t>Hunstanton</t>
  </si>
  <si>
    <t>PE36</t>
  </si>
  <si>
    <t>West Norfolk</t>
  </si>
  <si>
    <t>91 Station Road</t>
  </si>
  <si>
    <t>King's Lynn</t>
  </si>
  <si>
    <t>PL12</t>
  </si>
  <si>
    <t>SY21</t>
  </si>
  <si>
    <t>M9</t>
  </si>
  <si>
    <t>NE15</t>
  </si>
  <si>
    <t>GL54</t>
  </si>
  <si>
    <t>L2</t>
  </si>
  <si>
    <t>WR2</t>
  </si>
  <si>
    <t>Duke Of York</t>
  </si>
  <si>
    <t>EN1</t>
  </si>
  <si>
    <t>DE22</t>
  </si>
  <si>
    <t>CT7</t>
  </si>
  <si>
    <t>TR11</t>
  </si>
  <si>
    <t>SO18</t>
  </si>
  <si>
    <t>TR1</t>
  </si>
  <si>
    <t>CT9</t>
  </si>
  <si>
    <t>SA70</t>
  </si>
  <si>
    <t>TS1</t>
  </si>
  <si>
    <t>EX4</t>
  </si>
  <si>
    <t>DE6</t>
  </si>
  <si>
    <t>DA13</t>
  </si>
  <si>
    <t>EH18</t>
  </si>
  <si>
    <t>NG23</t>
  </si>
  <si>
    <t>SA16</t>
  </si>
  <si>
    <t>OX17</t>
  </si>
  <si>
    <t>HP9</t>
  </si>
  <si>
    <t>EX35</t>
  </si>
  <si>
    <t>Croydon</t>
  </si>
  <si>
    <t>CR0</t>
  </si>
  <si>
    <t>DA6</t>
  </si>
  <si>
    <t>CB7</t>
  </si>
  <si>
    <t>OX3</t>
  </si>
  <si>
    <t>CB24</t>
  </si>
  <si>
    <t>S44</t>
  </si>
  <si>
    <t>NN15</t>
  </si>
  <si>
    <t>NP13</t>
  </si>
  <si>
    <t>RH16</t>
  </si>
  <si>
    <t>BA3</t>
  </si>
  <si>
    <t>BS40</t>
  </si>
  <si>
    <t>KT6</t>
  </si>
  <si>
    <t>LE18</t>
  </si>
  <si>
    <t>M26</t>
  </si>
  <si>
    <t>PE21</t>
  </si>
  <si>
    <t>PE22</t>
  </si>
  <si>
    <t>AB11</t>
  </si>
  <si>
    <t>DH9</t>
  </si>
  <si>
    <t>B74</t>
  </si>
  <si>
    <t>BA14</t>
  </si>
  <si>
    <t>BS31</t>
  </si>
  <si>
    <t>S36</t>
  </si>
  <si>
    <t>Carlisle</t>
  </si>
  <si>
    <t>CA1</t>
  </si>
  <si>
    <t>TN27</t>
  </si>
  <si>
    <t>DD7</t>
  </si>
  <si>
    <t>GL52</t>
  </si>
  <si>
    <t>SE18</t>
  </si>
  <si>
    <t>CV35</t>
  </si>
  <si>
    <t>TQ7</t>
  </si>
  <si>
    <t>DH4</t>
  </si>
  <si>
    <t>CV22</t>
  </si>
  <si>
    <t>SS11</t>
  </si>
  <si>
    <t>DN7</t>
  </si>
  <si>
    <t>Dartford</t>
  </si>
  <si>
    <t>DA1</t>
  </si>
  <si>
    <t>Guildford</t>
  </si>
  <si>
    <t>GU1</t>
  </si>
  <si>
    <t>RH5</t>
  </si>
  <si>
    <t>LL49</t>
  </si>
  <si>
    <t>SP5</t>
  </si>
  <si>
    <t>NG13</t>
  </si>
  <si>
    <t>L31</t>
  </si>
  <si>
    <t>Victory</t>
  </si>
  <si>
    <t>Suffolk Street</t>
  </si>
  <si>
    <t>LL52</t>
  </si>
  <si>
    <t>BD16</t>
  </si>
  <si>
    <t>EC1V</t>
  </si>
  <si>
    <t>SP10</t>
  </si>
  <si>
    <t>LD3</t>
  </si>
  <si>
    <t>PL9</t>
  </si>
  <si>
    <t>0JD</t>
  </si>
  <si>
    <t>W2</t>
  </si>
  <si>
    <t>CH45</t>
  </si>
  <si>
    <t>SE23</t>
  </si>
  <si>
    <t>OX12</t>
  </si>
  <si>
    <t>OX11</t>
  </si>
  <si>
    <t>EX39</t>
  </si>
  <si>
    <t>S43</t>
  </si>
  <si>
    <t>S18</t>
  </si>
  <si>
    <t>B80</t>
  </si>
  <si>
    <t>SO41</t>
  </si>
  <si>
    <t>ME11</t>
  </si>
  <si>
    <t>Slough</t>
  </si>
  <si>
    <t>SL1</t>
  </si>
  <si>
    <t>LE7</t>
  </si>
  <si>
    <t>BS48</t>
  </si>
  <si>
    <t>TW20</t>
  </si>
  <si>
    <t>SG11</t>
  </si>
  <si>
    <t>WS3</t>
  </si>
  <si>
    <t>NP18</t>
  </si>
  <si>
    <t>North Street</t>
  </si>
  <si>
    <t>Bromsgrove</t>
  </si>
  <si>
    <t>B60</t>
  </si>
  <si>
    <t>SA1</t>
  </si>
  <si>
    <t>TW7</t>
  </si>
  <si>
    <t>RG29</t>
  </si>
  <si>
    <t>YO42</t>
  </si>
  <si>
    <t>NE62</t>
  </si>
  <si>
    <t>TS14</t>
  </si>
  <si>
    <t>GU52</t>
  </si>
  <si>
    <t>HP20</t>
  </si>
  <si>
    <t>CT20</t>
  </si>
  <si>
    <t>RG22</t>
  </si>
  <si>
    <t>DA17</t>
  </si>
  <si>
    <t>FK2</t>
  </si>
  <si>
    <t>TR12</t>
  </si>
  <si>
    <t>Fareham</t>
  </si>
  <si>
    <t>PO16</t>
  </si>
  <si>
    <t>CB6</t>
  </si>
  <si>
    <t>SE14</t>
  </si>
  <si>
    <t>G74</t>
  </si>
  <si>
    <t>TQ13</t>
  </si>
  <si>
    <t>KT22</t>
  </si>
  <si>
    <t>NG32</t>
  </si>
  <si>
    <t>DN8</t>
  </si>
  <si>
    <t>BN44</t>
  </si>
  <si>
    <t>HP15</t>
  </si>
  <si>
    <t>DN9</t>
  </si>
  <si>
    <t>HP3</t>
  </si>
  <si>
    <t>HP2</t>
  </si>
  <si>
    <t>CF40</t>
  </si>
  <si>
    <t>RH15</t>
  </si>
  <si>
    <t>CW11</t>
  </si>
  <si>
    <t>DL13</t>
  </si>
  <si>
    <t>CA15</t>
  </si>
  <si>
    <t>M43</t>
  </si>
  <si>
    <t>BB3</t>
  </si>
  <si>
    <t>LS10</t>
  </si>
  <si>
    <t>OL12</t>
  </si>
  <si>
    <t>EH13</t>
  </si>
  <si>
    <t>CH6</t>
  </si>
  <si>
    <t>CH4</t>
  </si>
  <si>
    <t>EH6</t>
  </si>
  <si>
    <t>DN14</t>
  </si>
  <si>
    <t>CV37</t>
  </si>
  <si>
    <t>DN15</t>
  </si>
  <si>
    <t>CW2</t>
  </si>
  <si>
    <t>CF3</t>
  </si>
  <si>
    <t>DN5</t>
  </si>
  <si>
    <t>CW9</t>
  </si>
  <si>
    <t>DY12</t>
  </si>
  <si>
    <t>EH55</t>
  </si>
  <si>
    <t>GU35</t>
  </si>
  <si>
    <t>HD7</t>
  </si>
  <si>
    <t>HP18</t>
  </si>
  <si>
    <t>HP5</t>
  </si>
  <si>
    <t>IG11</t>
  </si>
  <si>
    <t>129 Main Road</t>
  </si>
  <si>
    <t>IP5</t>
  </si>
  <si>
    <t>SW1X</t>
  </si>
  <si>
    <t>L35</t>
  </si>
  <si>
    <t>BS32</t>
  </si>
  <si>
    <t>TS15</t>
  </si>
  <si>
    <t>S21</t>
  </si>
  <si>
    <t>RH20</t>
  </si>
  <si>
    <t>FY6</t>
  </si>
  <si>
    <t>B96</t>
  </si>
  <si>
    <t>TA8</t>
  </si>
  <si>
    <t>GU9</t>
  </si>
  <si>
    <t>CT18</t>
  </si>
  <si>
    <t>TR6</t>
  </si>
  <si>
    <t>BL0</t>
  </si>
  <si>
    <t>NG5</t>
  </si>
  <si>
    <t>HG5</t>
  </si>
  <si>
    <t>PO8</t>
  </si>
  <si>
    <t>SA73</t>
  </si>
  <si>
    <t>EX32</t>
  </si>
  <si>
    <t>RM10</t>
  </si>
  <si>
    <t>EX7</t>
  </si>
  <si>
    <t>CA13</t>
  </si>
  <si>
    <t>AB51</t>
  </si>
  <si>
    <t>N20</t>
  </si>
  <si>
    <t>GU51</t>
  </si>
  <si>
    <t>TA6</t>
  </si>
  <si>
    <t>DA12</t>
  </si>
  <si>
    <t>CB3</t>
  </si>
  <si>
    <t>DA10</t>
  </si>
  <si>
    <t>SA65</t>
  </si>
  <si>
    <t>CW4</t>
  </si>
  <si>
    <t>DE5</t>
  </si>
  <si>
    <t>1 North Road</t>
  </si>
  <si>
    <t>WD19</t>
  </si>
  <si>
    <t>DY13</t>
  </si>
  <si>
    <t>SP11</t>
  </si>
  <si>
    <t>GU27</t>
  </si>
  <si>
    <t>DA4</t>
  </si>
  <si>
    <t>DE12</t>
  </si>
  <si>
    <t>NN3</t>
  </si>
  <si>
    <t>PL15</t>
  </si>
  <si>
    <t>ME1</t>
  </si>
  <si>
    <t>CF72</t>
  </si>
  <si>
    <t>15 Northgate Street</t>
  </si>
  <si>
    <t>33 Church Road</t>
  </si>
  <si>
    <t>Station Road West</t>
  </si>
  <si>
    <t>S20</t>
  </si>
  <si>
    <t>KT15</t>
  </si>
  <si>
    <t>L5</t>
  </si>
  <si>
    <t>Wellingborough</t>
  </si>
  <si>
    <t>NN8</t>
  </si>
  <si>
    <t>NP7</t>
  </si>
  <si>
    <t>OL6</t>
  </si>
  <si>
    <t>EC1R</t>
  </si>
  <si>
    <t>PL31</t>
  </si>
  <si>
    <t>PL4</t>
  </si>
  <si>
    <t>PR3</t>
  </si>
  <si>
    <t>LS26</t>
  </si>
  <si>
    <t>M20</t>
  </si>
  <si>
    <t>S17</t>
  </si>
  <si>
    <t>M32</t>
  </si>
  <si>
    <t>MK16</t>
  </si>
  <si>
    <t>OX10</t>
  </si>
  <si>
    <t>S62</t>
  </si>
  <si>
    <t>SM6</t>
  </si>
  <si>
    <t>SN5</t>
  </si>
  <si>
    <t>SY14</t>
  </si>
  <si>
    <t>SY4</t>
  </si>
  <si>
    <t>S10</t>
  </si>
  <si>
    <t>PL29</t>
  </si>
  <si>
    <t>SM5</t>
  </si>
  <si>
    <t>WF3</t>
  </si>
  <si>
    <t>CB10</t>
  </si>
  <si>
    <t>M3</t>
  </si>
  <si>
    <t>DN6</t>
  </si>
  <si>
    <t>TS16</t>
  </si>
  <si>
    <t>CW8</t>
  </si>
  <si>
    <t>KT14</t>
  </si>
  <si>
    <t>PO1</t>
  </si>
  <si>
    <t>WF6</t>
  </si>
  <si>
    <t>TN16</t>
  </si>
  <si>
    <t>TS6</t>
  </si>
  <si>
    <t>TS8</t>
  </si>
  <si>
    <t>TW1</t>
  </si>
  <si>
    <t>RG21</t>
  </si>
  <si>
    <t>RG19</t>
  </si>
  <si>
    <t>AL8</t>
  </si>
  <si>
    <t>LS21</t>
  </si>
  <si>
    <t>HD3</t>
  </si>
  <si>
    <t>DN21</t>
  </si>
  <si>
    <t>E17</t>
  </si>
  <si>
    <t>OX13</t>
  </si>
  <si>
    <t>BA22</t>
  </si>
  <si>
    <t>ST10</t>
  </si>
  <si>
    <t>WA13</t>
  </si>
  <si>
    <t>DY6</t>
  </si>
  <si>
    <t>S1</t>
  </si>
  <si>
    <t>WC1N</t>
  </si>
  <si>
    <t>CH63</t>
  </si>
  <si>
    <t>BS5</t>
  </si>
  <si>
    <t>RH14</t>
  </si>
  <si>
    <t>SO15</t>
  </si>
  <si>
    <t>EC1A</t>
  </si>
  <si>
    <t>Kent</t>
  </si>
  <si>
    <t>SK12</t>
  </si>
  <si>
    <t>E14</t>
  </si>
  <si>
    <t>NG7</t>
  </si>
  <si>
    <t>NE24</t>
  </si>
  <si>
    <t>NG17</t>
  </si>
  <si>
    <t>Tamworth</t>
  </si>
  <si>
    <t>B78</t>
  </si>
  <si>
    <t>TW10</t>
  </si>
  <si>
    <t>S81</t>
  </si>
  <si>
    <t>EH41</t>
  </si>
  <si>
    <t>NN10</t>
  </si>
  <si>
    <t>EC2A</t>
  </si>
  <si>
    <t>RG10</t>
  </si>
  <si>
    <t>CV32</t>
  </si>
  <si>
    <t>S75</t>
  </si>
  <si>
    <t>EN9</t>
  </si>
  <si>
    <t>GU20</t>
  </si>
  <si>
    <t>Blackpool</t>
  </si>
  <si>
    <t>FY1</t>
  </si>
  <si>
    <t>DG5</t>
  </si>
  <si>
    <t>B27</t>
  </si>
  <si>
    <t>TR14</t>
  </si>
  <si>
    <t>St Albans</t>
  </si>
  <si>
    <t>NG9</t>
  </si>
  <si>
    <t>SG14</t>
  </si>
  <si>
    <t>111 High Street</t>
  </si>
  <si>
    <t>BA6</t>
  </si>
  <si>
    <t>B92</t>
  </si>
  <si>
    <t>CV36</t>
  </si>
  <si>
    <t>WA9</t>
  </si>
  <si>
    <t>LN7</t>
  </si>
  <si>
    <t>RG8</t>
  </si>
  <si>
    <t>DD11</t>
  </si>
  <si>
    <t>TW8</t>
  </si>
  <si>
    <t>SA33</t>
  </si>
  <si>
    <t>EH17</t>
  </si>
  <si>
    <t>TW14</t>
  </si>
  <si>
    <t>HU18</t>
  </si>
  <si>
    <t>WF15</t>
  </si>
  <si>
    <t>YO26</t>
  </si>
  <si>
    <t>YO16</t>
  </si>
  <si>
    <t>SK6</t>
  </si>
  <si>
    <t>YO25</t>
  </si>
  <si>
    <t>CV23</t>
  </si>
  <si>
    <t>Hounslow</t>
  </si>
  <si>
    <t>TW3</t>
  </si>
  <si>
    <t>DY5</t>
  </si>
  <si>
    <t>HU8</t>
  </si>
  <si>
    <t>L7</t>
  </si>
  <si>
    <t>BS15</t>
  </si>
  <si>
    <t>BD12</t>
  </si>
  <si>
    <t>PR4</t>
  </si>
  <si>
    <t>WD25</t>
  </si>
  <si>
    <t>SN9</t>
  </si>
  <si>
    <t>SR8</t>
  </si>
  <si>
    <t>ST14</t>
  </si>
  <si>
    <t>TN15</t>
  </si>
  <si>
    <t>LE1</t>
  </si>
  <si>
    <t>G67</t>
  </si>
  <si>
    <t>NE26</t>
  </si>
  <si>
    <t>TF10</t>
  </si>
  <si>
    <t>SN7</t>
  </si>
  <si>
    <t>W1W</t>
  </si>
  <si>
    <t>CT13</t>
  </si>
  <si>
    <t>PL11</t>
  </si>
  <si>
    <t>BL2</t>
  </si>
  <si>
    <t>SL3</t>
  </si>
  <si>
    <t>E1</t>
  </si>
  <si>
    <t>B49</t>
  </si>
  <si>
    <t>CV3</t>
  </si>
  <si>
    <t>G20</t>
  </si>
  <si>
    <t>EH39</t>
  </si>
  <si>
    <t>PA19</t>
  </si>
  <si>
    <t>DD5</t>
  </si>
  <si>
    <t>LA8</t>
  </si>
  <si>
    <t>NP25</t>
  </si>
  <si>
    <t>B9</t>
  </si>
  <si>
    <t>HU13</t>
  </si>
  <si>
    <t>PE9</t>
  </si>
  <si>
    <t>BN3</t>
  </si>
  <si>
    <t>DN40</t>
  </si>
  <si>
    <t>WF7</t>
  </si>
  <si>
    <t>HU12</t>
  </si>
  <si>
    <t>NG33</t>
  </si>
  <si>
    <t>LA7</t>
  </si>
  <si>
    <t>CH5</t>
  </si>
  <si>
    <t>SS14</t>
  </si>
  <si>
    <t>SP1</t>
  </si>
  <si>
    <t>SL2</t>
  </si>
  <si>
    <t>BS2</t>
  </si>
  <si>
    <t>SO43</t>
  </si>
  <si>
    <t>TA2</t>
  </si>
  <si>
    <t>EX14</t>
  </si>
  <si>
    <t>TA20</t>
  </si>
  <si>
    <t>LS19</t>
  </si>
  <si>
    <t>S9</t>
  </si>
  <si>
    <t>NG1</t>
  </si>
  <si>
    <t>NG11</t>
  </si>
  <si>
    <t>Norfolk Terrier</t>
  </si>
  <si>
    <t>2 Anna Gurney Close</t>
  </si>
  <si>
    <t>BA12</t>
  </si>
  <si>
    <t>B34</t>
  </si>
  <si>
    <t>BD5</t>
  </si>
  <si>
    <t>BD6</t>
  </si>
  <si>
    <t>Harlow</t>
  </si>
  <si>
    <t>CM19</t>
  </si>
  <si>
    <t>WV11</t>
  </si>
  <si>
    <t>EN11</t>
  </si>
  <si>
    <t>WA12</t>
  </si>
  <si>
    <t>SE15</t>
  </si>
  <si>
    <t>YO21</t>
  </si>
  <si>
    <t>BR4</t>
  </si>
  <si>
    <t>WD6</t>
  </si>
  <si>
    <t>HR9</t>
  </si>
  <si>
    <t>PO11</t>
  </si>
  <si>
    <t>CV8</t>
  </si>
  <si>
    <t>SY24</t>
  </si>
  <si>
    <t>UB9</t>
  </si>
  <si>
    <t>SO21</t>
  </si>
  <si>
    <t>PR7</t>
  </si>
  <si>
    <t>YO22</t>
  </si>
  <si>
    <t>YO12</t>
  </si>
  <si>
    <t>M25</t>
  </si>
  <si>
    <t>LA10</t>
  </si>
  <si>
    <t>NE1</t>
  </si>
  <si>
    <t>90 High Street</t>
  </si>
  <si>
    <t>DL8</t>
  </si>
  <si>
    <t>M27</t>
  </si>
  <si>
    <t>IV30</t>
  </si>
  <si>
    <t>G53</t>
  </si>
  <si>
    <t>KY11</t>
  </si>
  <si>
    <t>NE41</t>
  </si>
  <si>
    <t>YO17</t>
  </si>
  <si>
    <t>LS23</t>
  </si>
  <si>
    <t>EH52</t>
  </si>
  <si>
    <t>DD1</t>
  </si>
  <si>
    <t>SK23</t>
  </si>
  <si>
    <t>L23</t>
  </si>
  <si>
    <t>YO24</t>
  </si>
  <si>
    <t>NP12</t>
  </si>
  <si>
    <t>CB25</t>
  </si>
  <si>
    <t>WS7</t>
  </si>
  <si>
    <t>N15</t>
  </si>
  <si>
    <t>HP14</t>
  </si>
  <si>
    <t>GL15</t>
  </si>
  <si>
    <t>DL16</t>
  </si>
  <si>
    <t>IV1</t>
  </si>
  <si>
    <t>TF11</t>
  </si>
  <si>
    <t>OX7</t>
  </si>
  <si>
    <t>LS11</t>
  </si>
  <si>
    <t>49 High Street</t>
  </si>
  <si>
    <t>BN25</t>
  </si>
  <si>
    <t>SS1</t>
  </si>
  <si>
    <t>HP4</t>
  </si>
  <si>
    <t>TN21</t>
  </si>
  <si>
    <t>20 Rayne Road</t>
  </si>
  <si>
    <t>LA1</t>
  </si>
  <si>
    <t>PL26</t>
  </si>
  <si>
    <t>BS30</t>
  </si>
  <si>
    <t>DY8</t>
  </si>
  <si>
    <t>SO42</t>
  </si>
  <si>
    <t>TN11</t>
  </si>
  <si>
    <t>CB23</t>
  </si>
  <si>
    <t>AL3</t>
  </si>
  <si>
    <t>Corby</t>
  </si>
  <si>
    <t>NN17</t>
  </si>
  <si>
    <t>OL16</t>
  </si>
  <si>
    <t>BL8</t>
  </si>
  <si>
    <t>Nelson Burnham Market</t>
  </si>
  <si>
    <t>CF32</t>
  </si>
  <si>
    <t>SO20</t>
  </si>
  <si>
    <t>CV7</t>
  </si>
  <si>
    <t>PE12</t>
  </si>
  <si>
    <t>KT16</t>
  </si>
  <si>
    <t>EH8</t>
  </si>
  <si>
    <t>NG14</t>
  </si>
  <si>
    <t>DL10</t>
  </si>
  <si>
    <t>PE29</t>
  </si>
  <si>
    <t>BS7</t>
  </si>
  <si>
    <t>Huntsman</t>
  </si>
  <si>
    <t>DL5</t>
  </si>
  <si>
    <t>SO31</t>
  </si>
  <si>
    <t>NE34</t>
  </si>
  <si>
    <t>PL13</t>
  </si>
  <si>
    <t>DH7</t>
  </si>
  <si>
    <t>OL9</t>
  </si>
  <si>
    <t>DL1</t>
  </si>
  <si>
    <t>LA3</t>
  </si>
  <si>
    <t>DL15</t>
  </si>
  <si>
    <t>SS0</t>
  </si>
  <si>
    <t>RG2</t>
  </si>
  <si>
    <t>GU7</t>
  </si>
  <si>
    <t>G14</t>
  </si>
  <si>
    <t>PO3</t>
  </si>
  <si>
    <t>CT2</t>
  </si>
  <si>
    <t>DY14</t>
  </si>
  <si>
    <t>EX12</t>
  </si>
  <si>
    <t>G32</t>
  </si>
  <si>
    <t>AB10</t>
  </si>
  <si>
    <t>IV2</t>
  </si>
  <si>
    <t>B4</t>
  </si>
  <si>
    <t>B76</t>
  </si>
  <si>
    <t>B77</t>
  </si>
  <si>
    <t>BB18</t>
  </si>
  <si>
    <t>DL6</t>
  </si>
  <si>
    <t>HG1</t>
  </si>
  <si>
    <t>DN37</t>
  </si>
  <si>
    <t>CV47</t>
  </si>
  <si>
    <t>DH5</t>
  </si>
  <si>
    <t>NN4</t>
  </si>
  <si>
    <t>LL22</t>
  </si>
  <si>
    <t>M23</t>
  </si>
  <si>
    <t>BB1</t>
  </si>
  <si>
    <t>PH22</t>
  </si>
  <si>
    <t>NE8</t>
  </si>
  <si>
    <t>BD8</t>
  </si>
  <si>
    <t>BB10</t>
  </si>
  <si>
    <t>L19</t>
  </si>
  <si>
    <t>BD21</t>
  </si>
  <si>
    <t>CH49</t>
  </si>
  <si>
    <t>CA3</t>
  </si>
  <si>
    <t>CW3</t>
  </si>
  <si>
    <t>LS1</t>
  </si>
  <si>
    <t>LS25</t>
  </si>
  <si>
    <t>LS15</t>
  </si>
  <si>
    <t>S61</t>
  </si>
  <si>
    <t>LE5</t>
  </si>
  <si>
    <t>EX36</t>
  </si>
  <si>
    <t>EX23</t>
  </si>
  <si>
    <t>MK15</t>
  </si>
  <si>
    <t>HP22</t>
  </si>
  <si>
    <t>G41</t>
  </si>
  <si>
    <t>PE7</t>
  </si>
  <si>
    <t>G3</t>
  </si>
  <si>
    <t>PE4</t>
  </si>
  <si>
    <t>G2</t>
  </si>
  <si>
    <t>G22</t>
  </si>
  <si>
    <t>HX6</t>
  </si>
  <si>
    <t>YO51</t>
  </si>
  <si>
    <t>CB9</t>
  </si>
  <si>
    <t>Swaffham</t>
  </si>
  <si>
    <t>PE37</t>
  </si>
  <si>
    <t>PR1</t>
  </si>
  <si>
    <t>NE46</t>
  </si>
  <si>
    <t>CF82</t>
  </si>
  <si>
    <t>SA62</t>
  </si>
  <si>
    <t>ST20</t>
  </si>
  <si>
    <t>WN4</t>
  </si>
  <si>
    <t>CR2</t>
  </si>
  <si>
    <t>E5</t>
  </si>
  <si>
    <t>EH32</t>
  </si>
  <si>
    <t>DH3</t>
  </si>
  <si>
    <t>DN22</t>
  </si>
  <si>
    <t>Stirling</t>
  </si>
  <si>
    <t>FK7</t>
  </si>
  <si>
    <t>G81</t>
  </si>
  <si>
    <t>HA4</t>
  </si>
  <si>
    <t>HP19</t>
  </si>
  <si>
    <t>M2</t>
  </si>
  <si>
    <t>DE23</t>
  </si>
  <si>
    <t>Falcon</t>
  </si>
  <si>
    <t>AL2</t>
  </si>
  <si>
    <t>DD3</t>
  </si>
  <si>
    <t>DN32</t>
  </si>
  <si>
    <t>KT24</t>
  </si>
  <si>
    <t>DE74</t>
  </si>
  <si>
    <t>BS21</t>
  </si>
  <si>
    <t>G64</t>
  </si>
  <si>
    <t>BL4</t>
  </si>
  <si>
    <t>EH54</t>
  </si>
  <si>
    <t>SY23</t>
  </si>
  <si>
    <t>SA4</t>
  </si>
  <si>
    <t>PE26</t>
  </si>
  <si>
    <t>RH6</t>
  </si>
  <si>
    <t>HP11</t>
  </si>
  <si>
    <t>RM16</t>
  </si>
  <si>
    <t>CM6</t>
  </si>
  <si>
    <t>SA18</t>
  </si>
  <si>
    <t>KY13</t>
  </si>
  <si>
    <t>NN2</t>
  </si>
  <si>
    <t>CM12</t>
  </si>
  <si>
    <t>BN45</t>
  </si>
  <si>
    <t>CM20</t>
  </si>
  <si>
    <t>L12</t>
  </si>
  <si>
    <t>CH62</t>
  </si>
  <si>
    <t>CH44</t>
  </si>
  <si>
    <t>NE42</t>
  </si>
  <si>
    <t>CA16</t>
  </si>
  <si>
    <t>KA7</t>
  </si>
  <si>
    <t>CH64</t>
  </si>
  <si>
    <t>NE22</t>
  </si>
  <si>
    <t>IV15</t>
  </si>
  <si>
    <t>SK17</t>
  </si>
  <si>
    <t>YO41</t>
  </si>
  <si>
    <t>FY7</t>
  </si>
  <si>
    <t>LS2</t>
  </si>
  <si>
    <t>PA10</t>
  </si>
  <si>
    <t>EH10</t>
  </si>
  <si>
    <t>CF61</t>
  </si>
  <si>
    <t>B61</t>
  </si>
  <si>
    <t>RH9</t>
  </si>
  <si>
    <t>ST21</t>
  </si>
  <si>
    <t>TN6</t>
  </si>
  <si>
    <t>ST12</t>
  </si>
  <si>
    <t>OX44</t>
  </si>
  <si>
    <t>NG4</t>
  </si>
  <si>
    <t>LL20</t>
  </si>
  <si>
    <t>LA15</t>
  </si>
  <si>
    <t>CB5</t>
  </si>
  <si>
    <t>PE15</t>
  </si>
  <si>
    <t>WS1</t>
  </si>
  <si>
    <t>CB21</t>
  </si>
  <si>
    <t>M22</t>
  </si>
  <si>
    <t>PE34</t>
  </si>
  <si>
    <t>WF5</t>
  </si>
  <si>
    <t>CA21</t>
  </si>
  <si>
    <t>HX2</t>
  </si>
  <si>
    <t>WF13</t>
  </si>
  <si>
    <t>FK15</t>
  </si>
  <si>
    <t>NE16</t>
  </si>
  <si>
    <t>DG4</t>
  </si>
  <si>
    <t>HP27</t>
  </si>
  <si>
    <t>HU16</t>
  </si>
  <si>
    <t>HU6</t>
  </si>
  <si>
    <t>TR3</t>
  </si>
  <si>
    <t>HP13</t>
  </si>
  <si>
    <t>OX49</t>
  </si>
  <si>
    <t>WR1</t>
  </si>
  <si>
    <t>BH6</t>
  </si>
  <si>
    <t>Rochford</t>
  </si>
  <si>
    <t>SS4</t>
  </si>
  <si>
    <t>PR9</t>
  </si>
  <si>
    <t>12 Church Street</t>
  </si>
  <si>
    <t>OL14</t>
  </si>
  <si>
    <t>Western Arms</t>
  </si>
  <si>
    <t>Witham</t>
  </si>
  <si>
    <t>CM8</t>
  </si>
  <si>
    <t>DY7</t>
  </si>
  <si>
    <t>AL9</t>
  </si>
  <si>
    <t>S64</t>
  </si>
  <si>
    <t>DN17</t>
  </si>
  <si>
    <t>AL4</t>
  </si>
  <si>
    <t>LL68</t>
  </si>
  <si>
    <t>DG2</t>
  </si>
  <si>
    <t>CA17</t>
  </si>
  <si>
    <t>L4</t>
  </si>
  <si>
    <t>CH8</t>
  </si>
  <si>
    <t>RM2</t>
  </si>
  <si>
    <t>S8</t>
  </si>
  <si>
    <t>SA3</t>
  </si>
  <si>
    <t>SY5</t>
  </si>
  <si>
    <t>WA14</t>
  </si>
  <si>
    <t>WA2</t>
  </si>
  <si>
    <t>NE61</t>
  </si>
  <si>
    <t>WF8</t>
  </si>
  <si>
    <t>HX4</t>
  </si>
  <si>
    <t>LS13</t>
  </si>
  <si>
    <t>BD19</t>
  </si>
  <si>
    <t>LU5</t>
  </si>
  <si>
    <t>LL61</t>
  </si>
  <si>
    <t>RG27</t>
  </si>
  <si>
    <t>FY4</t>
  </si>
  <si>
    <t>Harwich</t>
  </si>
  <si>
    <t>CO12</t>
  </si>
  <si>
    <t>FY8</t>
  </si>
  <si>
    <t>NN14</t>
  </si>
  <si>
    <t>WS11</t>
  </si>
  <si>
    <t>TQ8</t>
  </si>
  <si>
    <t>FK13</t>
  </si>
  <si>
    <t>YO8</t>
  </si>
  <si>
    <t>OL8</t>
  </si>
  <si>
    <t>EH48</t>
  </si>
  <si>
    <t>UB10</t>
  </si>
  <si>
    <t>DL14</t>
  </si>
  <si>
    <t>AB41</t>
  </si>
  <si>
    <t>SW1P</t>
  </si>
  <si>
    <t>Gloucestershire</t>
  </si>
  <si>
    <t>KA9</t>
  </si>
  <si>
    <t>SL8</t>
  </si>
  <si>
    <t>KA22</t>
  </si>
  <si>
    <t>DT5</t>
  </si>
  <si>
    <t>NP26</t>
  </si>
  <si>
    <t>IV36</t>
  </si>
  <si>
    <t>EH3</t>
  </si>
  <si>
    <t>CB8</t>
  </si>
  <si>
    <t>DA2</t>
  </si>
  <si>
    <t>EH29</t>
  </si>
  <si>
    <t>B38</t>
  </si>
  <si>
    <t>WA4</t>
  </si>
  <si>
    <t>BD18</t>
  </si>
  <si>
    <t>WS12</t>
  </si>
  <si>
    <t>WV5</t>
  </si>
  <si>
    <t>TN30</t>
  </si>
  <si>
    <t>CA9</t>
  </si>
  <si>
    <t>ST16</t>
  </si>
  <si>
    <t>IV3</t>
  </si>
  <si>
    <t>DL12</t>
  </si>
  <si>
    <t>GL8</t>
  </si>
  <si>
    <t>WR7</t>
  </si>
  <si>
    <t>GU22</t>
  </si>
  <si>
    <t>WN3</t>
  </si>
  <si>
    <t>PO22</t>
  </si>
  <si>
    <t>E2</t>
  </si>
  <si>
    <t>ME7</t>
  </si>
  <si>
    <t>E3</t>
  </si>
  <si>
    <t>L34</t>
  </si>
  <si>
    <t>BL6</t>
  </si>
  <si>
    <t>PL25</t>
  </si>
  <si>
    <t>Cumbria</t>
  </si>
  <si>
    <t>CA4</t>
  </si>
  <si>
    <t>Up Street, Bardwell</t>
  </si>
  <si>
    <t>NN9</t>
  </si>
  <si>
    <t>TF12</t>
  </si>
  <si>
    <t>DL11</t>
  </si>
  <si>
    <t>B65</t>
  </si>
  <si>
    <t>Dove</t>
  </si>
  <si>
    <t>PR2</t>
  </si>
  <si>
    <t>BS24</t>
  </si>
  <si>
    <t>EH11</t>
  </si>
  <si>
    <t>EH14</t>
  </si>
  <si>
    <t>RG18</t>
  </si>
  <si>
    <t>NG24</t>
  </si>
  <si>
    <t>EH7</t>
  </si>
  <si>
    <t>PO15</t>
  </si>
  <si>
    <t>DE21</t>
  </si>
  <si>
    <t>Fife</t>
  </si>
  <si>
    <t>KY15</t>
  </si>
  <si>
    <t>NE20</t>
  </si>
  <si>
    <t>SN15</t>
  </si>
  <si>
    <t>YO61</t>
  </si>
  <si>
    <t>DD10</t>
  </si>
  <si>
    <t>CA8</t>
  </si>
  <si>
    <t>Selby</t>
  </si>
  <si>
    <t>SK5</t>
  </si>
  <si>
    <t>PA15</t>
  </si>
  <si>
    <t>LS9</t>
  </si>
  <si>
    <t>CH65</t>
  </si>
  <si>
    <t>HX3</t>
  </si>
  <si>
    <t>CA5</t>
  </si>
  <si>
    <t>EH21</t>
  </si>
  <si>
    <t>DD8</t>
  </si>
  <si>
    <t>KY12</t>
  </si>
  <si>
    <t>ML1</t>
  </si>
  <si>
    <t>TD12</t>
  </si>
  <si>
    <t>Blacksmiths</t>
  </si>
  <si>
    <t>Midlothian</t>
  </si>
  <si>
    <t>EH19</t>
  </si>
  <si>
    <t>EH30</t>
  </si>
  <si>
    <t>OL7</t>
  </si>
  <si>
    <t>M45</t>
  </si>
  <si>
    <t>ST6</t>
  </si>
  <si>
    <t>NR20</t>
  </si>
  <si>
    <t>CT4</t>
  </si>
  <si>
    <t>LL60</t>
  </si>
  <si>
    <t>LS14</t>
  </si>
  <si>
    <t>IV26</t>
  </si>
  <si>
    <t>YO18</t>
  </si>
  <si>
    <t>BR5</t>
  </si>
  <si>
    <t>BN17</t>
  </si>
  <si>
    <t>NE71</t>
  </si>
  <si>
    <t>OX1</t>
  </si>
  <si>
    <t>CH61</t>
  </si>
  <si>
    <t>ST15</t>
  </si>
  <si>
    <t>PA11</t>
  </si>
  <si>
    <t>CV1</t>
  </si>
  <si>
    <t>FK10</t>
  </si>
  <si>
    <t>L3</t>
  </si>
  <si>
    <t>YO62</t>
  </si>
  <si>
    <t>YO14</t>
  </si>
  <si>
    <t>CO2</t>
  </si>
  <si>
    <t>BS3</t>
  </si>
  <si>
    <t>NW3</t>
  </si>
  <si>
    <t>S35</t>
  </si>
  <si>
    <t>CT17</t>
  </si>
  <si>
    <t>M33</t>
  </si>
  <si>
    <t>YO7</t>
  </si>
  <si>
    <t>LA4</t>
  </si>
  <si>
    <t>PA1</t>
  </si>
  <si>
    <t>CA10</t>
  </si>
  <si>
    <t>KY8</t>
  </si>
  <si>
    <t>S45</t>
  </si>
  <si>
    <t>NP10</t>
  </si>
  <si>
    <t>PA4</t>
  </si>
  <si>
    <t>TN28</t>
  </si>
  <si>
    <t>Sutton</t>
  </si>
  <si>
    <t>SM1</t>
  </si>
  <si>
    <t>CF37</t>
  </si>
  <si>
    <t>AB39</t>
  </si>
  <si>
    <t>EH4</t>
  </si>
  <si>
    <t>HP17</t>
  </si>
  <si>
    <t>SW19</t>
  </si>
  <si>
    <t>HA3</t>
  </si>
  <si>
    <t>PL24</t>
  </si>
  <si>
    <t>L6</t>
  </si>
  <si>
    <t>BN6</t>
  </si>
  <si>
    <t>SK16</t>
  </si>
  <si>
    <t>HX7</t>
  </si>
  <si>
    <t>EH49</t>
  </si>
  <si>
    <t>WV12</t>
  </si>
  <si>
    <t>M11</t>
  </si>
  <si>
    <t>RH3</t>
  </si>
  <si>
    <t>SW1Y</t>
  </si>
  <si>
    <t>CR3</t>
  </si>
  <si>
    <t>SW6</t>
  </si>
  <si>
    <t>BA9</t>
  </si>
  <si>
    <t>TN24</t>
  </si>
  <si>
    <t>Castle Street</t>
  </si>
  <si>
    <t>CB2</t>
  </si>
  <si>
    <t>ME5</t>
  </si>
  <si>
    <t>RM13</t>
  </si>
  <si>
    <t>KT9</t>
  </si>
  <si>
    <t>CM17</t>
  </si>
  <si>
    <t>NE28</t>
  </si>
  <si>
    <t>BN11</t>
  </si>
  <si>
    <t>RG6</t>
  </si>
  <si>
    <t>CM23</t>
  </si>
  <si>
    <t>CH43</t>
  </si>
  <si>
    <t>25 High Street</t>
  </si>
  <si>
    <t>BS11</t>
  </si>
  <si>
    <t>S33</t>
  </si>
  <si>
    <t>BA16</t>
  </si>
  <si>
    <t>DE65</t>
  </si>
  <si>
    <t>RG23</t>
  </si>
  <si>
    <t>EX16</t>
  </si>
  <si>
    <t>RH19</t>
  </si>
  <si>
    <t>SS9</t>
  </si>
  <si>
    <t>177 Shrub End Road</t>
  </si>
  <si>
    <t>Waverley</t>
  </si>
  <si>
    <t>BH31</t>
  </si>
  <si>
    <t>BL5</t>
  </si>
  <si>
    <t>WN1</t>
  </si>
  <si>
    <t>HU9</t>
  </si>
  <si>
    <t>TR15</t>
  </si>
  <si>
    <t>TF1</t>
  </si>
  <si>
    <t>Daventry</t>
  </si>
  <si>
    <t>NN11</t>
  </si>
  <si>
    <t>TQ9</t>
  </si>
  <si>
    <t>TW16</t>
  </si>
  <si>
    <t>NN18</t>
  </si>
  <si>
    <t>G33</t>
  </si>
  <si>
    <t>BN26</t>
  </si>
  <si>
    <t>CT1</t>
  </si>
  <si>
    <t>GU4</t>
  </si>
  <si>
    <t>CF81</t>
  </si>
  <si>
    <t>ST18</t>
  </si>
  <si>
    <t>SA67</t>
  </si>
  <si>
    <t>M18</t>
  </si>
  <si>
    <t>GU8</t>
  </si>
  <si>
    <t>LA13</t>
  </si>
  <si>
    <t>LL26</t>
  </si>
  <si>
    <t>RG25</t>
  </si>
  <si>
    <t>BD14</t>
  </si>
  <si>
    <t>G31</t>
  </si>
  <si>
    <t>SL7</t>
  </si>
  <si>
    <t>UB5</t>
  </si>
  <si>
    <t>WV6</t>
  </si>
  <si>
    <t>WA15</t>
  </si>
  <si>
    <t>BH9</t>
  </si>
  <si>
    <t>Old Mill</t>
  </si>
  <si>
    <t>DN18</t>
  </si>
  <si>
    <t>MK6</t>
  </si>
  <si>
    <t>BR3</t>
  </si>
  <si>
    <t>OX27</t>
  </si>
  <si>
    <t>B33</t>
  </si>
  <si>
    <t>TS13</t>
  </si>
  <si>
    <t>S13</t>
  </si>
  <si>
    <t>G71</t>
  </si>
  <si>
    <t>WV14</t>
  </si>
  <si>
    <t>TN2</t>
  </si>
  <si>
    <t>DD2</t>
  </si>
  <si>
    <t>NP11</t>
  </si>
  <si>
    <t>EH22</t>
  </si>
  <si>
    <t>SG3</t>
  </si>
  <si>
    <t>MK12</t>
  </si>
  <si>
    <t>SN16</t>
  </si>
  <si>
    <t>W14</t>
  </si>
  <si>
    <t>SE22</t>
  </si>
  <si>
    <t>IV25</t>
  </si>
  <si>
    <t>ST11</t>
  </si>
  <si>
    <t>SA8</t>
  </si>
  <si>
    <t>YO43</t>
  </si>
  <si>
    <t>TS28</t>
  </si>
  <si>
    <t>RG31</t>
  </si>
  <si>
    <t>TN4</t>
  </si>
  <si>
    <t>Maldon Grey</t>
  </si>
  <si>
    <t>Cats Lane</t>
  </si>
  <si>
    <t>N19</t>
  </si>
  <si>
    <t>W9</t>
  </si>
  <si>
    <t>KY14</t>
  </si>
  <si>
    <t>TW13</t>
  </si>
  <si>
    <t>HA8</t>
  </si>
  <si>
    <t>G84</t>
  </si>
  <si>
    <t>LL12</t>
  </si>
  <si>
    <t>LA11</t>
  </si>
  <si>
    <t>ME18</t>
  </si>
  <si>
    <t>BH8</t>
  </si>
  <si>
    <t>TW17</t>
  </si>
  <si>
    <t>KT13</t>
  </si>
  <si>
    <t>CA2</t>
  </si>
  <si>
    <t>PE3</t>
  </si>
  <si>
    <t>WC1X</t>
  </si>
  <si>
    <t>GL16</t>
  </si>
  <si>
    <t>PH33</t>
  </si>
  <si>
    <t>NE4</t>
  </si>
  <si>
    <t>ST2</t>
  </si>
  <si>
    <t>WC2B</t>
  </si>
  <si>
    <t>GU16</t>
  </si>
  <si>
    <t>DA9</t>
  </si>
  <si>
    <t>W3</t>
  </si>
  <si>
    <t>B44</t>
  </si>
  <si>
    <t>G66</t>
  </si>
  <si>
    <t>OL10</t>
  </si>
  <si>
    <t>Essex Skipper</t>
  </si>
  <si>
    <t>Rochford Way</t>
  </si>
  <si>
    <t>Staffordshire</t>
  </si>
  <si>
    <t>WC1H</t>
  </si>
  <si>
    <t>TW5</t>
  </si>
  <si>
    <t>HX5</t>
  </si>
  <si>
    <t>TQ6</t>
  </si>
  <si>
    <t>YO1</t>
  </si>
  <si>
    <t>EC4V</t>
  </si>
  <si>
    <t>TA3</t>
  </si>
  <si>
    <t>NE30</t>
  </si>
  <si>
    <t>PO38</t>
  </si>
  <si>
    <t>DN3</t>
  </si>
  <si>
    <t>CR6</t>
  </si>
  <si>
    <t>SP2</t>
  </si>
  <si>
    <t>MK43</t>
  </si>
  <si>
    <t>SY13</t>
  </si>
  <si>
    <t>BN20</t>
  </si>
  <si>
    <t>CR4</t>
  </si>
  <si>
    <t>WV9</t>
  </si>
  <si>
    <t>KA30</t>
  </si>
  <si>
    <t>B6</t>
  </si>
  <si>
    <t>Golden Star</t>
  </si>
  <si>
    <t>57 Colegate</t>
  </si>
  <si>
    <t>E11</t>
  </si>
  <si>
    <t>CM16</t>
  </si>
  <si>
    <t>N10</t>
  </si>
  <si>
    <t>SG1</t>
  </si>
  <si>
    <t>OX25</t>
  </si>
  <si>
    <t>WR8</t>
  </si>
  <si>
    <t>B48</t>
  </si>
  <si>
    <t>DN38</t>
  </si>
  <si>
    <t>BH1</t>
  </si>
  <si>
    <t>DY9</t>
  </si>
  <si>
    <t>DH6</t>
  </si>
  <si>
    <t>4 London Road</t>
  </si>
  <si>
    <t>CF10</t>
  </si>
  <si>
    <t>CF15</t>
  </si>
  <si>
    <t>LL42</t>
  </si>
  <si>
    <t>DN41</t>
  </si>
  <si>
    <t>ME10</t>
  </si>
  <si>
    <t>Braintree</t>
  </si>
  <si>
    <t>PL22</t>
  </si>
  <si>
    <t>TQ2</t>
  </si>
  <si>
    <t>WC2N</t>
  </si>
  <si>
    <t>PL17</t>
  </si>
  <si>
    <t>OX39</t>
  </si>
  <si>
    <t>GL11</t>
  </si>
  <si>
    <t>KT20</t>
  </si>
  <si>
    <t>5 Market Place</t>
  </si>
  <si>
    <t>NG20</t>
  </si>
  <si>
    <t>13 High Street</t>
  </si>
  <si>
    <t>W1U</t>
  </si>
  <si>
    <t>HP12</t>
  </si>
  <si>
    <t>WF12</t>
  </si>
  <si>
    <t>SA11</t>
  </si>
  <si>
    <t>SA7</t>
  </si>
  <si>
    <t>SG9</t>
  </si>
  <si>
    <t>CF71</t>
  </si>
  <si>
    <t>103 New Street</t>
  </si>
  <si>
    <t>12 The Square</t>
  </si>
  <si>
    <t>TN5</t>
  </si>
  <si>
    <t>SP9</t>
  </si>
  <si>
    <t>318 High Road</t>
  </si>
  <si>
    <t>SN25</t>
  </si>
  <si>
    <t>LL15</t>
  </si>
  <si>
    <t>SW9</t>
  </si>
  <si>
    <t>SW1W</t>
  </si>
  <si>
    <t>SG6</t>
  </si>
  <si>
    <t>PE8</t>
  </si>
  <si>
    <t>NE17</t>
  </si>
  <si>
    <t>N21</t>
  </si>
  <si>
    <t>470 Nacton Road</t>
  </si>
  <si>
    <t>IP3</t>
  </si>
  <si>
    <t>S26</t>
  </si>
  <si>
    <t>DT3</t>
  </si>
  <si>
    <t>B31</t>
  </si>
  <si>
    <t>NW8</t>
  </si>
  <si>
    <t>PA28</t>
  </si>
  <si>
    <t>WC1V</t>
  </si>
  <si>
    <t>Sheringham</t>
  </si>
  <si>
    <t>NR26</t>
  </si>
  <si>
    <t>EN4</t>
  </si>
  <si>
    <t>CB11</t>
  </si>
  <si>
    <t>HP7</t>
  </si>
  <si>
    <t>SO53</t>
  </si>
  <si>
    <t>DN12</t>
  </si>
  <si>
    <t>NE27</t>
  </si>
  <si>
    <t>BN24</t>
  </si>
  <si>
    <t>97 Market Place</t>
  </si>
  <si>
    <t>S70</t>
  </si>
  <si>
    <t>TA5</t>
  </si>
  <si>
    <t>Hare</t>
  </si>
  <si>
    <t>Bury Road</t>
  </si>
  <si>
    <t>NN7</t>
  </si>
  <si>
    <t>TF8</t>
  </si>
  <si>
    <t>PE16</t>
  </si>
  <si>
    <t>PL10</t>
  </si>
  <si>
    <t>TW15</t>
  </si>
  <si>
    <t>IP25</t>
  </si>
  <si>
    <t>BS49</t>
  </si>
  <si>
    <t>B79</t>
  </si>
  <si>
    <t>SO30</t>
  </si>
  <si>
    <t>HX1</t>
  </si>
  <si>
    <t>BR2</t>
  </si>
  <si>
    <t>PO13</t>
  </si>
  <si>
    <t>EH53</t>
  </si>
  <si>
    <t>TR4</t>
  </si>
  <si>
    <t>KT11</t>
  </si>
  <si>
    <t>CA27</t>
  </si>
  <si>
    <t>PE10</t>
  </si>
  <si>
    <t>EH42</t>
  </si>
  <si>
    <t>315 Spring Road</t>
  </si>
  <si>
    <t>GU15</t>
  </si>
  <si>
    <t>EH16</t>
  </si>
  <si>
    <t>PL27</t>
  </si>
  <si>
    <t>RG42</t>
  </si>
  <si>
    <t>MK46</t>
  </si>
  <si>
    <t>HR6</t>
  </si>
  <si>
    <t>DE73</t>
  </si>
  <si>
    <t>CM22</t>
  </si>
  <si>
    <t>RH17</t>
  </si>
  <si>
    <t>E9</t>
  </si>
  <si>
    <t>WD24</t>
  </si>
  <si>
    <t>NW2</t>
  </si>
  <si>
    <t>LL36</t>
  </si>
  <si>
    <t>EX15</t>
  </si>
  <si>
    <t>EH9</t>
  </si>
  <si>
    <t>WC1E</t>
  </si>
  <si>
    <t>GL55</t>
  </si>
  <si>
    <t>M21</t>
  </si>
  <si>
    <t>TN13</t>
  </si>
  <si>
    <t>IP9</t>
  </si>
  <si>
    <t>AB32</t>
  </si>
  <si>
    <t>RG7</t>
  </si>
  <si>
    <t>EC1M</t>
  </si>
  <si>
    <t>BN27</t>
  </si>
  <si>
    <t>TS5</t>
  </si>
  <si>
    <t>LL75</t>
  </si>
  <si>
    <t>SW2</t>
  </si>
  <si>
    <t>PO41</t>
  </si>
  <si>
    <t>Hampshire</t>
  </si>
  <si>
    <t>B13</t>
  </si>
  <si>
    <t>PL5</t>
  </si>
  <si>
    <t>SY6</t>
  </si>
  <si>
    <t>HR7</t>
  </si>
  <si>
    <t>LS5</t>
  </si>
  <si>
    <t>N7</t>
  </si>
  <si>
    <t>SO24</t>
  </si>
  <si>
    <t>124 Bridge Road</t>
  </si>
  <si>
    <t>YO19</t>
  </si>
  <si>
    <t>KT10</t>
  </si>
  <si>
    <t>BS27</t>
  </si>
  <si>
    <t>NN13</t>
  </si>
  <si>
    <t>NE11</t>
  </si>
  <si>
    <t>UB3</t>
  </si>
  <si>
    <t>B16</t>
  </si>
  <si>
    <t>SK3</t>
  </si>
  <si>
    <t>Isle of Wight</t>
  </si>
  <si>
    <t>PO35</t>
  </si>
  <si>
    <t>DY2</t>
  </si>
  <si>
    <t>NN29</t>
  </si>
  <si>
    <t>NP16</t>
  </si>
  <si>
    <t>SS2</t>
  </si>
  <si>
    <t>EX34</t>
  </si>
  <si>
    <t>TF3</t>
  </si>
  <si>
    <t>L8</t>
  </si>
  <si>
    <t>SE9</t>
  </si>
  <si>
    <t>TF4</t>
  </si>
  <si>
    <t>E6</t>
  </si>
  <si>
    <t>2 Prince Of Wales Road</t>
  </si>
  <si>
    <t>M46</t>
  </si>
  <si>
    <t>DA11</t>
  </si>
  <si>
    <t>FK5</t>
  </si>
  <si>
    <t>BN18</t>
  </si>
  <si>
    <t>W13</t>
  </si>
  <si>
    <t>188 High Street</t>
  </si>
  <si>
    <t>Barrow-in-Furness</t>
  </si>
  <si>
    <t>LA14</t>
  </si>
  <si>
    <t>PL7</t>
  </si>
  <si>
    <t>DE75</t>
  </si>
  <si>
    <t>PA12</t>
  </si>
  <si>
    <t>G11</t>
  </si>
  <si>
    <t>GU29</t>
  </si>
  <si>
    <t>AB23</t>
  </si>
  <si>
    <t>LS24</t>
  </si>
  <si>
    <t>EC3R</t>
  </si>
  <si>
    <t>UB4</t>
  </si>
  <si>
    <t>M16</t>
  </si>
  <si>
    <t>G42</t>
  </si>
  <si>
    <t>TQ4</t>
  </si>
  <si>
    <t>Framlingham</t>
  </si>
  <si>
    <t>IP13</t>
  </si>
  <si>
    <t>CA25</t>
  </si>
  <si>
    <t>TN10</t>
  </si>
  <si>
    <t>FK9</t>
  </si>
  <si>
    <t>SA14</t>
  </si>
  <si>
    <t>GL3</t>
  </si>
  <si>
    <t>GU5</t>
  </si>
  <si>
    <t>TW2</t>
  </si>
  <si>
    <t>EH33</t>
  </si>
  <si>
    <t>PH50</t>
  </si>
  <si>
    <t>SE20</t>
  </si>
  <si>
    <t>SW3</t>
  </si>
  <si>
    <t>SA10</t>
  </si>
  <si>
    <t>LL18</t>
  </si>
  <si>
    <t>SW1V</t>
  </si>
  <si>
    <t>G72</t>
  </si>
  <si>
    <t>EX20</t>
  </si>
  <si>
    <t>N2</t>
  </si>
  <si>
    <t>W1F</t>
  </si>
  <si>
    <t>CF42</t>
  </si>
  <si>
    <t>SE4</t>
  </si>
  <si>
    <t>W8</t>
  </si>
  <si>
    <t>BH25</t>
  </si>
  <si>
    <t>SW14</t>
  </si>
  <si>
    <t>PE14</t>
  </si>
  <si>
    <t>KY10</t>
  </si>
  <si>
    <t>GL9</t>
  </si>
  <si>
    <t>SS3</t>
  </si>
  <si>
    <t>EX1</t>
  </si>
  <si>
    <t>LL59</t>
  </si>
  <si>
    <t>9RZ</t>
  </si>
  <si>
    <t>B66</t>
  </si>
  <si>
    <t>EH46</t>
  </si>
  <si>
    <t>DN35</t>
  </si>
  <si>
    <t>DG16</t>
  </si>
  <si>
    <t>B8</t>
  </si>
  <si>
    <t>NE45</t>
  </si>
  <si>
    <t>RG30</t>
  </si>
  <si>
    <t>SE17</t>
  </si>
  <si>
    <t>WD23</t>
  </si>
  <si>
    <t>TA18</t>
  </si>
  <si>
    <t>GL10</t>
  </si>
  <si>
    <t>CT11</t>
  </si>
  <si>
    <t>TA14</t>
  </si>
  <si>
    <t>WC2E</t>
  </si>
  <si>
    <t>KT17</t>
  </si>
  <si>
    <t>IG6</t>
  </si>
  <si>
    <t>BN42</t>
  </si>
  <si>
    <t>Broxbourne</t>
  </si>
  <si>
    <t>EN10</t>
  </si>
  <si>
    <t>LL67</t>
  </si>
  <si>
    <t>NW7</t>
  </si>
  <si>
    <t>BR8</t>
  </si>
  <si>
    <t>Rutland</t>
  </si>
  <si>
    <t>LN13</t>
  </si>
  <si>
    <t>TA7</t>
  </si>
  <si>
    <t>BN23</t>
  </si>
  <si>
    <t>NP23</t>
  </si>
  <si>
    <t>B94</t>
  </si>
  <si>
    <t>SY16</t>
  </si>
  <si>
    <t>ST17</t>
  </si>
  <si>
    <t>SP4</t>
  </si>
  <si>
    <t>IP26</t>
  </si>
  <si>
    <t>W11</t>
  </si>
  <si>
    <t>SE19</t>
  </si>
  <si>
    <t>B91</t>
  </si>
  <si>
    <t>CF64</t>
  </si>
  <si>
    <t>GU2</t>
  </si>
  <si>
    <t>SN14</t>
  </si>
  <si>
    <t>HU14</t>
  </si>
  <si>
    <t>GU3</t>
  </si>
  <si>
    <t>GU25</t>
  </si>
  <si>
    <t>WC2H</t>
  </si>
  <si>
    <t>KT3</t>
  </si>
  <si>
    <t>S71</t>
  </si>
  <si>
    <t>TS20</t>
  </si>
  <si>
    <t>PO37</t>
  </si>
  <si>
    <t>KT8</t>
  </si>
  <si>
    <t>BA7</t>
  </si>
  <si>
    <t>Caerphilly</t>
  </si>
  <si>
    <t>CF83</t>
  </si>
  <si>
    <t>TA21</t>
  </si>
  <si>
    <t>BS36</t>
  </si>
  <si>
    <t>TS27</t>
  </si>
  <si>
    <t>E12</t>
  </si>
  <si>
    <t>TN36</t>
  </si>
  <si>
    <t>G60</t>
  </si>
  <si>
    <t>BN8</t>
  </si>
  <si>
    <t>HA1</t>
  </si>
  <si>
    <t>Manningtree</t>
  </si>
  <si>
    <t>CO11</t>
  </si>
  <si>
    <t>N14</t>
  </si>
  <si>
    <t>PA3</t>
  </si>
  <si>
    <t>WC2A</t>
  </si>
  <si>
    <t>DA7</t>
  </si>
  <si>
    <t>BH4</t>
  </si>
  <si>
    <t>BS41</t>
  </si>
  <si>
    <t>SW13</t>
  </si>
  <si>
    <t>NP15</t>
  </si>
  <si>
    <t>SA13</t>
  </si>
  <si>
    <t>SG17</t>
  </si>
  <si>
    <t>B93</t>
  </si>
  <si>
    <t>DA14</t>
  </si>
  <si>
    <t>LL58</t>
  </si>
  <si>
    <t>SA46</t>
  </si>
  <si>
    <t>19 Quay Street</t>
  </si>
  <si>
    <t>SS12</t>
  </si>
  <si>
    <t>EX3</t>
  </si>
  <si>
    <t>CF62</t>
  </si>
  <si>
    <t>SA38</t>
  </si>
  <si>
    <t>EN3</t>
  </si>
  <si>
    <t>BN16</t>
  </si>
  <si>
    <t>B63</t>
  </si>
  <si>
    <t>51 Bethel Street</t>
  </si>
  <si>
    <t>SG10</t>
  </si>
  <si>
    <t>Essex</t>
  </si>
  <si>
    <t>RM15</t>
  </si>
  <si>
    <t>PE11</t>
  </si>
  <si>
    <t>KY1</t>
  </si>
  <si>
    <t>Norton Road</t>
  </si>
  <si>
    <t>35 Waterside</t>
  </si>
  <si>
    <t>IP2</t>
  </si>
  <si>
    <t>B70</t>
  </si>
  <si>
    <t>GU19</t>
  </si>
  <si>
    <t>M19</t>
  </si>
  <si>
    <t>SL0</t>
  </si>
  <si>
    <t>TA19</t>
  </si>
  <si>
    <t>North Somerset</t>
  </si>
  <si>
    <t>HU11</t>
  </si>
  <si>
    <t>TW4</t>
  </si>
  <si>
    <t>M12</t>
  </si>
  <si>
    <t>SS5</t>
  </si>
  <si>
    <t>E16</t>
  </si>
  <si>
    <t>SA48</t>
  </si>
  <si>
    <t>PE1</t>
  </si>
  <si>
    <t>NW6</t>
  </si>
  <si>
    <t>DE3</t>
  </si>
  <si>
    <t>SA34</t>
  </si>
  <si>
    <t>SA17</t>
  </si>
  <si>
    <t>Southend-on-Sea</t>
  </si>
  <si>
    <t>George Street</t>
  </si>
  <si>
    <t>B19</t>
  </si>
  <si>
    <t>B64</t>
  </si>
  <si>
    <t>Blaby</t>
  </si>
  <si>
    <t>B72</t>
  </si>
  <si>
    <t>TA15</t>
  </si>
  <si>
    <t>LL56</t>
  </si>
  <si>
    <t>S72</t>
  </si>
  <si>
    <t>CF44</t>
  </si>
  <si>
    <t>Green End Road</t>
  </si>
  <si>
    <t>FY3</t>
  </si>
  <si>
    <t>L24</t>
  </si>
  <si>
    <t>WV15</t>
  </si>
  <si>
    <t>LN9</t>
  </si>
  <si>
    <t>HU4</t>
  </si>
  <si>
    <t>Worcestershire</t>
  </si>
  <si>
    <t>WR15</t>
  </si>
  <si>
    <t>CM77</t>
  </si>
  <si>
    <t>NE37</t>
  </si>
  <si>
    <t>B71</t>
  </si>
  <si>
    <t>RG12</t>
  </si>
  <si>
    <t>CF24</t>
  </si>
  <si>
    <t>EC1N</t>
  </si>
  <si>
    <t>SP8</t>
  </si>
  <si>
    <t>SP7</t>
  </si>
  <si>
    <t>SA44</t>
  </si>
  <si>
    <t>G5</t>
  </si>
  <si>
    <t>DA15</t>
  </si>
  <si>
    <t>PL30</t>
  </si>
  <si>
    <t>TA12</t>
  </si>
  <si>
    <t>M5</t>
  </si>
  <si>
    <t>IG8</t>
  </si>
  <si>
    <t>B26</t>
  </si>
  <si>
    <t>B45</t>
  </si>
  <si>
    <t>G13</t>
  </si>
  <si>
    <t>DL3</t>
  </si>
  <si>
    <t>Salford</t>
  </si>
  <si>
    <t>N13</t>
  </si>
  <si>
    <t>N22</t>
  </si>
  <si>
    <t>LS12</t>
  </si>
  <si>
    <t>W1G</t>
  </si>
  <si>
    <t>PE33</t>
  </si>
  <si>
    <t>W7</t>
  </si>
  <si>
    <t>N5</t>
  </si>
  <si>
    <t>ST1</t>
  </si>
  <si>
    <t>BH10</t>
  </si>
  <si>
    <t>BH17</t>
  </si>
  <si>
    <t>CA14</t>
  </si>
  <si>
    <t>KT7</t>
  </si>
  <si>
    <t>HU2</t>
  </si>
  <si>
    <t>LL17</t>
  </si>
  <si>
    <t>B75</t>
  </si>
  <si>
    <t>RG5</t>
  </si>
  <si>
    <t>BH2</t>
  </si>
  <si>
    <t>BH7</t>
  </si>
  <si>
    <t>NE6</t>
  </si>
  <si>
    <t>DA3</t>
  </si>
  <si>
    <t>NE13</t>
  </si>
  <si>
    <t>B62</t>
  </si>
  <si>
    <t>B29</t>
  </si>
  <si>
    <t>M14</t>
  </si>
  <si>
    <t>Dorset</t>
  </si>
  <si>
    <t>TA23</t>
  </si>
  <si>
    <t>NE63</t>
  </si>
  <si>
    <t>NE31</t>
  </si>
  <si>
    <t>M30</t>
  </si>
  <si>
    <t>MK14</t>
  </si>
  <si>
    <t>MK5</t>
  </si>
  <si>
    <t>M8</t>
  </si>
  <si>
    <t>UB6</t>
  </si>
  <si>
    <t>CR7</t>
  </si>
  <si>
    <t>70 East Hill</t>
  </si>
  <si>
    <t>Newland Street</t>
  </si>
  <si>
    <t>15 Station Road</t>
  </si>
  <si>
    <t>L11</t>
  </si>
  <si>
    <t>CH48</t>
  </si>
  <si>
    <t>CH46</t>
  </si>
  <si>
    <t>S65</t>
  </si>
  <si>
    <t>NW5</t>
  </si>
  <si>
    <t>SO52</t>
  </si>
  <si>
    <t>Cadogan Arms</t>
  </si>
  <si>
    <t>B42</t>
  </si>
  <si>
    <t>B68</t>
  </si>
  <si>
    <t>B23</t>
  </si>
  <si>
    <t>LE14</t>
  </si>
  <si>
    <t>WS5</t>
  </si>
  <si>
    <t>TF5</t>
  </si>
  <si>
    <t>PO17</t>
  </si>
  <si>
    <t>BS23</t>
  </si>
  <si>
    <t>BR7</t>
  </si>
  <si>
    <t>RG45</t>
  </si>
  <si>
    <t>CA7</t>
  </si>
  <si>
    <t>G76</t>
  </si>
  <si>
    <t>L36</t>
  </si>
  <si>
    <t>L15</t>
  </si>
  <si>
    <t>BH13</t>
  </si>
  <si>
    <t>AB45</t>
  </si>
  <si>
    <t>TS19</t>
  </si>
  <si>
    <t>AL10</t>
  </si>
  <si>
    <t>M44</t>
  </si>
  <si>
    <t>CT15</t>
  </si>
  <si>
    <t>E7</t>
  </si>
  <si>
    <t>RG28</t>
  </si>
  <si>
    <t>SS7</t>
  </si>
  <si>
    <t>G40</t>
  </si>
  <si>
    <t>TA17</t>
  </si>
  <si>
    <t>RM14</t>
  </si>
  <si>
    <t>BB9</t>
  </si>
  <si>
    <t>L21</t>
  </si>
  <si>
    <t>WV13</t>
  </si>
  <si>
    <t>S5</t>
  </si>
  <si>
    <t>S11</t>
  </si>
  <si>
    <t>BS29</t>
  </si>
  <si>
    <t>HU19</t>
  </si>
  <si>
    <t>G83</t>
  </si>
  <si>
    <t>LN3</t>
  </si>
  <si>
    <t>Vulcan Arms</t>
  </si>
  <si>
    <t>EH15</t>
  </si>
  <si>
    <t>LS20</t>
  </si>
  <si>
    <t>CF41</t>
  </si>
  <si>
    <t>40 Kirkgate Street</t>
  </si>
  <si>
    <t>SE24</t>
  </si>
  <si>
    <t>TS3</t>
  </si>
  <si>
    <t>WS8</t>
  </si>
  <si>
    <t>FK17</t>
  </si>
  <si>
    <t>PE32</t>
  </si>
  <si>
    <t>BN13</t>
  </si>
  <si>
    <t>PH49</t>
  </si>
  <si>
    <t>TA24</t>
  </si>
  <si>
    <t>PO34</t>
  </si>
  <si>
    <t>BS10</t>
  </si>
  <si>
    <t>SS13</t>
  </si>
  <si>
    <t>WS2</t>
  </si>
  <si>
    <t>St. Marys Square</t>
  </si>
  <si>
    <t>LL72</t>
  </si>
  <si>
    <t>Oxfordshire</t>
  </si>
  <si>
    <t>EH45</t>
  </si>
  <si>
    <t>LL48</t>
  </si>
  <si>
    <t>LL70</t>
  </si>
  <si>
    <t>EH35</t>
  </si>
  <si>
    <t>CA19</t>
  </si>
  <si>
    <t>DH2</t>
  </si>
  <si>
    <t>LL45</t>
  </si>
  <si>
    <t>SY22</t>
  </si>
  <si>
    <t>LL54</t>
  </si>
  <si>
    <t>EX13</t>
  </si>
  <si>
    <t>WV8</t>
  </si>
  <si>
    <t>FY5</t>
  </si>
  <si>
    <t>M40</t>
  </si>
  <si>
    <t>SE8</t>
  </si>
  <si>
    <t>97 High Street</t>
  </si>
  <si>
    <t>Stockton-on-Tees</t>
  </si>
  <si>
    <t>NE47</t>
  </si>
  <si>
    <t>LL27</t>
  </si>
  <si>
    <t>PL2</t>
  </si>
  <si>
    <t>PL8</t>
  </si>
  <si>
    <t>KT19</t>
  </si>
  <si>
    <t>ML11</t>
  </si>
  <si>
    <t>43 Ipswich Street</t>
  </si>
  <si>
    <t>Artilleryman</t>
  </si>
  <si>
    <t>Trafalgar</t>
  </si>
  <si>
    <t>GL14</t>
  </si>
  <si>
    <t>Ixworth Road</t>
  </si>
  <si>
    <t>Norton</t>
  </si>
  <si>
    <t>52 High Street</t>
  </si>
  <si>
    <t>Lime Tree Avenue</t>
  </si>
  <si>
    <t>Drawing Rooms</t>
  </si>
  <si>
    <t>23 Pottergate</t>
  </si>
  <si>
    <t>Camden</t>
  </si>
  <si>
    <t>Gayton</t>
  </si>
  <si>
    <t>Hare Arms</t>
  </si>
  <si>
    <t>Lynn Road</t>
  </si>
  <si>
    <t>Stow Bardolph</t>
  </si>
  <si>
    <t>RM4</t>
  </si>
  <si>
    <t>S3</t>
  </si>
  <si>
    <t>SW4</t>
  </si>
  <si>
    <t>TA22</t>
  </si>
  <si>
    <t>L20</t>
  </si>
  <si>
    <t>LL34</t>
  </si>
  <si>
    <t>BD7</t>
  </si>
  <si>
    <t>St. Helens</t>
  </si>
  <si>
    <t>B12</t>
  </si>
  <si>
    <t>NE64</t>
  </si>
  <si>
    <t>CF34</t>
  </si>
  <si>
    <t>SA12</t>
  </si>
  <si>
    <t>TQ10</t>
  </si>
  <si>
    <t>SM3</t>
  </si>
  <si>
    <t>BD1</t>
  </si>
  <si>
    <t>HR5</t>
  </si>
  <si>
    <t>B7</t>
  </si>
  <si>
    <t>Lambeth</t>
  </si>
  <si>
    <t>CM18</t>
  </si>
  <si>
    <t>B25</t>
  </si>
  <si>
    <t>AB16</t>
  </si>
  <si>
    <t>AB21</t>
  </si>
  <si>
    <t>AB12</t>
  </si>
  <si>
    <t>IV31</t>
  </si>
  <si>
    <t>G75</t>
  </si>
  <si>
    <t>EH47</t>
  </si>
  <si>
    <t>KY5</t>
  </si>
  <si>
    <t>YO32</t>
  </si>
  <si>
    <t>Islington</t>
  </si>
  <si>
    <t>L30</t>
  </si>
  <si>
    <t>B36</t>
  </si>
  <si>
    <t>L33</t>
  </si>
  <si>
    <t>S7</t>
  </si>
  <si>
    <t>IG9</t>
  </si>
  <si>
    <t>RM12</t>
  </si>
  <si>
    <t>SS15</t>
  </si>
  <si>
    <t>B67</t>
  </si>
  <si>
    <t>Southwark</t>
  </si>
  <si>
    <t>RM5</t>
  </si>
  <si>
    <t>Ealing</t>
  </si>
  <si>
    <t>CH42</t>
  </si>
  <si>
    <t>TS10</t>
  </si>
  <si>
    <t>Lewisham</t>
  </si>
  <si>
    <t>EC1Y</t>
  </si>
  <si>
    <t>BN15</t>
  </si>
  <si>
    <t>LS6</t>
  </si>
  <si>
    <t>DN33</t>
  </si>
  <si>
    <t>88 Rupert Street</t>
  </si>
  <si>
    <t>RH18</t>
  </si>
  <si>
    <t>PE20</t>
  </si>
  <si>
    <t>WC2R</t>
  </si>
  <si>
    <t>EX38</t>
  </si>
  <si>
    <t>ME6</t>
  </si>
  <si>
    <t>Three Jays</t>
  </si>
  <si>
    <t>Gipsy Lane</t>
  </si>
  <si>
    <t>NG3</t>
  </si>
  <si>
    <t>E1W</t>
  </si>
  <si>
    <t>GU30</t>
  </si>
  <si>
    <t>WD5</t>
  </si>
  <si>
    <t>429 Norwich Road</t>
  </si>
  <si>
    <t>BD17</t>
  </si>
  <si>
    <t>WF17</t>
  </si>
  <si>
    <t>EX9</t>
  </si>
  <si>
    <t>BH11</t>
  </si>
  <si>
    <t>S14</t>
  </si>
  <si>
    <t>HD2</t>
  </si>
  <si>
    <t>EX19</t>
  </si>
  <si>
    <t>SN26</t>
  </si>
  <si>
    <t>CF33</t>
  </si>
  <si>
    <t>W1H</t>
  </si>
  <si>
    <t>UB2</t>
  </si>
  <si>
    <t>Four Horseshoes</t>
  </si>
  <si>
    <t>Hambleton</t>
  </si>
  <si>
    <t>36 Yarmouth Road</t>
  </si>
  <si>
    <t>TF6</t>
  </si>
  <si>
    <t>TN18</t>
  </si>
  <si>
    <t>RG24</t>
  </si>
  <si>
    <t>PO40</t>
  </si>
  <si>
    <t>Lower Road</t>
  </si>
  <si>
    <t>B30</t>
  </si>
  <si>
    <t>PO32</t>
  </si>
  <si>
    <t>DN39</t>
  </si>
  <si>
    <t>TS22</t>
  </si>
  <si>
    <t>HA5</t>
  </si>
  <si>
    <t>L16</t>
  </si>
  <si>
    <t>G12</t>
  </si>
  <si>
    <t>LS16</t>
  </si>
  <si>
    <t>Bedfordshire</t>
  </si>
  <si>
    <t>Bunbury Arms</t>
  </si>
  <si>
    <t>TF13</t>
  </si>
  <si>
    <t>BN12</t>
  </si>
  <si>
    <t>TR21</t>
  </si>
  <si>
    <t>Wild Man</t>
  </si>
  <si>
    <t>29 Bedford Street</t>
  </si>
  <si>
    <t>TD6</t>
  </si>
  <si>
    <t>NE67</t>
  </si>
  <si>
    <t>CV4</t>
  </si>
  <si>
    <t>G43</t>
  </si>
  <si>
    <t>RM1</t>
  </si>
  <si>
    <t>Lincolnshire</t>
  </si>
  <si>
    <t>LN10</t>
  </si>
  <si>
    <t>Hertfordshire</t>
  </si>
  <si>
    <t>SA61</t>
  </si>
  <si>
    <t>L38</t>
  </si>
  <si>
    <t>CO4</t>
  </si>
  <si>
    <t>W10</t>
  </si>
  <si>
    <t>Derbyshire</t>
  </si>
  <si>
    <t>N9</t>
  </si>
  <si>
    <t>NP8</t>
  </si>
  <si>
    <t>TS29</t>
  </si>
  <si>
    <t>E20</t>
  </si>
  <si>
    <t>PA7</t>
  </si>
  <si>
    <t>90 Thoroughfare</t>
  </si>
  <si>
    <t>LD2</t>
  </si>
  <si>
    <t>IV12</t>
  </si>
  <si>
    <t>115 Bures Road</t>
  </si>
  <si>
    <t>HA6</t>
  </si>
  <si>
    <t>B17</t>
  </si>
  <si>
    <t>Pykkerell Inn</t>
  </si>
  <si>
    <t>G52</t>
  </si>
  <si>
    <t>Shropshire</t>
  </si>
  <si>
    <t>PH15</t>
  </si>
  <si>
    <t>BH22</t>
  </si>
  <si>
    <t>M15</t>
  </si>
  <si>
    <t>SA72</t>
  </si>
  <si>
    <t>TN40</t>
  </si>
  <si>
    <t>SA32</t>
  </si>
  <si>
    <t>KA13</t>
  </si>
  <si>
    <t>SW17</t>
  </si>
  <si>
    <t>SR2</t>
  </si>
  <si>
    <t>EC3A</t>
  </si>
  <si>
    <t>18 St Georges Street</t>
  </si>
  <si>
    <t>HP8</t>
  </si>
  <si>
    <t>B73</t>
  </si>
  <si>
    <t>N17</t>
  </si>
  <si>
    <t>L13</t>
  </si>
  <si>
    <t>CF47</t>
  </si>
  <si>
    <t>BD3</t>
  </si>
  <si>
    <t>DN19</t>
  </si>
  <si>
    <t>EC4M</t>
  </si>
  <si>
    <t>W1J</t>
  </si>
  <si>
    <t>PH7</t>
  </si>
  <si>
    <t>DN2</t>
  </si>
  <si>
    <t>East Cliff</t>
  </si>
  <si>
    <t>Wickham Road</t>
  </si>
  <si>
    <t>IP23</t>
  </si>
  <si>
    <t>IP32</t>
  </si>
  <si>
    <t>KT4</t>
  </si>
  <si>
    <t>LL24</t>
  </si>
  <si>
    <t>G78</t>
  </si>
  <si>
    <t>HU10</t>
  </si>
  <si>
    <t>CA22</t>
  </si>
  <si>
    <t>SA68</t>
  </si>
  <si>
    <t>SR3</t>
  </si>
  <si>
    <t>ML9</t>
  </si>
  <si>
    <t>Tyne and Wear</t>
  </si>
  <si>
    <t>L17</t>
  </si>
  <si>
    <t>B37</t>
  </si>
  <si>
    <t>BS13</t>
  </si>
  <si>
    <t>W1D</t>
  </si>
  <si>
    <t>KA18</t>
  </si>
  <si>
    <t>AB22</t>
  </si>
  <si>
    <t>FY2</t>
  </si>
  <si>
    <t>L37</t>
  </si>
  <si>
    <t>B2</t>
  </si>
  <si>
    <t>NE7</t>
  </si>
  <si>
    <t>Lady Elizabeth</t>
  </si>
  <si>
    <t>SY9</t>
  </si>
  <si>
    <t>HA0</t>
  </si>
  <si>
    <t>Kings Lynn</t>
  </si>
  <si>
    <t>20 The Street</t>
  </si>
  <si>
    <t>KY6</t>
  </si>
  <si>
    <t>CA18</t>
  </si>
  <si>
    <t>Dog House</t>
  </si>
  <si>
    <t>KA8</t>
  </si>
  <si>
    <t>PL35</t>
  </si>
  <si>
    <t>PL33</t>
  </si>
  <si>
    <t>PH26</t>
  </si>
  <si>
    <t>ML12</t>
  </si>
  <si>
    <t>BS26</t>
  </si>
  <si>
    <t>RM7</t>
  </si>
  <si>
    <t>Newcastle-under-Lyme</t>
  </si>
  <si>
    <t>G23</t>
  </si>
  <si>
    <t>4 High Street, Clare</t>
  </si>
  <si>
    <t>EC3V</t>
  </si>
  <si>
    <t>CF63</t>
  </si>
  <si>
    <t>B28</t>
  </si>
  <si>
    <t>AB54</t>
  </si>
  <si>
    <t>GL17</t>
  </si>
  <si>
    <t>IG3</t>
  </si>
  <si>
    <t>Kingston upon Thames</t>
  </si>
  <si>
    <t>L26</t>
  </si>
  <si>
    <t>Berkshire</t>
  </si>
  <si>
    <t>BT9</t>
  </si>
  <si>
    <t>Somerset</t>
  </si>
  <si>
    <t>TS7</t>
  </si>
  <si>
    <t>EC4A</t>
  </si>
  <si>
    <t>LS8</t>
  </si>
  <si>
    <t>FK8</t>
  </si>
  <si>
    <t>E10</t>
  </si>
  <si>
    <t>Outlet Name</t>
  </si>
  <si>
    <t>Outlet Postcode</t>
  </si>
  <si>
    <t>Volume YoY</t>
  </si>
  <si>
    <t>Three Bottles Inn</t>
  </si>
  <si>
    <t>CO9 4HY</t>
  </si>
  <si>
    <t>NR3 2SA</t>
  </si>
  <si>
    <t>IP25 6AB</t>
  </si>
  <si>
    <t>IP1 1DD</t>
  </si>
  <si>
    <t>CO10 8HP</t>
  </si>
  <si>
    <t>Prince Regent</t>
  </si>
  <si>
    <t>Margaret Catchpole Inn</t>
  </si>
  <si>
    <t>NR2 3HD</t>
  </si>
  <si>
    <t>NR30 5EL</t>
  </si>
  <si>
    <t>Infinity</t>
  </si>
  <si>
    <t>NR31 6RE</t>
  </si>
  <si>
    <t>CO12 4LW</t>
  </si>
  <si>
    <t>NR32 1HB</t>
  </si>
  <si>
    <t>NR1 3NA</t>
  </si>
  <si>
    <t>CO16 8DU</t>
  </si>
  <si>
    <t>Waveney &amp; Oulton Broad Club</t>
  </si>
  <si>
    <t>NR33 9JR</t>
  </si>
  <si>
    <t>IP11 9DS</t>
  </si>
  <si>
    <t>NR2 2PE</t>
  </si>
  <si>
    <t>Wortwell Bell</t>
  </si>
  <si>
    <t>Bass</t>
  </si>
  <si>
    <t>CO13 0EF</t>
  </si>
  <si>
    <t>IP30 0PJ</t>
  </si>
  <si>
    <t>NR21 8BS</t>
  </si>
  <si>
    <t>NR21 7AA</t>
  </si>
  <si>
    <t>CO7 0JF</t>
  </si>
  <si>
    <t>IP13 9QE</t>
  </si>
  <si>
    <t>CO9 3EX</t>
  </si>
  <si>
    <t>NR32 4HP</t>
  </si>
  <si>
    <t>IP21 5AS</t>
  </si>
  <si>
    <t>Angel Sudbury</t>
  </si>
  <si>
    <t>NR15 1YG</t>
  </si>
  <si>
    <t>NR27 9DS</t>
  </si>
  <si>
    <t>CO10 7SA</t>
  </si>
  <si>
    <t>NR32 3NE</t>
  </si>
  <si>
    <t>NR29 5QQ</t>
  </si>
  <si>
    <t>NR30 5AQ</t>
  </si>
  <si>
    <t>NR26 8JP</t>
  </si>
  <si>
    <t>NR15 2DE</t>
  </si>
  <si>
    <t>Stella Artois Unfiltered</t>
  </si>
  <si>
    <t>IP3 9FF</t>
  </si>
  <si>
    <t>CO10 8NY</t>
  </si>
  <si>
    <t>EstrellaD -12.2%</t>
  </si>
  <si>
    <t>Madri -14.8%</t>
  </si>
  <si>
    <t>Punk -28%</t>
  </si>
  <si>
    <t>Neckoil -11%</t>
  </si>
  <si>
    <t>CARLS -10.3%</t>
  </si>
  <si>
    <t>Calring -12%</t>
  </si>
  <si>
    <t>Fosters -11.3%</t>
  </si>
  <si>
    <t>+4.5% Pint vs Moretti YOY</t>
  </si>
  <si>
    <t>+3.7% Pint vs HUK YOY</t>
  </si>
  <si>
    <t>NR16 2EP</t>
  </si>
  <si>
    <t>NR21 7NY</t>
  </si>
  <si>
    <t>NR33 0AG</t>
  </si>
  <si>
    <t>SDM</t>
  </si>
  <si>
    <t>Little Wellington (Stowmarket)</t>
  </si>
  <si>
    <t>Fakenham Conservative Club</t>
  </si>
  <si>
    <t>NR21 8AD</t>
  </si>
  <si>
    <t>nr14 8st</t>
  </si>
  <si>
    <t>Glen Lodge Golf and Wedding Center</t>
  </si>
  <si>
    <t>IP14 1PH</t>
  </si>
  <si>
    <t>The Grebe</t>
  </si>
  <si>
    <t>NR12 9BB</t>
  </si>
  <si>
    <t>attleboro football</t>
  </si>
  <si>
    <t>seaspan</t>
  </si>
  <si>
    <t>falcon</t>
  </si>
  <si>
    <t>lou</t>
  </si>
  <si>
    <t>Emma and Darren (penny sister)</t>
  </si>
  <si>
    <t>new management tbd</t>
  </si>
  <si>
    <t>kelly bar manager (sue secratary)</t>
  </si>
  <si>
    <t>steve and steve</t>
  </si>
  <si>
    <t>lou@bawburgh.com</t>
  </si>
  <si>
    <t>mciver</t>
  </si>
  <si>
    <t>pitt</t>
  </si>
  <si>
    <t>44 7584 073258</t>
  </si>
  <si>
    <t>kish</t>
  </si>
  <si>
    <t>ip11 9ds</t>
  </si>
  <si>
    <t>co15 1un</t>
  </si>
  <si>
    <t>bath house</t>
  </si>
  <si>
    <t>why - staci/lead/rm/whoopsie</t>
  </si>
  <si>
    <t>lead low</t>
  </si>
  <si>
    <t>install fu</t>
  </si>
  <si>
    <t>lead mid</t>
  </si>
  <si>
    <t>rm help</t>
  </si>
  <si>
    <t>listing fee</t>
  </si>
  <si>
    <t>£121.36+VAT   for tnt</t>
  </si>
  <si>
    <t>pale installing ipo Level - lvm x2 nov 26</t>
  </si>
  <si>
    <t>Hethersett Social Club (Norwich)</t>
  </si>
  <si>
    <t>NR9 3DB</t>
  </si>
  <si>
    <t>NR31 9QQ</t>
  </si>
  <si>
    <t>Ipswich Social Club (Ipswich)</t>
  </si>
  <si>
    <t>Kelvedon Labour Club (Kelvedon)</t>
  </si>
  <si>
    <t>CO5 9AE</t>
  </si>
  <si>
    <t>County Of Suffolk (Ipswich)</t>
  </si>
  <si>
    <t>Glemsford Social Club</t>
  </si>
  <si>
    <t>CO10 7RP</t>
  </si>
  <si>
    <t>Sudbury Snooker Club and Function R</t>
  </si>
  <si>
    <t>George (Cavendish)</t>
  </si>
  <si>
    <t>CO10 8BA</t>
  </si>
  <si>
    <t>Walsham Le Willows Sports Club (Bur</t>
  </si>
  <si>
    <t>Pavilion (Colchester)</t>
  </si>
  <si>
    <t>Red Lion (St Ostyh)</t>
  </si>
  <si>
    <t>Oak Tavern (Lowestoft)</t>
  </si>
  <si>
    <t>NR32 1SQ</t>
  </si>
  <si>
    <t>Colchester Indoor Bowls Club (Colch</t>
  </si>
  <si>
    <t>CO2 7XB</t>
  </si>
  <si>
    <t>Arnie's (Dereham)</t>
  </si>
  <si>
    <t>Blue Boar inn (Walsham Le Willows)</t>
  </si>
  <si>
    <t>Hudson (Colchester)</t>
  </si>
  <si>
    <t>Black Swan (Homersfield)</t>
  </si>
  <si>
    <t>tnt</t>
  </si>
  <si>
    <t>rtm</t>
  </si>
  <si>
    <t>Coopers</t>
  </si>
  <si>
    <t>32-33 Copeland</t>
  </si>
  <si>
    <t>Bretton</t>
  </si>
  <si>
    <t>Cambridgeshire</t>
  </si>
  <si>
    <t>PE3 6YJ</t>
  </si>
  <si>
    <t>Alex De Araujo</t>
  </si>
  <si>
    <t>Orb &amp; Sceptre</t>
  </si>
  <si>
    <t>Gaywood</t>
  </si>
  <si>
    <t>PE30 3AZ</t>
  </si>
  <si>
    <t>Becky Holt</t>
  </si>
  <si>
    <t>Lee Jarvis</t>
  </si>
  <si>
    <t>Ostrich</t>
  </si>
  <si>
    <t>Stocks Green</t>
  </si>
  <si>
    <t>Castle Acre</t>
  </si>
  <si>
    <t>PE34 3HT</t>
  </si>
  <si>
    <t>PUB</t>
  </si>
  <si>
    <t>STREET</t>
  </si>
  <si>
    <t>VILLAGE</t>
  </si>
  <si>
    <t>TOWN</t>
  </si>
  <si>
    <t>COUNTY</t>
  </si>
  <si>
    <t>POSTCODE</t>
  </si>
  <si>
    <t>Greene King L&amp;T</t>
  </si>
  <si>
    <t>Robert Kett</t>
  </si>
  <si>
    <t>NR18 0HH</t>
  </si>
  <si>
    <t>Sculthorpe Mill</t>
  </si>
  <si>
    <t>Sculthorpe</t>
  </si>
  <si>
    <t>NR21 9QG</t>
  </si>
  <si>
    <t>Drayton</t>
  </si>
  <si>
    <t>NR8 6XE</t>
  </si>
  <si>
    <t>Samantha Wortley</t>
  </si>
  <si>
    <t>Ye Olde Bell &amp; Steelyard</t>
  </si>
  <si>
    <t>IP12 1DZ</t>
  </si>
  <si>
    <t>Market Hill</t>
  </si>
  <si>
    <t>Shepherd &amp; Dog</t>
  </si>
  <si>
    <t>Onehouse</t>
  </si>
  <si>
    <t>3 Old Street</t>
  </si>
  <si>
    <t>Haughley</t>
  </si>
  <si>
    <t>IP14 3NT</t>
  </si>
  <si>
    <t>Burrell Road</t>
  </si>
  <si>
    <t>Thornham Magna</t>
  </si>
  <si>
    <t>Beyton</t>
  </si>
  <si>
    <t>Elmswell</t>
  </si>
  <si>
    <t>Ingham</t>
  </si>
  <si>
    <t>IP31 1NG</t>
  </si>
  <si>
    <t>Fornham St Martin</t>
  </si>
  <si>
    <t>Pykkerell</t>
  </si>
  <si>
    <t>Ixworth</t>
  </si>
  <si>
    <t>Great Barton</t>
  </si>
  <si>
    <t>Dog</t>
  </si>
  <si>
    <t>Thurston</t>
  </si>
  <si>
    <t>IP31 3QH</t>
  </si>
  <si>
    <t>Needham Market</t>
  </si>
  <si>
    <t>Hadleigh</t>
  </si>
  <si>
    <t>IP7 5AL</t>
  </si>
  <si>
    <t>Hannah Mills</t>
  </si>
  <si>
    <t>Greene King MNG</t>
  </si>
  <si>
    <t>54-56 Artillery Street</t>
  </si>
  <si>
    <t>Goat &amp; Boot</t>
  </si>
  <si>
    <t>CO1 2QW</t>
  </si>
  <si>
    <t>James Pearson</t>
  </si>
  <si>
    <t>Acton</t>
  </si>
  <si>
    <t>CO10 0AT</t>
  </si>
  <si>
    <t>Great Cornard</t>
  </si>
  <si>
    <t>CO10 2RZ</t>
  </si>
  <si>
    <t>Long Melford</t>
  </si>
  <si>
    <t>George &amp; Dragon</t>
  </si>
  <si>
    <t>Lavenham</t>
  </si>
  <si>
    <t>51-53 High Street</t>
  </si>
  <si>
    <t>Frinton On Sea</t>
  </si>
  <si>
    <t>CO13 0AZ</t>
  </si>
  <si>
    <t>Walton-On-The-Naze</t>
  </si>
  <si>
    <t>Little Clacton</t>
  </si>
  <si>
    <t>Spring Lane</t>
  </si>
  <si>
    <t>Fordham Heath</t>
  </si>
  <si>
    <t>Friar</t>
  </si>
  <si>
    <t>St Christopher Road</t>
  </si>
  <si>
    <t>CO4 0NE</t>
  </si>
  <si>
    <t>Copford Green</t>
  </si>
  <si>
    <t>Copford</t>
  </si>
  <si>
    <t>Brightlingsea</t>
  </si>
  <si>
    <t>Wivenhoe</t>
  </si>
  <si>
    <t>CO7 9BX</t>
  </si>
  <si>
    <t>CM7 2QA</t>
  </si>
  <si>
    <t>Kynaston Road</t>
  </si>
  <si>
    <t>Panfield</t>
  </si>
  <si>
    <t>CM7 5AQ</t>
  </si>
  <si>
    <t>CM8 2AF</t>
  </si>
  <si>
    <t>Western Road</t>
  </si>
  <si>
    <t>Silver End</t>
  </si>
  <si>
    <t>CM8 3SD</t>
  </si>
  <si>
    <t>CM9 5BX</t>
  </si>
  <si>
    <t>Black Rabbit</t>
  </si>
  <si>
    <t>Eagle Kings Lynn</t>
  </si>
  <si>
    <t>Maids Head Kings Lynn</t>
  </si>
  <si>
    <t>Swan South Wootton</t>
  </si>
  <si>
    <t>White Horse Kings Lynn</t>
  </si>
  <si>
    <t>Black Horse Castle Rising</t>
  </si>
  <si>
    <t>Bushel &amp; Strike Heacham</t>
  </si>
  <si>
    <t>Queen Victoria Snettisham</t>
  </si>
  <si>
    <t>Angel Watlington</t>
  </si>
  <si>
    <t>King William Terrington</t>
  </si>
  <si>
    <t>Wash &amp; Tope Hunstanton</t>
  </si>
  <si>
    <t>Greyhound Swaffham</t>
  </si>
  <si>
    <t>Rachel Nield-Keeley</t>
  </si>
  <si>
    <t>Lawrence Pitt</t>
  </si>
  <si>
    <t>110 Norfolk Street</t>
  </si>
  <si>
    <t>7 Tuesday Market Place</t>
  </si>
  <si>
    <t>Nursery Lane South Wootton</t>
  </si>
  <si>
    <t>9 Wootton Road</t>
  </si>
  <si>
    <t>School Road Castle Rising</t>
  </si>
  <si>
    <t>24 Malthouse Crescent Heacham</t>
  </si>
  <si>
    <t>19 Lynn Road Snettisham</t>
  </si>
  <si>
    <t>Creake Road Burnham Market</t>
  </si>
  <si>
    <t>School Road Watlington</t>
  </si>
  <si>
    <t>Churchgate Way Terrington St. Clement</t>
  </si>
  <si>
    <t>Le Strange Terrace</t>
  </si>
  <si>
    <t>PE30 1AQ</t>
  </si>
  <si>
    <t>PE30 1JL</t>
  </si>
  <si>
    <t>PE30 3NG</t>
  </si>
  <si>
    <t>PE30 4EZ</t>
  </si>
  <si>
    <t>PE31 6AG</t>
  </si>
  <si>
    <t>PE31 7DL</t>
  </si>
  <si>
    <t>PE31 7LW</t>
  </si>
  <si>
    <t>PE31 8EN</t>
  </si>
  <si>
    <t>PE33 0HA</t>
  </si>
  <si>
    <t>PE34 4LZ</t>
  </si>
  <si>
    <t>PE36 5AJ</t>
  </si>
  <si>
    <t>PE37 7AQ</t>
  </si>
  <si>
    <t>NR1 1DG</t>
  </si>
  <si>
    <t>NR1 3RU</t>
  </si>
  <si>
    <t>NR10 3AY</t>
  </si>
  <si>
    <t>NR10 3PE</t>
  </si>
  <si>
    <t>NR2 2AS</t>
  </si>
  <si>
    <t>NR2 3BL</t>
  </si>
  <si>
    <t>NR2 4SF</t>
  </si>
  <si>
    <t>NR26 8BQ</t>
  </si>
  <si>
    <t>NR26 8RE</t>
  </si>
  <si>
    <t>NR29 4EU</t>
  </si>
  <si>
    <t>NR30 2PA</t>
  </si>
  <si>
    <t>NR30 5HA</t>
  </si>
  <si>
    <t>NR30 5NJ</t>
  </si>
  <si>
    <t>NR31 9BH</t>
  </si>
  <si>
    <t>NR31 9HE</t>
  </si>
  <si>
    <t>NR31 9JT</t>
  </si>
  <si>
    <t>NR32 2RB</t>
  </si>
  <si>
    <t>NR33 7AA</t>
  </si>
  <si>
    <t>NR6 5QA</t>
  </si>
  <si>
    <t>63-67 Prince Of Wales Road Wroxham</t>
  </si>
  <si>
    <t>2-8 All Saints Green</t>
  </si>
  <si>
    <t>Norwich Haymarket</t>
  </si>
  <si>
    <t>10 Stratton Road Hainford</t>
  </si>
  <si>
    <t>1 Crostwick Lane Spixworth</t>
  </si>
  <si>
    <t>10 Hungate Street Aylsham</t>
  </si>
  <si>
    <t>Market Place Aylsham</t>
  </si>
  <si>
    <t>North Walsham Road Crostwick</t>
  </si>
  <si>
    <t>28 Wroxham Road Coltishall</t>
  </si>
  <si>
    <t>54 Lower Street Horning</t>
  </si>
  <si>
    <t>Acle Bridge Acle</t>
  </si>
  <si>
    <t>The Street Acle</t>
  </si>
  <si>
    <t>39 Yarmouth Road Blofield</t>
  </si>
  <si>
    <t>108 The Street Brundall</t>
  </si>
  <si>
    <t>16 Bridge Street Loddon</t>
  </si>
  <si>
    <t>Kirby Road Trowse</t>
  </si>
  <si>
    <t>Market Street East Harling</t>
  </si>
  <si>
    <t>Quebec Street</t>
  </si>
  <si>
    <t>149 Newmarket Street</t>
  </si>
  <si>
    <t>1 Pembroke Road</t>
  </si>
  <si>
    <t>288 Heigham Street</t>
  </si>
  <si>
    <t>23 Bank Plain</t>
  </si>
  <si>
    <t>3 Queens Road</t>
  </si>
  <si>
    <t>10 West Road Ormesby</t>
  </si>
  <si>
    <t>The Street Hemsby</t>
  </si>
  <si>
    <t>12 Repps Road Martham</t>
  </si>
  <si>
    <t>High Street Ludham</t>
  </si>
  <si>
    <t>414 Aylsham Road</t>
  </si>
  <si>
    <t>33-34 Regent Road</t>
  </si>
  <si>
    <t>1 Market Gates</t>
  </si>
  <si>
    <t>8 Nelson Road Central</t>
  </si>
  <si>
    <t>West Road Caister-on-Sea</t>
  </si>
  <si>
    <t>High Street Caister-on-Sea</t>
  </si>
  <si>
    <t>2 Victoria Street Caister-on-Sea</t>
  </si>
  <si>
    <t>132 Ormesby Road Caister-on-Sea</t>
  </si>
  <si>
    <t>128 High Street Gorleston</t>
  </si>
  <si>
    <t>Beccles Road Bradwell</t>
  </si>
  <si>
    <t>Station Road Hopton</t>
  </si>
  <si>
    <t>Beccles Road St. Olaves</t>
  </si>
  <si>
    <t>St. Johns Road Belton</t>
  </si>
  <si>
    <t>170 London Road North</t>
  </si>
  <si>
    <t>Fir Lane</t>
  </si>
  <si>
    <t>Gresham Avenue</t>
  </si>
  <si>
    <t>15 Commodore Road</t>
  </si>
  <si>
    <t>Market Lane Blundeston</t>
  </si>
  <si>
    <t>1 London Road Pakefield</t>
  </si>
  <si>
    <t>53 The Street Carlton Colville</t>
  </si>
  <si>
    <t>132-134 Bridge Road</t>
  </si>
  <si>
    <t>39 High Street Wangford</t>
  </si>
  <si>
    <t>59 Ipswich Road</t>
  </si>
  <si>
    <t>79 Norwich Road</t>
  </si>
  <si>
    <t>197 Reepham Road</t>
  </si>
  <si>
    <t>85 Spixworth Road</t>
  </si>
  <si>
    <t>11 North Walsham Road</t>
  </si>
  <si>
    <t>148 Thunder Lane</t>
  </si>
  <si>
    <t>264 Fakenham Road Taverham</t>
  </si>
  <si>
    <t>12 Norwich Road Hethersett</t>
  </si>
  <si>
    <t>36 Norwich Road Hethersett</t>
  </si>
  <si>
    <t>Stonegate MNG</t>
  </si>
  <si>
    <t>Popworld Norwich</t>
  </si>
  <si>
    <t>Pig &amp; Whistle Norwich</t>
  </si>
  <si>
    <t>Lamb Inn Norwich</t>
  </si>
  <si>
    <t>Chequers Hainford</t>
  </si>
  <si>
    <t>Longe Arms Spixworth</t>
  </si>
  <si>
    <t>Unicorn Aylsham</t>
  </si>
  <si>
    <t>Black Boys Aylsham</t>
  </si>
  <si>
    <t>White Horse Crostwick</t>
  </si>
  <si>
    <t>Rising Sun Coltishall</t>
  </si>
  <si>
    <t>New Inn Horning</t>
  </si>
  <si>
    <t>Bridge Inn Acle</t>
  </si>
  <si>
    <t>Kings Head Blofield</t>
  </si>
  <si>
    <t>Ram Inn Brundall</t>
  </si>
  <si>
    <t>Kings Head Loddon</t>
  </si>
  <si>
    <t>Crown Point Tavern Norwich</t>
  </si>
  <si>
    <t>Swan East Harling</t>
  </si>
  <si>
    <t>White Lodge Attleborough</t>
  </si>
  <si>
    <t>White Hart Wymondham</t>
  </si>
  <si>
    <t>Millwright Arms Toftwood</t>
  </si>
  <si>
    <t>Red Lion Dereham</t>
  </si>
  <si>
    <t>Walnut Tree Shades Norwich</t>
  </si>
  <si>
    <t>York Nr2 Norwich</t>
  </si>
  <si>
    <t>Rose Tavern Norwich</t>
  </si>
  <si>
    <t>Unthank Arms Norwich</t>
  </si>
  <si>
    <t>Belle Vue Norwich</t>
  </si>
  <si>
    <t>Garden House Norwich</t>
  </si>
  <si>
    <t>Nelson Norwich</t>
  </si>
  <si>
    <t>Gibraltar Gardens Norwich</t>
  </si>
  <si>
    <t>Be At One Norwich</t>
  </si>
  <si>
    <t>Rampant Horse Fakenham</t>
  </si>
  <si>
    <t>Crown Sheringham</t>
  </si>
  <si>
    <t>Lobster Sheringham</t>
  </si>
  <si>
    <t>Robin Hood Sheringham</t>
  </si>
  <si>
    <t>White Horse Cromer</t>
  </si>
  <si>
    <t>Black Swan North Walsham</t>
  </si>
  <si>
    <t>White Swan North Walsham</t>
  </si>
  <si>
    <t>Jolly Farmers Ormesby</t>
  </si>
  <si>
    <t>Bell Hemsby</t>
  </si>
  <si>
    <t>Victoria Inn Martham</t>
  </si>
  <si>
    <t>Kings Arms Ludham</t>
  </si>
  <si>
    <t>Edith Cavell Norwich</t>
  </si>
  <si>
    <t>Boundary Public House Norwich</t>
  </si>
  <si>
    <t>Brickmakers Norwich</t>
  </si>
  <si>
    <t>Market Tavern Great Yarmouth</t>
  </si>
  <si>
    <t>Prince Regent Gt Yarmouth</t>
  </si>
  <si>
    <t>Feathers Great Yarmouth</t>
  </si>
  <si>
    <t>Albion Great Yarmouth</t>
  </si>
  <si>
    <t>Peggottys Great Yarmouth</t>
  </si>
  <si>
    <t>Kings Arms Caister</t>
  </si>
  <si>
    <t>Gate Caister</t>
  </si>
  <si>
    <t>Ship Gt Yarmouth</t>
  </si>
  <si>
    <t>Centurion Caister On Sea</t>
  </si>
  <si>
    <t>Feathers Gorleston</t>
  </si>
  <si>
    <t>Sun Inn Bradwell</t>
  </si>
  <si>
    <t>Turnstone Hopton</t>
  </si>
  <si>
    <t>Bell St Olaves</t>
  </si>
  <si>
    <t>Kings Head Belton</t>
  </si>
  <si>
    <t>Volunteer Lowestoft</t>
  </si>
  <si>
    <t>Norman Warrior Lowestoft</t>
  </si>
  <si>
    <t>Ole Frank Lowestoft</t>
  </si>
  <si>
    <t>Commodore Lowestoft</t>
  </si>
  <si>
    <t>Plough Blundeston</t>
  </si>
  <si>
    <t>Trowel &amp; Hammer Lowestoft</t>
  </si>
  <si>
    <t>Tramway Lowestoft</t>
  </si>
  <si>
    <t>Old Red House Carlton</t>
  </si>
  <si>
    <t>Lady Of The Lake Lowestoft</t>
  </si>
  <si>
    <t>Waveney Oulton Broad</t>
  </si>
  <si>
    <t>Angel Inn Wangford</t>
  </si>
  <si>
    <t>Bear &amp; Bells Beccles</t>
  </si>
  <si>
    <t>Oak Tree Norwich</t>
  </si>
  <si>
    <t>Cellar House Eaton</t>
  </si>
  <si>
    <t>Farmhouse Norwich</t>
  </si>
  <si>
    <t>Crown New Costessey</t>
  </si>
  <si>
    <t>Fiveways Norwich</t>
  </si>
  <si>
    <t>The Bull Hellesdon</t>
  </si>
  <si>
    <t>Maids Head Catton</t>
  </si>
  <si>
    <t>Woodman Old Catton</t>
  </si>
  <si>
    <t>Rivergarden Thorpe St Andrew</t>
  </si>
  <si>
    <t>Cottage Thorpe</t>
  </si>
  <si>
    <t>Queens Head Hethersett</t>
  </si>
  <si>
    <t>Kings Head Hethersett</t>
  </si>
  <si>
    <t>Darren Guyon</t>
  </si>
  <si>
    <t>Paul Beynon</t>
  </si>
  <si>
    <t>Hazel Kindred</t>
  </si>
  <si>
    <t>Stuart Galloway</t>
  </si>
  <si>
    <t>Matthew Smith</t>
  </si>
  <si>
    <t>Sean Williams</t>
  </si>
  <si>
    <t>CO1 1NH</t>
  </si>
  <si>
    <t>CO9 1TP</t>
  </si>
  <si>
    <t>CO16 0DY</t>
  </si>
  <si>
    <t>CO6 4ET</t>
  </si>
  <si>
    <t>CO1 1TB</t>
  </si>
  <si>
    <t>29-39 Head Street</t>
  </si>
  <si>
    <t>Marlowe Road Jaywick</t>
  </si>
  <si>
    <t>The Street Gosfield</t>
  </si>
  <si>
    <t>3-5 Butler Road</t>
  </si>
  <si>
    <t>421 St. Johns Road</t>
  </si>
  <si>
    <t>High Street Thorpe-le-Soken</t>
  </si>
  <si>
    <t>Nayland Road Great Horkesley</t>
  </si>
  <si>
    <t>175 Frinton Road Holland-on-Sea</t>
  </si>
  <si>
    <t>189 Old Road</t>
  </si>
  <si>
    <t>32 The Street Kirby-le-Soken</t>
  </si>
  <si>
    <t>66 North Hill</t>
  </si>
  <si>
    <t>Church Street Lavenham</t>
  </si>
  <si>
    <t>Main Road Frating</t>
  </si>
  <si>
    <t>Queensbury House East Street</t>
  </si>
  <si>
    <t>Clacton-on-Sea</t>
  </si>
  <si>
    <t>Frinton-on-Sea</t>
  </si>
  <si>
    <t>Jenny Kuhn</t>
  </si>
  <si>
    <t>Kristopher Reed</t>
  </si>
  <si>
    <t>Walkabout Colchester</t>
  </si>
  <si>
    <t>Three Jays Clacton On Sea</t>
  </si>
  <si>
    <t>Kings Head Gosfield</t>
  </si>
  <si>
    <t>Locomotive Halstead</t>
  </si>
  <si>
    <t>Brace Of Pistols Clacton-On-Sea</t>
  </si>
  <si>
    <t>Crown Thorpe Le Soken</t>
  </si>
  <si>
    <t>Half Butt Inn Colchester</t>
  </si>
  <si>
    <t>Oakwood Inn Holland-On-Se</t>
  </si>
  <si>
    <t>Queens Arms Clacton-On-Sea</t>
  </si>
  <si>
    <t>Red Lion Kirby-Le-Soken</t>
  </si>
  <si>
    <t>Berechurch Arms Colchester</t>
  </si>
  <si>
    <t>The Centurion Colchester</t>
  </si>
  <si>
    <t>Slug And Lettuce Colchester</t>
  </si>
  <si>
    <t>Cock Horse Lavenham</t>
  </si>
  <si>
    <t>Kings Arms Frating</t>
  </si>
  <si>
    <t>Weavers Tap Sudbury</t>
  </si>
  <si>
    <t>IP19 8LH</t>
  </si>
  <si>
    <t>IP2 0QG</t>
  </si>
  <si>
    <t>IP22 4QQ</t>
  </si>
  <si>
    <t>8 Cornhill</t>
  </si>
  <si>
    <t>Melton Road Melton</t>
  </si>
  <si>
    <t>Aldringham</t>
  </si>
  <si>
    <t>301 Hawthorn Drive</t>
  </si>
  <si>
    <t>Radcliffe Drive</t>
  </si>
  <si>
    <t>52 High Road Wortwell</t>
  </si>
  <si>
    <t>The Street Dickleburgh</t>
  </si>
  <si>
    <t>Low Street Hoxne</t>
  </si>
  <si>
    <t>63 Denmark Street</t>
  </si>
  <si>
    <t>9 St. Nicholas Street</t>
  </si>
  <si>
    <t>25 High Street Watton</t>
  </si>
  <si>
    <t>2 Dogs Head Street</t>
  </si>
  <si>
    <t>Mannings Ipswich</t>
  </si>
  <si>
    <t>Black Horse Ipswich</t>
  </si>
  <si>
    <t>Suffolk Punch Ipswich</t>
  </si>
  <si>
    <t>Ferryboat Felixstowe</t>
  </si>
  <si>
    <t>Coach &amp; Horses Woodbridge</t>
  </si>
  <si>
    <t>Parrot &amp; Punchbowl Leiston</t>
  </si>
  <si>
    <t>Kingfisher Ipswich</t>
  </si>
  <si>
    <t>Belstead Arms Ipswich</t>
  </si>
  <si>
    <t>Wortwell Bell Wortwell</t>
  </si>
  <si>
    <t>Dickleburgh Crown Dickleburgh</t>
  </si>
  <si>
    <t>Swan Inn Hoxne</t>
  </si>
  <si>
    <t>Cock Inn Diss</t>
  </si>
  <si>
    <t>Greyhound Diss</t>
  </si>
  <si>
    <t>Saracens Head Diss</t>
  </si>
  <si>
    <t>Green Dragon Thetford</t>
  </si>
  <si>
    <t>Crown Hotel Watton</t>
  </si>
  <si>
    <t>Plough Ipswich</t>
  </si>
  <si>
    <t>CM9 8AS</t>
  </si>
  <si>
    <t>CM9 8PX</t>
  </si>
  <si>
    <t>Mark Nield</t>
  </si>
  <si>
    <t>Graham Roberts</t>
  </si>
  <si>
    <t>Punch</t>
  </si>
  <si>
    <t>PE28 5UY</t>
  </si>
  <si>
    <t>PE31 7AW</t>
  </si>
  <si>
    <t>PE36 6LH</t>
  </si>
  <si>
    <t>Sam Davey-Joy</t>
  </si>
  <si>
    <t>Charlie Ashwell</t>
  </si>
  <si>
    <t>NR22 6BP</t>
  </si>
  <si>
    <t>NR14 7NB</t>
  </si>
  <si>
    <t>NR12 0YA</t>
  </si>
  <si>
    <t>NR12 9QA</t>
  </si>
  <si>
    <t>NR3 4LG</t>
  </si>
  <si>
    <t>CO7 9AZ</t>
  </si>
  <si>
    <t>CO7 8AQ</t>
  </si>
  <si>
    <t>CO7 9DH</t>
  </si>
  <si>
    <t>Jason Harris</t>
  </si>
  <si>
    <t>CO11 1DX</t>
  </si>
  <si>
    <t>NR25 7TT</t>
  </si>
  <si>
    <t>NR3 1BA</t>
  </si>
  <si>
    <t>NR25 7XA</t>
  </si>
  <si>
    <t>NR23 1AH</t>
  </si>
  <si>
    <t>Cley Next The Sea</t>
  </si>
  <si>
    <t>Bungay Road</t>
  </si>
  <si>
    <t>88 Gordon Avenue</t>
  </si>
  <si>
    <t>Bowthorpe Main Centre</t>
  </si>
  <si>
    <t>Skinners</t>
  </si>
  <si>
    <t>Purdy Street</t>
  </si>
  <si>
    <t>IP11 9NF</t>
  </si>
  <si>
    <t>IP12 1DX</t>
  </si>
  <si>
    <t>IP14 1EQ</t>
  </si>
  <si>
    <t>IP21 4SU</t>
  </si>
  <si>
    <t>IP4 1HB</t>
  </si>
  <si>
    <t>IP4 2SH</t>
  </si>
  <si>
    <t>IP5 1AA</t>
  </si>
  <si>
    <t>IP6 0AR</t>
  </si>
  <si>
    <t>IP7 5EF</t>
  </si>
  <si>
    <t>IP8 3NH</t>
  </si>
  <si>
    <t>2 Ipswich Road</t>
  </si>
  <si>
    <t>CO3 3ES</t>
  </si>
  <si>
    <t>Ged Macken</t>
  </si>
  <si>
    <t>CO3 3AA</t>
  </si>
  <si>
    <t>IP4 4NX</t>
  </si>
  <si>
    <t>Trust</t>
  </si>
  <si>
    <t>Tomos Tavern Limited</t>
  </si>
  <si>
    <t>Loft Tavern (Braintree)</t>
  </si>
  <si>
    <t>Sportsman (Braintree)</t>
  </si>
  <si>
    <t>Horse &amp; Groom PH (Cornish Hall End)</t>
  </si>
  <si>
    <t>Vine (Great Bardfield)</t>
  </si>
  <si>
    <t>Bocking United Serv Social Club</t>
  </si>
  <si>
    <t>Bocking Social Club Limited</t>
  </si>
  <si>
    <t>O'Gradys (Braintree)</t>
  </si>
  <si>
    <t>Swiss Bell (Braintree)</t>
  </si>
  <si>
    <t>Braintree Golf Club (Braintree)</t>
  </si>
  <si>
    <t>Black Notley Community Association</t>
  </si>
  <si>
    <t>Swan (Witham)</t>
  </si>
  <si>
    <t>RAFA Witham &amp; Rivenhall Club</t>
  </si>
  <si>
    <t>White Notley FC (Faulkebourne)</t>
  </si>
  <si>
    <t>Spring Lodge Community Centre</t>
  </si>
  <si>
    <t>Woolpack Inn (Witham)</t>
  </si>
  <si>
    <t>Little Elms (Witham)</t>
  </si>
  <si>
    <t>Crittall Athletic &amp; Social Club (Si</t>
  </si>
  <si>
    <t>Stepfield Snooker Club (Witham)</t>
  </si>
  <si>
    <t>Old Ship (Maldon)</t>
  </si>
  <si>
    <t>Old Ship (Lockhill)</t>
  </si>
  <si>
    <t>Jolly Sailors (Maldon)</t>
  </si>
  <si>
    <t>Maldon &amp; Tiptree FC (Maldon)</t>
  </si>
  <si>
    <t>Maldon &amp; District Cons Club (Maldon</t>
  </si>
  <si>
    <t>White Horse (Mundon)</t>
  </si>
  <si>
    <t>Forrester Park (Maldon)</t>
  </si>
  <si>
    <t>Forrester Park Golf Club (Maldon)</t>
  </si>
  <si>
    <t>Five Lakes Essex (Maldon)</t>
  </si>
  <si>
    <t>Five Lakes (Maldon)</t>
  </si>
  <si>
    <t>CM7 2TH</t>
  </si>
  <si>
    <t>CM7 3QX</t>
  </si>
  <si>
    <t>CM7 4HF</t>
  </si>
  <si>
    <t>CM7 4SR</t>
  </si>
  <si>
    <t>CM7 5LA</t>
  </si>
  <si>
    <t>CM7 5RL</t>
  </si>
  <si>
    <t>CM7 9UL</t>
  </si>
  <si>
    <t>CM77 8DD</t>
  </si>
  <si>
    <t>CM77 8NE</t>
  </si>
  <si>
    <t>CM8 1BE</t>
  </si>
  <si>
    <t>CM8 1BX</t>
  </si>
  <si>
    <t>CM8 1SF</t>
  </si>
  <si>
    <t>CM8 2HE</t>
  </si>
  <si>
    <t>CM8 2JP</t>
  </si>
  <si>
    <t>CM8 2LX</t>
  </si>
  <si>
    <t>CM8 3RQ</t>
  </si>
  <si>
    <t>CM8 3TH</t>
  </si>
  <si>
    <t>CM9 4RX</t>
  </si>
  <si>
    <t>CM9 5HP</t>
  </si>
  <si>
    <t>CM9 5JQ</t>
  </si>
  <si>
    <t>CM9 6AA</t>
  </si>
  <si>
    <t>CM9 6PB</t>
  </si>
  <si>
    <t>CM9 8EA</t>
  </si>
  <si>
    <t>CM9 8HX</t>
  </si>
  <si>
    <t>Greene King IFT</t>
  </si>
  <si>
    <t>5 Guys (Broadway)</t>
  </si>
  <si>
    <t>AFC Sudbury (Sudbury)</t>
  </si>
  <si>
    <t>Amber Bar &amp; Restaurant (Cromer)</t>
  </si>
  <si>
    <t>Amerio's Bar (Colchester)</t>
  </si>
  <si>
    <t>Angel Gardens (Norwich)</t>
  </si>
  <si>
    <t>Angel Hotel (Lavenham)</t>
  </si>
  <si>
    <t>Angel Inn (Wangford)</t>
  </si>
  <si>
    <t>Banham Community Bar (Banham)</t>
  </si>
  <si>
    <t>Barnby Swan (Beccles)</t>
  </si>
  <si>
    <t>Barnham Broom Golf Club (Norwich)</t>
  </si>
  <si>
    <t>Beauchamp Arms (Langley)</t>
  </si>
  <si>
    <t>Beccles Caxton Club (Beccles) ECI</t>
  </si>
  <si>
    <t>Beccles Sports &amp; Social Club (Beccl</t>
  </si>
  <si>
    <t>Bell (Barnham Broom)</t>
  </si>
  <si>
    <t>Bell (Lowestoft)</t>
  </si>
  <si>
    <t>Birch Grove Golf Club (Colchester)</t>
  </si>
  <si>
    <t>Bird In Hand (Wreningham)</t>
  </si>
  <si>
    <t>Black Boys Aldborough (Norwich)ECI</t>
  </si>
  <si>
    <t>Black Swan (Horsham St. Faith)</t>
  </si>
  <si>
    <t>Blakeney Cley &amp; District RBL Club (</t>
  </si>
  <si>
    <t>Blakeney Hotel (Blakeney)</t>
  </si>
  <si>
    <t>Blofield FC     (Brundall)</t>
  </si>
  <si>
    <t>Bluebell (North Walsham)</t>
  </si>
  <si>
    <t>Boardwalk Bar (Clacton-on-Sea)</t>
  </si>
  <si>
    <t>Boathouse (Ormesby St Michael)</t>
  </si>
  <si>
    <t>Bowling Green Inn (Wells)</t>
  </si>
  <si>
    <t>Brantham Leisure Centre (Brantham)</t>
  </si>
  <si>
    <t>Brewer Arms (Brightlingsea)</t>
  </si>
  <si>
    <t>Brewers Arms (Polstead)</t>
  </si>
  <si>
    <t>Bricklayers Arms   (Lt Bentley)</t>
  </si>
  <si>
    <t>Bridge Project (Sudbury)</t>
  </si>
  <si>
    <t>Brightlingsea Communiy Association</t>
  </si>
  <si>
    <t>Britannia (Colchester)</t>
  </si>
  <si>
    <t>Broad Farm Holiday Park (Fleggburgh</t>
  </si>
  <si>
    <t>Broadview Wine Bar (Lowestoft) ECI</t>
  </si>
  <si>
    <t>Broadway Club (Jaywick)</t>
  </si>
  <si>
    <t>Buck Inn (Flixton)</t>
  </si>
  <si>
    <t>Bull Inn (Cavendish)</t>
  </si>
  <si>
    <t>Bungay &amp; District Sports Assoc. (Bu</t>
  </si>
  <si>
    <t>Burgh Hall (Gt Yarmounth)</t>
  </si>
  <si>
    <t>Butchers Bhoy  (Norwich)</t>
  </si>
  <si>
    <t>C.C.A Social Club Ltd (Gt Yarmouth)</t>
  </si>
  <si>
    <t>Caldecott Hall Golf Club</t>
  </si>
  <si>
    <t>Can N Coctails (Norwich)</t>
  </si>
  <si>
    <t>Canary Social Club Ltd. (Norwich)</t>
  </si>
  <si>
    <t>Carleton Road Social Club (Norwich)</t>
  </si>
  <si>
    <t>Carlton Crown (Lowestoft)</t>
  </si>
  <si>
    <t>Celt (Gt Yarmouth)</t>
  </si>
  <si>
    <t>Cherry Tree (Dereham)</t>
  </si>
  <si>
    <t>Clacton &amp; Dist. Indoor Bowls Club</t>
  </si>
  <si>
    <t>Clacton Golf Club (Clacton)</t>
  </si>
  <si>
    <t>Coachmakers (Norwich) ECI</t>
  </si>
  <si>
    <t>Coast Bar  Restaurant (Corton)</t>
  </si>
  <si>
    <t>Cock (Dereham)</t>
  </si>
  <si>
    <t>Cock Inn (Polstead)</t>
  </si>
  <si>
    <t>Cock Tavern (Cantley)</t>
  </si>
  <si>
    <t>Colchester &amp; East Essex Cricket Clu</t>
  </si>
  <si>
    <t>Colchester Golf Club (Colchester)</t>
  </si>
  <si>
    <t>Colchester RFC (Colchester)</t>
  </si>
  <si>
    <t>Colchester United Hospitality Ltd</t>
  </si>
  <si>
    <t>Colne Valley Golf Club (Earls Colne</t>
  </si>
  <si>
    <t>Comfortable Cow (Sudbury)</t>
  </si>
  <si>
    <t>Comrades Club (Clacton On Sea)</t>
  </si>
  <si>
    <t>Connaught Hall (Attleborough)</t>
  </si>
  <si>
    <t>Conservative Club Overstrand</t>
  </si>
  <si>
    <t>Crofters (Sheringham)</t>
  </si>
  <si>
    <t>Cross Keys (Wymondham)</t>
  </si>
  <si>
    <t>Crown (Banningham)</t>
  </si>
  <si>
    <t>Crown (Fakenham)</t>
  </si>
  <si>
    <t>Crown Hotel (Wells)</t>
  </si>
  <si>
    <t>Crown Inn (Catfield)</t>
  </si>
  <si>
    <t>Crown Inn Hotel (Long Melford)</t>
  </si>
  <si>
    <t>Curve (Colchester)</t>
  </si>
  <si>
    <t>Darbys (Swanton)</t>
  </si>
  <si>
    <t>Dereham Golf Club (Dereham)</t>
  </si>
  <si>
    <t>Diplomat (Badersfield) ECI</t>
  </si>
  <si>
    <t>Dog Inn (Horsford)</t>
  </si>
  <si>
    <t>Donkey &amp; Buskins (Colchester)</t>
  </si>
  <si>
    <t>Drifter (Lowestoft)</t>
  </si>
  <si>
    <t>Drifter (Lowestoft) ECI</t>
  </si>
  <si>
    <t>Drum Inn (Earls Colne)</t>
  </si>
  <si>
    <t>Duke of Wellington (Norwich)</t>
  </si>
  <si>
    <t>Dukes Head (Norwich)</t>
  </si>
  <si>
    <t>Earls Colne Recreation Club (Earls)</t>
  </si>
  <si>
    <t>East Coast Bars (Hingham)</t>
  </si>
  <si>
    <t>East Harling Sport (East Harling)</t>
  </si>
  <si>
    <t>East Tuddenham Jubilee Hall (East T</t>
  </si>
  <si>
    <t>Eastern Beach (Caister)</t>
  </si>
  <si>
    <t>Eaton Cottage (Norwich)</t>
  </si>
  <si>
    <t>Edinburgh Inn (Wells Next to the</t>
  </si>
  <si>
    <t>Eight Bells (Bures)</t>
  </si>
  <si>
    <t>Elmstead Grasshoppers CC (Elmstead)</t>
  </si>
  <si>
    <t>Epic Studios (Norwich)</t>
  </si>
  <si>
    <t>Essex CC East Mersea Youth Camp</t>
  </si>
  <si>
    <t>Everitt Park Cafe (Lowestoft)</t>
  </si>
  <si>
    <t>Factory Arms (Lowestoft)</t>
  </si>
  <si>
    <t>Fakenham Rugby Club</t>
  </si>
  <si>
    <t>Falgate Arms (Hiegham)</t>
  </si>
  <si>
    <t>Fat Cat (Norwich)</t>
  </si>
  <si>
    <t>Feathers (Holt)</t>
  </si>
  <si>
    <t>Firs Park (Little Clacton)</t>
  </si>
  <si>
    <t>First &amp; Last</t>
  </si>
  <si>
    <t>Firstsite Ltd (Colchester)</t>
  </si>
  <si>
    <t>Fishermans Return (Winterton On Sea</t>
  </si>
  <si>
    <t>Fishing Boat (East Runton)</t>
  </si>
  <si>
    <t>Five Bells (Cavendish)</t>
  </si>
  <si>
    <t>Fleece Inn (Bungay)</t>
  </si>
  <si>
    <t>Florida Club Hemsby (Hembsy)</t>
  </si>
  <si>
    <t>Fox (West Mersea)</t>
  </si>
  <si>
    <t>Fox &amp; Hounds (Beccles) CI</t>
  </si>
  <si>
    <t>Freemasons Arms (Brightlingsea)</t>
  </si>
  <si>
    <t>Frinton Cricket Club (Frinton-on-Se</t>
  </si>
  <si>
    <t>Frinton On Sea War Memorial Club</t>
  </si>
  <si>
    <t>Fusilier (Colchester)</t>
  </si>
  <si>
    <t>George Hotel (Cley)</t>
  </si>
  <si>
    <t>Gorleston Golf Club (Gorleston)</t>
  </si>
  <si>
    <t>Gorleston Social Club (Gorleston On</t>
  </si>
  <si>
    <t>Gosfield Lake Golf Club (Gosfield)</t>
  </si>
  <si>
    <t>Grange Club House (East Bergholt)</t>
  </si>
  <si>
    <t>Grange Country Park (East Bergholt)</t>
  </si>
  <si>
    <t>Great Yarmouth Masonic Assoc (Grea)</t>
  </si>
  <si>
    <t>Green Man (Toppesfield)</t>
  </si>
  <si>
    <t>Greenstead Social Club (Colchester)</t>
  </si>
  <si>
    <t>Gunton Arms (Thorpe Market)</t>
  </si>
  <si>
    <t>Halvergate Playing Field (Halvergat</t>
  </si>
  <si>
    <t>Harbour Inn (Lowestoft)</t>
  </si>
  <si>
    <t>Hare and Hounds (Leavenheath)</t>
  </si>
  <si>
    <t>Harwich &amp; Dovercourt Golf Club (Pa)</t>
  </si>
  <si>
    <t>Harwich &amp; Dovercourt Rugby Club</t>
  </si>
  <si>
    <t>Harwich &amp; Dovercourt Sailing Club</t>
  </si>
  <si>
    <t>Harwich &amp; Parkeston FC</t>
  </si>
  <si>
    <t>Hatfield Hotel (Lowestoft)</t>
  </si>
  <si>
    <t>Hemsby Belle Aire Ltd (Hemsby)</t>
  </si>
  <si>
    <t>Hemsby Sports &amp; Social Club (Hemsby</t>
  </si>
  <si>
    <t>Highways Sports &amp; Social Club (Colc</t>
  </si>
  <si>
    <t>Hill House (Happisburgh)</t>
  </si>
  <si>
    <t>Holt Rugby Football Club (Holt)</t>
  </si>
  <si>
    <t>Horse and Groom (Wrentham)</t>
  </si>
  <si>
    <t>Hunworth  Bell (Hunworth)</t>
  </si>
  <si>
    <t>Inn Places Ltd (Castle Hedingham)</t>
  </si>
  <si>
    <t>Institute Club (Sudbury)</t>
  </si>
  <si>
    <t>Ivy House Country Hotel (Oulton Bro</t>
  </si>
  <si>
    <t>Jolly Sailors (Lowestoft)</t>
  </si>
  <si>
    <t>JR's Bar</t>
  </si>
  <si>
    <t>Karma Kafe (Norwich)</t>
  </si>
  <si>
    <t>Kelvedon &amp; Feering Cricket Club (F)</t>
  </si>
  <si>
    <t>Kelvedon Conservative Club (Kelvedo</t>
  </si>
  <si>
    <t>Kessingland Utd WMC(Kessingland)ECI</t>
  </si>
  <si>
    <t>Killick's (Clacton On Sea)</t>
  </si>
  <si>
    <t>Kingfisher Bar &amp; Restaurant (Burgh</t>
  </si>
  <si>
    <t>Kings Arms (Blakeney)</t>
  </si>
  <si>
    <t>Kings Arms (Martham)</t>
  </si>
  <si>
    <t>Kings Head (Brightlingsea)</t>
  </si>
  <si>
    <t>Kings Head (Filby)</t>
  </si>
  <si>
    <t>Kings Head (Lingwood)</t>
  </si>
  <si>
    <t>Kings Head (Pembarsh)</t>
  </si>
  <si>
    <t>KPCSSC (Lowestoft)</t>
  </si>
  <si>
    <t>Lacon Arms (Gt Yarmouth)</t>
  </si>
  <si>
    <t>Last Pub Standing (Norwich)</t>
  </si>
  <si>
    <t>Layer Fox (Colchester)</t>
  </si>
  <si>
    <t>Lemon Tree Hotel (Clacton On Sea)</t>
  </si>
  <si>
    <t>Lexden Crown (Colchester)</t>
  </si>
  <si>
    <t>Lexden Rackets &amp; Fitness Club (Col)</t>
  </si>
  <si>
    <t>Lighthouse Inn (Walcolt)</t>
  </si>
  <si>
    <t>Lighthouse Sport &amp; Social (Harwich)</t>
  </si>
  <si>
    <t>Lollards Pit (Norwich)</t>
  </si>
  <si>
    <t>London Tavern (Attleborough)</t>
  </si>
  <si>
    <t>Long Bar Fakenham Racecourse (Faken</t>
  </si>
  <si>
    <t>Lord Nelson (Reedham)</t>
  </si>
  <si>
    <t>Louis Marchesi (Norwich)</t>
  </si>
  <si>
    <t>Lowestoft Town FC (Lowestoft) ECI</t>
  </si>
  <si>
    <t>Madra Sports and Social Club (Knapt</t>
  </si>
  <si>
    <t>Maffia's (Holland on Sea)</t>
  </si>
  <si>
    <t>Maids Head Hotel (Norwich)</t>
  </si>
  <si>
    <t>Mambo Jambo Ltd (Norwich)</t>
  </si>
  <si>
    <t>Manningtree Station Buffet(Lawford)</t>
  </si>
  <si>
    <t>Mariners Compass (Gt Yarmouth) ECI</t>
  </si>
  <si>
    <t>Mariners Tavern (Great Yarmouth)ECI</t>
  </si>
  <si>
    <t>Marlborough Arms (Norwich)</t>
  </si>
  <si>
    <t>Masonic Hall Manager (Sudbury)</t>
  </si>
  <si>
    <t>Masons Mobile Bar (Brightlingsea)</t>
  </si>
  <si>
    <t>Medina Bar (Norwich)</t>
  </si>
  <si>
    <t>Mersea Island RBL Club (West Mersea</t>
  </si>
  <si>
    <t>Mersea Island Royal British Legion</t>
  </si>
  <si>
    <t>Mersea Island Sports Assoc (West Me</t>
  </si>
  <si>
    <t>Mimosa (Colchester)</t>
  </si>
  <si>
    <t>Morley Club (Sheringham)</t>
  </si>
  <si>
    <t>Moss &amp; Co Trading Ltd (Lowestoft)</t>
  </si>
  <si>
    <t>Nags Head (East Harling)</t>
  </si>
  <si>
    <t>Nelson Hotel (Great Yarmouth)</t>
  </si>
  <si>
    <t>New Entertainer (Gorleston)</t>
  </si>
  <si>
    <t>New Forge (Aylsham) ECI</t>
  </si>
  <si>
    <t>Norfolk CC Staff Sports SC (Norwich</t>
  </si>
  <si>
    <t>Northcroft Social Club (Sudbury)</t>
  </si>
  <si>
    <t>Norwich City Football Club (Norwich</t>
  </si>
  <si>
    <t>Norwich City Hockey Club (Taverham)</t>
  </si>
  <si>
    <t>Number 1 Bar &amp; Kitchen (Gorleston)</t>
  </si>
  <si>
    <t>Number Ten Wine Bar (Lavenham)</t>
  </si>
  <si>
    <t>Oaklands Hotel (Norwich)</t>
  </si>
  <si>
    <t>Old Catton Juniors FC (Norwich)</t>
  </si>
  <si>
    <t>Old Lifeboat House (Clacton on Sea)</t>
  </si>
  <si>
    <t>Old Siege House Bar (Colchester)</t>
  </si>
  <si>
    <t>Orchard Gardens (North Walsham)</t>
  </si>
  <si>
    <t>Oxnead Hall (Norwich)</t>
  </si>
  <si>
    <t>Parson Woodforde Pub Co Ltd</t>
  </si>
  <si>
    <t>Playing Fields and Social Club</t>
  </si>
  <si>
    <t>Plough (Peldon)</t>
  </si>
  <si>
    <t>Pogue Mahons (Norwich)</t>
  </si>
  <si>
    <t>Potters Leisure Ltd  (Gt Yarmouth)</t>
  </si>
  <si>
    <t>Prince of Wales Stand Bar Fakenham</t>
  </si>
  <si>
    <t>Princes Theatre (Clacton-on-Sea)</t>
  </si>
  <si>
    <t>Pub On The Park (Little Clacton)</t>
  </si>
  <si>
    <t>Quayside Bar &amp; Restaurant (Lowestof</t>
  </si>
  <si>
    <t>Quayside Bar and Restaurant (Oulton</t>
  </si>
  <si>
    <t>Queens Head (Beccles)</t>
  </si>
  <si>
    <t>Queens Head (Long Stratton)</t>
  </si>
  <si>
    <t>Railway Arms (North Elmham)</t>
  </si>
  <si>
    <t>Railway Tavern (BELTON)</t>
  </si>
  <si>
    <t>Ratcatchers (Norwich)</t>
  </si>
  <si>
    <t>RBLC (Halstead)</t>
  </si>
  <si>
    <t>RBLC (Lavenham)</t>
  </si>
  <si>
    <t>Recruit (Gt Yarmouth)</t>
  </si>
  <si>
    <t>Red Lion (Caston)</t>
  </si>
  <si>
    <t>Red Lion (Coltishall)</t>
  </si>
  <si>
    <t>Red Lion (Kenninghall)</t>
  </si>
  <si>
    <t>Red Lion (St Osyth)</t>
  </si>
  <si>
    <t>Red Lion (Stifkey)</t>
  </si>
  <si>
    <t>Reedcutter Inn (Cantley)</t>
  </si>
  <si>
    <t>Reedham Ferry (Reedham)</t>
  </si>
  <si>
    <t>Roberts Social Club (Holland On Sea</t>
  </si>
  <si>
    <t>Rookery Park Golf Club (Lowestoft)</t>
  </si>
  <si>
    <t>Rose &amp; Crown PH (Frettenham)</t>
  </si>
  <si>
    <t>Royal British Legion (Walton on the</t>
  </si>
  <si>
    <t>Royal Cromer Golf Club (Cromer)</t>
  </si>
  <si>
    <t>Royal Falcon Hotel (Lowestoft)</t>
  </si>
  <si>
    <t>Royal Hotel (Mundesley)</t>
  </si>
  <si>
    <t>Royal Mortar (Colchester)</t>
  </si>
  <si>
    <t>Rumbold Arms (Great Yarmouth)</t>
  </si>
  <si>
    <t>Sailors Home (Kessingland) ECI</t>
  </si>
  <si>
    <t>Samuel Pepys Wine Bar (Harwich)</t>
  </si>
  <si>
    <t>Saracens Head (Newton)</t>
  </si>
  <si>
    <t>Sculthorpe Mill (Fakenham)</t>
  </si>
  <si>
    <t>Seaview Bar (St Osyth)</t>
  </si>
  <si>
    <t>Sheringham Golf Club (Sheringham)</t>
  </si>
  <si>
    <t>Ship Inn (Lowestoft)</t>
  </si>
  <si>
    <t>Short Blue (Gorleston)</t>
  </si>
  <si>
    <t>Silver Sand Lounge (Clacton)</t>
  </si>
  <si>
    <t>Snooty Fox (Gt Bromley)</t>
  </si>
  <si>
    <t>Spinnaker Inn (Colchester)</t>
  </si>
  <si>
    <t>Spixworth Social Club(Spixworth)ECI</t>
  </si>
  <si>
    <t>Sportsmans Arms (Gt. Yarmouth)</t>
  </si>
  <si>
    <t>Sporty Cow (Sudbury)</t>
  </si>
  <si>
    <t>Sprowston Sports &amp; Social Club (Spr</t>
  </si>
  <si>
    <t>Stadia (Norwich)</t>
  </si>
  <si>
    <t>Star Inn (Lessingham)</t>
  </si>
  <si>
    <t>Stingray (Harwich)</t>
  </si>
  <si>
    <t>Sudbury Snooker Club (Sudbury)</t>
  </si>
  <si>
    <t>Sutton Staithe Hotel (Norwich)</t>
  </si>
  <si>
    <t>Swanton Morley Village Hall Trust (</t>
  </si>
  <si>
    <t>Tasburgh Social Club (Tasburgh)</t>
  </si>
  <si>
    <t>Tavern (Holland 0n Sea)</t>
  </si>
  <si>
    <t>Ten Bells (Norwich)</t>
  </si>
  <si>
    <t>The Barn (Mersea Island)</t>
  </si>
  <si>
    <t>The Crown (Colchester)</t>
  </si>
  <si>
    <t>The Granary (East Mersea)</t>
  </si>
  <si>
    <t>The New Inn (Beetley)</t>
  </si>
  <si>
    <t>Third Crossing (Lowestoft)</t>
  </si>
  <si>
    <t>Thorpe Sports and Social Club</t>
  </si>
  <si>
    <t>Three Horseshoes (Hempnall)</t>
  </si>
  <si>
    <t>Three Horseshoes Inn (Bures)</t>
  </si>
  <si>
    <t>Three Tuns (Bungay)</t>
  </si>
  <si>
    <t>Three Wise Monkeys (Colchester)</t>
  </si>
  <si>
    <t>Toftwood Social Centre (Toftwood)</t>
  </si>
  <si>
    <t>Triangle Tavern (Lowestoft)</t>
  </si>
  <si>
    <t>Trunch Social Club (Trunch)</t>
  </si>
  <si>
    <t>Tudor Bar (St. Osyth)</t>
  </si>
  <si>
    <t>Twisters Cafe Bar (Colchester)</t>
  </si>
  <si>
    <t>Ultrabar (Brightlingsea)</t>
  </si>
  <si>
    <t>United Services Club Ltd (Dovercour</t>
  </si>
  <si>
    <t>Venture Centre 2000 (Lawford)</t>
  </si>
  <si>
    <t>Village Maid (Lound)</t>
  </si>
  <si>
    <t>Village Maid (Manningtree)</t>
  </si>
  <si>
    <t>Vine Thai Cuisine (Norwich)</t>
  </si>
  <si>
    <t>Warwick Arms (Clacton-on-Sea)</t>
  </si>
  <si>
    <t>Waveney Ales &amp; Cider (Lowestoft)ECI</t>
  </si>
  <si>
    <t>Waveney House Hotel Limited (Beccle</t>
  </si>
  <si>
    <t>Waveney Snooker Club (Beccles)</t>
  </si>
  <si>
    <t>Waverley Hotel (Great Yarmouth)</t>
  </si>
  <si>
    <t>Wayford Bridge Hotel (Stalham)</t>
  </si>
  <si>
    <t>Welcome (Lowestoft) ECI</t>
  </si>
  <si>
    <t>Wells Town FC (Well Next Sea)</t>
  </si>
  <si>
    <t>Wells War Memorial Insitute (Wells)</t>
  </si>
  <si>
    <t>West Bergholt Cricket Club (West B)</t>
  </si>
  <si>
    <t>West Bergholt SC (West Bergholt)</t>
  </si>
  <si>
    <t>Wheatsheaf Inn (West Beckham)</t>
  </si>
  <si>
    <t>Wheel Of Fortune (Alpington)</t>
  </si>
  <si>
    <t>Whispers Wine Bar (Halstead)</t>
  </si>
  <si>
    <t>White Hart (Boat Club)</t>
  </si>
  <si>
    <t>White Hart (Boxford)</t>
  </si>
  <si>
    <t>White Horse (Corton)</t>
  </si>
  <si>
    <t>White Horse (Gt Waldingfield)</t>
  </si>
  <si>
    <t>White Horse (Longham)</t>
  </si>
  <si>
    <t>White Horse (Overstrand)</t>
  </si>
  <si>
    <t>Windham Arms (Sheringham)</t>
  </si>
  <si>
    <t>Windmill Public House (Norwich)</t>
  </si>
  <si>
    <t>Wine Cellar (Norwich)</t>
  </si>
  <si>
    <t>Wine Vaults Bar &amp; Restaurant (Beccl</t>
  </si>
  <si>
    <t>Wivenhoe Cricket Club (Wivenhoe)</t>
  </si>
  <si>
    <t>Wivenhoe Town FC</t>
  </si>
  <si>
    <t>Wolf Inn (Lowestoft</t>
  </si>
  <si>
    <t>Wreningham Social Club (Wreningham)</t>
  </si>
  <si>
    <t>Yarmouth Stadium (Gt Yarmouth)</t>
  </si>
  <si>
    <t>Banningham Crown (Banningham)</t>
  </si>
  <si>
    <t>Clacton-On-Sea Bowling Club</t>
  </si>
  <si>
    <t>Rossi Leisure (North Walsham)</t>
  </si>
  <si>
    <t>Silk Road Lounge (Colchester)</t>
  </si>
  <si>
    <t>White Horse Inn (Ridgewell)</t>
  </si>
  <si>
    <t>Crown (Gt Ellingham)</t>
  </si>
  <si>
    <t>Fishermans Wharf (Lowestoft)</t>
  </si>
  <si>
    <t>Mulbarton Sports &amp; Social Club (Mul</t>
  </si>
  <si>
    <t>Ship (Pakefield)</t>
  </si>
  <si>
    <t>Ship Inn (Great Holland)</t>
  </si>
  <si>
    <t>Wooden Fender (Ardleigh)</t>
  </si>
  <si>
    <t>Fox and Hounds (Great Moulton)</t>
  </si>
  <si>
    <t>Waters Edge (Wroxham)</t>
  </si>
  <si>
    <t>Kings Arms (St Oysth)</t>
  </si>
  <si>
    <t>Lifeboat Tavern (Sea Palling)</t>
  </si>
  <si>
    <t>Mistley Cricket Club (Mistley)</t>
  </si>
  <si>
    <t>Potters Leisure Resort(Gt Yarmouth)</t>
  </si>
  <si>
    <t>Royal Oak (Halstead)</t>
  </si>
  <si>
    <t>Ship (Reedham)</t>
  </si>
  <si>
    <t>Strangers Home (Manningtree)</t>
  </si>
  <si>
    <t>Ti's Bar and Grill (Hemsby) ECI</t>
  </si>
  <si>
    <t>Coast Bar &amp; Restaurant (Lowestoft)</t>
  </si>
  <si>
    <t>New Bell Inn (Harwich)</t>
  </si>
  <si>
    <t>Railway Tavern (Framingham Earl)</t>
  </si>
  <si>
    <t>Red Lion (Belchamp Otten)</t>
  </si>
  <si>
    <t>Bob Carter Centre (Drayton)</t>
  </si>
  <si>
    <t>Chequers Inn (Binham)</t>
  </si>
  <si>
    <t>Crown (Brantham)</t>
  </si>
  <si>
    <t>Dog Inn (Halstead)</t>
  </si>
  <si>
    <t>Freethrope Sports and Social Club (</t>
  </si>
  <si>
    <t>Hermanus Leisure (Winterton-on-Sea)</t>
  </si>
  <si>
    <t>Holiday Inn Express (Colchester)</t>
  </si>
  <si>
    <t>Holt Sports &amp; Social Club (Holt)</t>
  </si>
  <si>
    <t>Lion (Lamarsh)</t>
  </si>
  <si>
    <t>Swan (Mattishall)</t>
  </si>
  <si>
    <t>Tyneside ClubSheringham (Sheringham</t>
  </si>
  <si>
    <t>Victory Inn (Wickham St Paul)</t>
  </si>
  <si>
    <t>Waters Edge (Bramerton)</t>
  </si>
  <si>
    <t>Alresford Colne Rangers FC (Alresfo</t>
  </si>
  <si>
    <t>Carriers Arms (East Bergholt)</t>
  </si>
  <si>
    <t>Mattishall Sports &amp; SC (Mattishall)</t>
  </si>
  <si>
    <t>Royal Fusilier (Great Bentley)</t>
  </si>
  <si>
    <t>Sole &amp; Heel (Rackheath)</t>
  </si>
  <si>
    <t>The Royal Oak (Bintree)</t>
  </si>
  <si>
    <t>Upper Dovercourt Social Club (Harwi</t>
  </si>
  <si>
    <t>CO15 2EH</t>
  </si>
  <si>
    <t>CO10 7HN</t>
  </si>
  <si>
    <t>NR27 0DJ</t>
  </si>
  <si>
    <t>CO6 2EZ</t>
  </si>
  <si>
    <t>NR3 3HT</t>
  </si>
  <si>
    <t>CO10 9QZ</t>
  </si>
  <si>
    <t>NR16 2HB</t>
  </si>
  <si>
    <t>NR34 7QF</t>
  </si>
  <si>
    <t>NR9 4DD</t>
  </si>
  <si>
    <t>NR14 6DH</t>
  </si>
  <si>
    <t>NR34 9SJ</t>
  </si>
  <si>
    <t>NR34 9RH</t>
  </si>
  <si>
    <t>NR9 4AA</t>
  </si>
  <si>
    <t>CO2 0HS</t>
  </si>
  <si>
    <t>NR16 1BJ</t>
  </si>
  <si>
    <t>NR11 7AA</t>
  </si>
  <si>
    <t>NR10 3HJ</t>
  </si>
  <si>
    <t>NR25 7PL</t>
  </si>
  <si>
    <t>NR25 7NE</t>
  </si>
  <si>
    <t>NR23 1JB</t>
  </si>
  <si>
    <t>CO11 1RZ</t>
  </si>
  <si>
    <t>CO6 5BZ</t>
  </si>
  <si>
    <t>CO7 8SL</t>
  </si>
  <si>
    <t>CO7 0LG</t>
  </si>
  <si>
    <t>CO2 7QY</t>
  </si>
  <si>
    <t>NR29 3AF</t>
  </si>
  <si>
    <t>CO10 8AX</t>
  </si>
  <si>
    <t>NR35 2RU</t>
  </si>
  <si>
    <t>NR31 9EP</t>
  </si>
  <si>
    <t>NR2 1AT</t>
  </si>
  <si>
    <t>NR30 5ER</t>
  </si>
  <si>
    <t>NR31 9EY</t>
  </si>
  <si>
    <t>NR1 1BD</t>
  </si>
  <si>
    <t>NR1 1RT</t>
  </si>
  <si>
    <t>NR16 1NQ</t>
  </si>
  <si>
    <t>NR33 8HL</t>
  </si>
  <si>
    <t>NR31 6PJ</t>
  </si>
  <si>
    <t>CO15 6NA</t>
  </si>
  <si>
    <t>CO15 1AJ</t>
  </si>
  <si>
    <t>NR32 5HS</t>
  </si>
  <si>
    <t>CO6 5AL</t>
  </si>
  <si>
    <t>NR13 3JQ</t>
  </si>
  <si>
    <t>CO1 1XN</t>
  </si>
  <si>
    <t>CO4 5AU</t>
  </si>
  <si>
    <t>CO4 5UP</t>
  </si>
  <si>
    <t>CO15 3LT</t>
  </si>
  <si>
    <t>NR26 8DT</t>
  </si>
  <si>
    <t>NR18 0AX</t>
  </si>
  <si>
    <t>NR11 7DY</t>
  </si>
  <si>
    <t>NR21 9BP</t>
  </si>
  <si>
    <t>NR29 5AA</t>
  </si>
  <si>
    <t>NR10 5JZ</t>
  </si>
  <si>
    <t>NR10 3DF</t>
  </si>
  <si>
    <t>NR33 0BE</t>
  </si>
  <si>
    <t>NR3 1EG</t>
  </si>
  <si>
    <t>NR11 6QG</t>
  </si>
  <si>
    <t>NR9 4LF</t>
  </si>
  <si>
    <t>NR20 3LR</t>
  </si>
  <si>
    <t>CO7 7AW</t>
  </si>
  <si>
    <t>NR3 1JD</t>
  </si>
  <si>
    <t>CO5 8SX</t>
  </si>
  <si>
    <t>NR32 2JY</t>
  </si>
  <si>
    <t>NR21 9RZ</t>
  </si>
  <si>
    <t>NR29 5HZ</t>
  </si>
  <si>
    <t>NR2 4NA</t>
  </si>
  <si>
    <t>NR25 6BW</t>
  </si>
  <si>
    <t>CO16 9RN</t>
  </si>
  <si>
    <t>NR32 1SY</t>
  </si>
  <si>
    <t>CO1 1JH</t>
  </si>
  <si>
    <t>NR29 4BN</t>
  </si>
  <si>
    <t>NR29 4HW</t>
  </si>
  <si>
    <t>NR34 9DX</t>
  </si>
  <si>
    <t>CO7 0BG</t>
  </si>
  <si>
    <t>CO13 9ET</t>
  </si>
  <si>
    <t>CO13 9EB</t>
  </si>
  <si>
    <t>CO7 8NH</t>
  </si>
  <si>
    <t>NR25 7RN</t>
  </si>
  <si>
    <t>NR31 6JT</t>
  </si>
  <si>
    <t>NR31 6RQ</t>
  </si>
  <si>
    <t>CO9 1SE</t>
  </si>
  <si>
    <t>CO7 6UX</t>
  </si>
  <si>
    <t>NR30 3JH</t>
  </si>
  <si>
    <t>CO9 4DR</t>
  </si>
  <si>
    <t>CO4 3QD</t>
  </si>
  <si>
    <t>NR11 8TZ</t>
  </si>
  <si>
    <t>NR13 3BQ</t>
  </si>
  <si>
    <t>CO6 4PW</t>
  </si>
  <si>
    <t>CO12 4NZ</t>
  </si>
  <si>
    <t>CO12 3TA</t>
  </si>
  <si>
    <t>CO12 3HE</t>
  </si>
  <si>
    <t>CO12 4AA</t>
  </si>
  <si>
    <t>NR29 4HZ</t>
  </si>
  <si>
    <t>CO2 7BP</t>
  </si>
  <si>
    <t>NR12 0PW</t>
  </si>
  <si>
    <t>NR25 6QT</t>
  </si>
  <si>
    <t>NR34 7HJ</t>
  </si>
  <si>
    <t>NR24 2AA</t>
  </si>
  <si>
    <t>CO9 3DX</t>
  </si>
  <si>
    <t>CO10 2SP</t>
  </si>
  <si>
    <t>NR28 0JQ</t>
  </si>
  <si>
    <t>CO5 9SB</t>
  </si>
  <si>
    <t>NR33 7QD</t>
  </si>
  <si>
    <t>CO15 1RH</t>
  </si>
  <si>
    <t>NR31 9PY</t>
  </si>
  <si>
    <t>NR25 7NQ</t>
  </si>
  <si>
    <t>NR29 3HY</t>
  </si>
  <si>
    <t>CO9 2NH</t>
  </si>
  <si>
    <t>NR33 7LE</t>
  </si>
  <si>
    <t>NR1 1PD</t>
  </si>
  <si>
    <t>CO15 1PR</t>
  </si>
  <si>
    <t>CO3 4DA</t>
  </si>
  <si>
    <t>CO3 9ST</t>
  </si>
  <si>
    <t>NR12 0PE</t>
  </si>
  <si>
    <t>CO12 3ST</t>
  </si>
  <si>
    <t>NR1 3EA</t>
  </si>
  <si>
    <t>NR13 3TE</t>
  </si>
  <si>
    <t>NR32 2PA</t>
  </si>
  <si>
    <t>NR28 0RZ</t>
  </si>
  <si>
    <t>CO15 5UR</t>
  </si>
  <si>
    <t>NR3 1LB</t>
  </si>
  <si>
    <t>NR2 1EL</t>
  </si>
  <si>
    <t>CO11 2LH</t>
  </si>
  <si>
    <t>NR30 1LN</t>
  </si>
  <si>
    <t>CO10 1NA</t>
  </si>
  <si>
    <t>NR1 1BG</t>
  </si>
  <si>
    <t>CO5 8QX</t>
  </si>
  <si>
    <t>CO5 8RS</t>
  </si>
  <si>
    <t>NR26 8RS</t>
  </si>
  <si>
    <t>NR30 3AG</t>
  </si>
  <si>
    <t>NR11 6UD</t>
  </si>
  <si>
    <t>NR1 2DH</t>
  </si>
  <si>
    <t>CO10 1HN</t>
  </si>
  <si>
    <t>NR1 1JE</t>
  </si>
  <si>
    <t>NR8 6HP</t>
  </si>
  <si>
    <t>NR31 6DA</t>
  </si>
  <si>
    <t>CO10 9RA</t>
  </si>
  <si>
    <t>NR6 7GD</t>
  </si>
  <si>
    <t>CO15 6AD</t>
  </si>
  <si>
    <t>CO1 2TS</t>
  </si>
  <si>
    <t>NR28 0DB</t>
  </si>
  <si>
    <t>NR10 5HP</t>
  </si>
  <si>
    <t>NR9 5JU</t>
  </si>
  <si>
    <t>NR20 4DY</t>
  </si>
  <si>
    <t>CO5 7QR</t>
  </si>
  <si>
    <t>NR31 9BX</t>
  </si>
  <si>
    <t>CO15 1SE</t>
  </si>
  <si>
    <t>NR14 6RJ</t>
  </si>
  <si>
    <t>NR15 2XG</t>
  </si>
  <si>
    <t>NR20 5HH</t>
  </si>
  <si>
    <t>NR31 9AA</t>
  </si>
  <si>
    <t>NR10 4HA</t>
  </si>
  <si>
    <t>CO9 1ET</t>
  </si>
  <si>
    <t>CO10 9PT</t>
  </si>
  <si>
    <t>NR30 3HB</t>
  </si>
  <si>
    <t>NR17 1DB</t>
  </si>
  <si>
    <t>NR12 7DW</t>
  </si>
  <si>
    <t>NR23 1AJ</t>
  </si>
  <si>
    <t>NR13 3SH</t>
  </si>
  <si>
    <t>CO15 5EP</t>
  </si>
  <si>
    <t>NR33 8HJ</t>
  </si>
  <si>
    <t>NR32 1HY</t>
  </si>
  <si>
    <t>NR31 0JX</t>
  </si>
  <si>
    <t>NR33 7SB</t>
  </si>
  <si>
    <t>CO12 3EA</t>
  </si>
  <si>
    <t>CO16 8SH</t>
  </si>
  <si>
    <t>NR26 8HG</t>
  </si>
  <si>
    <t>NR33 7HW</t>
  </si>
  <si>
    <t>NR31 6RR</t>
  </si>
  <si>
    <t>CO7 7JW</t>
  </si>
  <si>
    <t>NR10 3NQ</t>
  </si>
  <si>
    <t>NR30 1BN</t>
  </si>
  <si>
    <t>NR3 1RB</t>
  </si>
  <si>
    <t>NR12 0DN</t>
  </si>
  <si>
    <t>CO12 3DS</t>
  </si>
  <si>
    <t>NR12 9QS</t>
  </si>
  <si>
    <t>NR20 4NP</t>
  </si>
  <si>
    <t>NR15 1LR</t>
  </si>
  <si>
    <t>NR20 4BT</t>
  </si>
  <si>
    <t>NR33 9NB</t>
  </si>
  <si>
    <t>CO16 0HD</t>
  </si>
  <si>
    <t>NR15 2NS</t>
  </si>
  <si>
    <t>NR35 1EG</t>
  </si>
  <si>
    <t>NR32 1QA</t>
  </si>
  <si>
    <t>NR28 0PS</t>
  </si>
  <si>
    <t>CO1 1PY</t>
  </si>
  <si>
    <t>CO7 0PL</t>
  </si>
  <si>
    <t>CO12 3NS</t>
  </si>
  <si>
    <t>CO11 2JE</t>
  </si>
  <si>
    <t>CO11 2UZ</t>
  </si>
  <si>
    <t>NR33 0PR</t>
  </si>
  <si>
    <t>NR34 9BB</t>
  </si>
  <si>
    <t>NR30 2DG</t>
  </si>
  <si>
    <t>NR12 9LL</t>
  </si>
  <si>
    <t>NR23 1DR</t>
  </si>
  <si>
    <t>NR23 1DS</t>
  </si>
  <si>
    <t>CO6 3JQ</t>
  </si>
  <si>
    <t>CO6 3BW</t>
  </si>
  <si>
    <t>NR14 7NL</t>
  </si>
  <si>
    <t>CO16 9ED</t>
  </si>
  <si>
    <t>CO10 5DX</t>
  </si>
  <si>
    <t>CO10 0RW</t>
  </si>
  <si>
    <t>NR26 8BA</t>
  </si>
  <si>
    <t>NR2 1JG</t>
  </si>
  <si>
    <t>NR34 9TA</t>
  </si>
  <si>
    <t>CO7 9SR</t>
  </si>
  <si>
    <t>CO7 9HX</t>
  </si>
  <si>
    <t>NR16 1AN</t>
  </si>
  <si>
    <t>NR30 5TE</t>
  </si>
  <si>
    <t>CO15 1XB</t>
  </si>
  <si>
    <t>CO9 4SG</t>
  </si>
  <si>
    <t>NR17 1LE</t>
  </si>
  <si>
    <t>NR14 8AE</t>
  </si>
  <si>
    <t>CO13 0JP</t>
  </si>
  <si>
    <t>CO7 7PA</t>
  </si>
  <si>
    <t>NR15 2HE</t>
  </si>
  <si>
    <t>CO11 1ER</t>
  </si>
  <si>
    <t>CO9 2JG</t>
  </si>
  <si>
    <t>CO11 2US</t>
  </si>
  <si>
    <t>CO12 3EN</t>
  </si>
  <si>
    <t>NR14 7AB</t>
  </si>
  <si>
    <t>CO10 7BQ</t>
  </si>
  <si>
    <t>NR8 6DN</t>
  </si>
  <si>
    <t>NR21 0AL</t>
  </si>
  <si>
    <t>CO11 1RE</t>
  </si>
  <si>
    <t>CO9 2DB</t>
  </si>
  <si>
    <t>NR13 3NZ</t>
  </si>
  <si>
    <t>NR29 4BP</t>
  </si>
  <si>
    <t>CO7 6HX</t>
  </si>
  <si>
    <t>NR25 6TX</t>
  </si>
  <si>
    <t>CO8 5EP</t>
  </si>
  <si>
    <t>NR20 3QB</t>
  </si>
  <si>
    <t>NR26 8RG</t>
  </si>
  <si>
    <t>CO9 2PT</t>
  </si>
  <si>
    <t>NR14 7ED</t>
  </si>
  <si>
    <t>CO7 8AU</t>
  </si>
  <si>
    <t>CO7 6RA</t>
  </si>
  <si>
    <t>NR20 3JY</t>
  </si>
  <si>
    <t>NR20 5AH</t>
  </si>
  <si>
    <t>CO12 4UX</t>
  </si>
  <si>
    <t>Swan &amp; Hedgehog (Ipswich)</t>
  </si>
  <si>
    <t>Curve (Ipswich)</t>
  </si>
  <si>
    <t>Ipswich Town FC (Hospitality)</t>
  </si>
  <si>
    <t>Ipswich Town Football Club (Ipswich</t>
  </si>
  <si>
    <t>Westgate Ward Social Club (Ipswich)</t>
  </si>
  <si>
    <t>Three Wise Monkeys (Ipswich)</t>
  </si>
  <si>
    <t>Rosary Conservative Club (Ipswich)</t>
  </si>
  <si>
    <t>Flying Horse (Ipswich)</t>
  </si>
  <si>
    <t>Flying Horse Inn (Ipswich)</t>
  </si>
  <si>
    <t>Whitton Football Club (Ipswich)</t>
  </si>
  <si>
    <t>Priory Park Ltd (Nacton)</t>
  </si>
  <si>
    <t>Regal Fish Bar (Felixstowe)</t>
  </si>
  <si>
    <t>Felixstowe &amp; Suffolk Bowling Club (</t>
  </si>
  <si>
    <t>Dolphin Hotel (Felixtowe)</t>
  </si>
  <si>
    <t>Dooley Inn (Felixstowe)</t>
  </si>
  <si>
    <t>Elizabeth Suite (Felixtowe)</t>
  </si>
  <si>
    <t>Orwell Hotel (Felixstowe)</t>
  </si>
  <si>
    <t>Orwell Hotel (Felixtowe)</t>
  </si>
  <si>
    <t>Orwell Hotel Elizabeth Suite</t>
  </si>
  <si>
    <t>Best Western Brook Hotel(Felixtowe)</t>
  </si>
  <si>
    <t>Hotel Coco (Felixtowe)</t>
  </si>
  <si>
    <t>Felixstowe &amp; Walton Comm Social C</t>
  </si>
  <si>
    <t>Felixstowe Conservative Club</t>
  </si>
  <si>
    <t>RBLC (Woodbridge)</t>
  </si>
  <si>
    <t>Woodbridge Golf Club (Woodbrid) G</t>
  </si>
  <si>
    <t>Tavern (Rendlesham)</t>
  </si>
  <si>
    <t>Plough Inn (Woodbridge)</t>
  </si>
  <si>
    <t>Plough Inn (Sutton)</t>
  </si>
  <si>
    <t>Sorrel Horse (Shottisham)</t>
  </si>
  <si>
    <t>Wickham Market FC &amp; Social</t>
  </si>
  <si>
    <t>Wickham Market RBLC (Wickham Market</t>
  </si>
  <si>
    <t>Grundisburgh FC (Grundisburgh)</t>
  </si>
  <si>
    <t>Royal Oak (Laxfield)</t>
  </si>
  <si>
    <t>Low House (Laxfield)</t>
  </si>
  <si>
    <t>White Horse (Badingham)</t>
  </si>
  <si>
    <t>Framlingham Sports Club (Framlingha</t>
  </si>
  <si>
    <t>Stowmarket Community Sports &amp; Socia</t>
  </si>
  <si>
    <t>Stag Tavern (Stowmarket)</t>
  </si>
  <si>
    <t>RBLC (Stowmarket)</t>
  </si>
  <si>
    <t>Chilton Fields Sports Club (Stowma)</t>
  </si>
  <si>
    <t>Stowmarket Meadlands Rec Club (Sto)</t>
  </si>
  <si>
    <t>Stowmarket Golf Club (Onehouse)</t>
  </si>
  <si>
    <t>Haughley FC (Haughley)</t>
  </si>
  <si>
    <t>Retreat (Stowupland)</t>
  </si>
  <si>
    <t>Crown (Stowupland)</t>
  </si>
  <si>
    <t>Old Newton Club (Old Newton)</t>
  </si>
  <si>
    <t>Magpie Inn (Little Stonham)</t>
  </si>
  <si>
    <t>Debenham Leisure Centre (Debenham)</t>
  </si>
  <si>
    <t>Cliff Quay Brewery (Debenham)</t>
  </si>
  <si>
    <t>DP's Bar (Aldeburgh)</t>
  </si>
  <si>
    <t>Aldeburgh Community and Sports Cent</t>
  </si>
  <si>
    <t>Aldeburgh Rugby Club</t>
  </si>
  <si>
    <t>Home Guard Social Club (Leiston)</t>
  </si>
  <si>
    <t>Royal Standard (Leiston)</t>
  </si>
  <si>
    <t>White Horse Hotel (Leiston)</t>
  </si>
  <si>
    <t>Vulcan Arms (Sizewell)</t>
  </si>
  <si>
    <t>Railway Tavern (Saxmundham)</t>
  </si>
  <si>
    <t>Queens Head (Saxmundham)</t>
  </si>
  <si>
    <t>Chequers (Friston)</t>
  </si>
  <si>
    <t>Plough &amp; Sail (Snape Maltings)</t>
  </si>
  <si>
    <t>Butchers Arms (Knodishall)</t>
  </si>
  <si>
    <t>Sibton White Horse (Sibton)</t>
  </si>
  <si>
    <t>Kelsale Social Club (Kelsale)</t>
  </si>
  <si>
    <t>Kings Head (Yoxford)</t>
  </si>
  <si>
    <t>Southwold Sports Pavilion (Southwol</t>
  </si>
  <si>
    <t>Chinnys Sports Bar (Halesworth)</t>
  </si>
  <si>
    <t>Triple Plea Inn (Halesworth)</t>
  </si>
  <si>
    <t>Star Inn (Wenhaston)</t>
  </si>
  <si>
    <t>Queens Head (Bramfield)</t>
  </si>
  <si>
    <t>Earl kitchener (Ipswich)</t>
  </si>
  <si>
    <t>Stone Lodge Community Association</t>
  </si>
  <si>
    <t>Silver Star (Ipswich)</t>
  </si>
  <si>
    <t>Venezuelan Traditional Food (Ipswic</t>
  </si>
  <si>
    <t>Smock Pub (Ipswich)</t>
  </si>
  <si>
    <t>Pauls Sports Club (Ipswich)</t>
  </si>
  <si>
    <t>Sir Alfred Munnings Hotel (Mendham)</t>
  </si>
  <si>
    <t>JD Young Hotel (Harleston)</t>
  </si>
  <si>
    <t>Red Lion (Needham)</t>
  </si>
  <si>
    <t>Crossways Inn Scole Ltd (Scole)</t>
  </si>
  <si>
    <t>Scole Inn (Diss)</t>
  </si>
  <si>
    <t>Swan Inn (Fressingfield)</t>
  </si>
  <si>
    <t>Fizz Bar Events Ltd (Walsham le Wil</t>
  </si>
  <si>
    <t>Bell (Rickinghall)</t>
  </si>
  <si>
    <t>Fighting Cocks (Winfarthing)</t>
  </si>
  <si>
    <t>Kings Head (North Lopham)</t>
  </si>
  <si>
    <t>Mill Inn (Market Weston)</t>
  </si>
  <si>
    <t>Vine (Hopton)</t>
  </si>
  <si>
    <t>Heywood Sports &amp; Leisure Ltd (Diss)</t>
  </si>
  <si>
    <t>Diss Town Football Club (Diss)</t>
  </si>
  <si>
    <t>Queens Head (Eye)</t>
  </si>
  <si>
    <t>Moors Watering Hole (Eye)</t>
  </si>
  <si>
    <t>White Horse (Stoke Ash)</t>
  </si>
  <si>
    <t>Black Horse (Thorndon)</t>
  </si>
  <si>
    <t>Oaksmere (Eye)</t>
  </si>
  <si>
    <t>Wonky Donkey (Eye)</t>
  </si>
  <si>
    <t>Railway Tavern (Mellis)</t>
  </si>
  <si>
    <t>Thetford Rugby Football Club (Thetf</t>
  </si>
  <si>
    <t>Hockham Eagle (Thetford)</t>
  </si>
  <si>
    <t>Chequers (Thompson)</t>
  </si>
  <si>
    <t>RBLC (Thetford)</t>
  </si>
  <si>
    <t>Thetford Conservative Club</t>
  </si>
  <si>
    <t>Black Horse Pub (Thetford)</t>
  </si>
  <si>
    <t>Winners Bingo (Thetford)</t>
  </si>
  <si>
    <t>Thetford Ex Servicemans Club (Thetf</t>
  </si>
  <si>
    <t>Willow House (Watton)</t>
  </si>
  <si>
    <t>Kings Arms (Watton)</t>
  </si>
  <si>
    <t>Broom Hall Country Hotel (Saham Ton</t>
  </si>
  <si>
    <t>Old Bell (Saham Toney)</t>
  </si>
  <si>
    <t>Gardeners Arms (Ipswich)</t>
  </si>
  <si>
    <t>California Social (Ipswich)</t>
  </si>
  <si>
    <t>Trinity Park (Ipswich)</t>
  </si>
  <si>
    <t>777330   Red Oak Taverns (Ipswich) Head Office</t>
  </si>
  <si>
    <t>Three Horseshoes Inn (Cockfield)</t>
  </si>
  <si>
    <t>Bear Inn (Beyton)</t>
  </si>
  <si>
    <t>Elmswell Tavern (Elmswell)</t>
  </si>
  <si>
    <t>Grumpy Goat (Bardwell)</t>
  </si>
  <si>
    <t>Six Bells Inn (Bardwell)</t>
  </si>
  <si>
    <t>Swan (Coney Weston)</t>
  </si>
  <si>
    <t>Officers Mess (Honington)</t>
  </si>
  <si>
    <t>Sergeants Mess RAF Honington (Bury)</t>
  </si>
  <si>
    <t>Bull (Troston)</t>
  </si>
  <si>
    <t>Honington Social Club (Troston)</t>
  </si>
  <si>
    <t>Fox Inn (Honington)</t>
  </si>
  <si>
    <t>Cock Inn (Stanton)</t>
  </si>
  <si>
    <t>Stanton Community Village Hall (Sta</t>
  </si>
  <si>
    <t>White Horse Inn (Badwell Ash)</t>
  </si>
  <si>
    <t>Thurston Rugby Union Football Club</t>
  </si>
  <si>
    <t>Fox &amp; Hounds (Thurston)</t>
  </si>
  <si>
    <t>Salthouse (Ipswich)</t>
  </si>
  <si>
    <t>Dove Street Inn (Ipswich)</t>
  </si>
  <si>
    <t>Waterlily (Ipswich)</t>
  </si>
  <si>
    <t>Duke of York (Ipswich)</t>
  </si>
  <si>
    <t>Ipswich RUFC  (Ipswich)</t>
  </si>
  <si>
    <t>Greshams (Ipswich)</t>
  </si>
  <si>
    <t>Case is Altered (Ipswich)</t>
  </si>
  <si>
    <t>Prestige Bars (Ipswich)</t>
  </si>
  <si>
    <t>Old Times (Ipswich)</t>
  </si>
  <si>
    <t>Claydon &amp; Barham Local Community</t>
  </si>
  <si>
    <t>Sorrel Horse Inn (Barham)</t>
  </si>
  <si>
    <t>Three Tuns (Needham Market)</t>
  </si>
  <si>
    <t>Limes Hotel (Needham Market)</t>
  </si>
  <si>
    <t>Barking Fox (Barking)</t>
  </si>
  <si>
    <t>Highwayman (Creeting St Mary)</t>
  </si>
  <si>
    <t>Fynn Valley Golf club (Ipswich)</t>
  </si>
  <si>
    <t>Eight Bells Inn (Hadleigh)</t>
  </si>
  <si>
    <t>Eight Bells (Hadleigh)</t>
  </si>
  <si>
    <t>Hadleigh United FC</t>
  </si>
  <si>
    <t>Rose and Crown (Elmsett)</t>
  </si>
  <si>
    <t>Swan Inn (Ipswich)</t>
  </si>
  <si>
    <t>Hintlesham Golf Club (Hintlesham)</t>
  </si>
  <si>
    <t>Hintlesham Hall Hotel (Hintlesham)</t>
  </si>
  <si>
    <t>Bramford &amp; District Social Club Ltd</t>
  </si>
  <si>
    <t>Bristol Arms (Shotley)</t>
  </si>
  <si>
    <t>Capel St Mary &amp; Little Wenham Comm.</t>
  </si>
  <si>
    <t>Capel Community Trust (Capel St Mar</t>
  </si>
  <si>
    <t>White Horse (Tattingstone)</t>
  </si>
  <si>
    <t>Swan (Holbrook)</t>
  </si>
  <si>
    <t>IP1 1RJ</t>
  </si>
  <si>
    <t>IP1 2DA</t>
  </si>
  <si>
    <t>IP1 2JX</t>
  </si>
  <si>
    <t>IP1 4AB</t>
  </si>
  <si>
    <t>IP1 6LE</t>
  </si>
  <si>
    <t>IP10 0JT</t>
  </si>
  <si>
    <t>IP11 2DH</t>
  </si>
  <si>
    <t>IP11 2DJ</t>
  </si>
  <si>
    <t>IP11 2EY</t>
  </si>
  <si>
    <t>IP11 3QX</t>
  </si>
  <si>
    <t>IP11 7PF</t>
  </si>
  <si>
    <t>IP11 9HT</t>
  </si>
  <si>
    <t>IP11 9JB</t>
  </si>
  <si>
    <t>IP12 2SZ</t>
  </si>
  <si>
    <t>IP12 3HD</t>
  </si>
  <si>
    <t>IP13 0HE</t>
  </si>
  <si>
    <t>IP13 0RP</t>
  </si>
  <si>
    <t>IP13 6TJ</t>
  </si>
  <si>
    <t>IP13 8DH</t>
  </si>
  <si>
    <t>IP13 8DW</t>
  </si>
  <si>
    <t>IP13 9HS</t>
  </si>
  <si>
    <t>IP14 1JQ</t>
  </si>
  <si>
    <t>IP14 1NF</t>
  </si>
  <si>
    <t>IP14 2AD</t>
  </si>
  <si>
    <t>IP14 3DA</t>
  </si>
  <si>
    <t>IP14 3RA</t>
  </si>
  <si>
    <t>IP14 4BQ</t>
  </si>
  <si>
    <t>IP14 4ED</t>
  </si>
  <si>
    <t>IP14 5JY</t>
  </si>
  <si>
    <t>IP14 6BL</t>
  </si>
  <si>
    <t>IP14 6RP</t>
  </si>
  <si>
    <t>IP15 5AB</t>
  </si>
  <si>
    <t>IP15 5HY</t>
  </si>
  <si>
    <t>IP16 4DQ</t>
  </si>
  <si>
    <t>IP16 4UD</t>
  </si>
  <si>
    <t>IP17 1BN</t>
  </si>
  <si>
    <t>IP17 1DF</t>
  </si>
  <si>
    <t>IP17 1SR</t>
  </si>
  <si>
    <t>IP17 1UQ</t>
  </si>
  <si>
    <t>IP17 2JJ</t>
  </si>
  <si>
    <t>IP17 2PB</t>
  </si>
  <si>
    <t>IP17 3EX</t>
  </si>
  <si>
    <t>IP18 6TB</t>
  </si>
  <si>
    <t>IP19 8BX</t>
  </si>
  <si>
    <t>IP19 8QW</t>
  </si>
  <si>
    <t>IP19 9HF</t>
  </si>
  <si>
    <t>IP19 9HT</t>
  </si>
  <si>
    <t>IP2 0QY</t>
  </si>
  <si>
    <t>IP2 8JA</t>
  </si>
  <si>
    <t>IP2 8JJ</t>
  </si>
  <si>
    <t>IP2 9BA</t>
  </si>
  <si>
    <t>IP20 0NH</t>
  </si>
  <si>
    <t>IP21 4DP</t>
  </si>
  <si>
    <t>IP21 5PE</t>
  </si>
  <si>
    <t>IP21 5SY</t>
  </si>
  <si>
    <t>IP22 1BN</t>
  </si>
  <si>
    <t>IP22 2NE</t>
  </si>
  <si>
    <t>IP22 2PD</t>
  </si>
  <si>
    <t>IP22 2QX</t>
  </si>
  <si>
    <t>IP22 4DB</t>
  </si>
  <si>
    <t>IP22 4QP</t>
  </si>
  <si>
    <t>IP23 7AJ</t>
  </si>
  <si>
    <t>IP23 7JR</t>
  </si>
  <si>
    <t>IP23 8AW</t>
  </si>
  <si>
    <t>IP23 8DU</t>
  </si>
  <si>
    <t>IP24 1LZ</t>
  </si>
  <si>
    <t>IP24 1NP</t>
  </si>
  <si>
    <t>IP24 1PX</t>
  </si>
  <si>
    <t>IP24 2BN</t>
  </si>
  <si>
    <t>IP24 2DT</t>
  </si>
  <si>
    <t>IP25 6AE</t>
  </si>
  <si>
    <t>IP25 6AG</t>
  </si>
  <si>
    <t>IP25 7EX</t>
  </si>
  <si>
    <t>IP3 8UH</t>
  </si>
  <si>
    <t>IP30 0JB</t>
  </si>
  <si>
    <t>IP30 9AG</t>
  </si>
  <si>
    <t>IP30 9EE</t>
  </si>
  <si>
    <t>IP31 1AW</t>
  </si>
  <si>
    <t>IP31 1DN</t>
  </si>
  <si>
    <t>IP31 1EE</t>
  </si>
  <si>
    <t>IP31 1EW</t>
  </si>
  <si>
    <t>IP31 1NA</t>
  </si>
  <si>
    <t>IP31 1RD</t>
  </si>
  <si>
    <t>IP31 3QE</t>
  </si>
  <si>
    <t>IP4 1AX</t>
  </si>
  <si>
    <t>IP4 2LA</t>
  </si>
  <si>
    <t>IP4 2LB</t>
  </si>
  <si>
    <t>IP4 2QP</t>
  </si>
  <si>
    <t>IP4 3PZ</t>
  </si>
  <si>
    <t>IP4 3QJ</t>
  </si>
  <si>
    <t>IP6 0EG</t>
  </si>
  <si>
    <t>IP6 8HP</t>
  </si>
  <si>
    <t>IP6 8PD</t>
  </si>
  <si>
    <t>IP6 9JA</t>
  </si>
  <si>
    <t>IP7 5DD</t>
  </si>
  <si>
    <t>IP7 5DP</t>
  </si>
  <si>
    <t>IP7 5NF</t>
  </si>
  <si>
    <t>IP7 6PA</t>
  </si>
  <si>
    <t>IP7 7AU</t>
  </si>
  <si>
    <t>IP8 3JG</t>
  </si>
  <si>
    <t>IP8 3NS</t>
  </si>
  <si>
    <t>IP8 4DX</t>
  </si>
  <si>
    <t>IP9 1PU</t>
  </si>
  <si>
    <t>IP9 2EF</t>
  </si>
  <si>
    <t>IP9 2NU</t>
  </si>
  <si>
    <t>IP9 2PZ</t>
  </si>
  <si>
    <t>Ferry Lane Social Club (King's Lynn</t>
  </si>
  <si>
    <t>Fenman Freehouse (Kings Lynn) ECI</t>
  </si>
  <si>
    <t>PM Bars (Kings Lynn)</t>
  </si>
  <si>
    <t>West Norfolk Rugby Club</t>
  </si>
  <si>
    <t>Gaywood Conservative Club (King's L</t>
  </si>
  <si>
    <t>Octoputts (Kings Lynn)</t>
  </si>
  <si>
    <t>Live and Let Live (Kings Lynn)</t>
  </si>
  <si>
    <t>Babingley Social Club (Babingley)</t>
  </si>
  <si>
    <t>Flitcham Social Club</t>
  </si>
  <si>
    <t>Dersingham Social Club (Dresingham)</t>
  </si>
  <si>
    <t>Club Charity (Heacham)</t>
  </si>
  <si>
    <t>Heacham Manor Hotel (Heacham)</t>
  </si>
  <si>
    <t>Heacham Manor Hotel-Golf (Heacham)</t>
  </si>
  <si>
    <t>Shepherds Port Bar</t>
  </si>
  <si>
    <t>Bar 71 (Brancaster)</t>
  </si>
  <si>
    <t>Royal West Norfolk Golf Club (Bran)</t>
  </si>
  <si>
    <t>Briarfields Hotel (Titchwell)</t>
  </si>
  <si>
    <t>White Horse (Brancaster)</t>
  </si>
  <si>
    <t>Hero (Norfolk)</t>
  </si>
  <si>
    <t>Crown Inn (East Rudham)</t>
  </si>
  <si>
    <t>Three Horseshoes (Kings Lynn)</t>
  </si>
  <si>
    <t>Happy Valley (Grimston)</t>
  </si>
  <si>
    <t>Pentney Abbey (Pentney)</t>
  </si>
  <si>
    <t>Middleton Hall Golf Club (Middleton</t>
  </si>
  <si>
    <t>Ploughshare (Beeston)</t>
  </si>
  <si>
    <t>Kings Arms (Shouldham)</t>
  </si>
  <si>
    <t>William Burt Social Club (Wst Winch</t>
  </si>
  <si>
    <t>Andel Lodge Hotel (Kings lynn)</t>
  </si>
  <si>
    <t>Watlington S&amp;S Club (Watlington)</t>
  </si>
  <si>
    <t>Marham Bowls Club (Marham)</t>
  </si>
  <si>
    <t>Bedingfeld Arms (Oxborough)</t>
  </si>
  <si>
    <t>Blue Bell (Stoke Ferry)</t>
  </si>
  <si>
    <t>Jacks Restaurant (Watlington)</t>
  </si>
  <si>
    <t>Chequers (Wimbotsham)</t>
  </si>
  <si>
    <t>Chequers - Special Events (Wimbotsh</t>
  </si>
  <si>
    <t>Wildfowler (Terrington St Clement)</t>
  </si>
  <si>
    <t>Buck inn (Kings Lynn)</t>
  </si>
  <si>
    <t>Chives</t>
  </si>
  <si>
    <t>Hunstanton Conservative Club (Hunst</t>
  </si>
  <si>
    <t>Henry's of Hunstanton (Hunstanton)</t>
  </si>
  <si>
    <t>Princess Theatre (Hunstanton)</t>
  </si>
  <si>
    <t>O'Quigleys (Hunstanton)</t>
  </si>
  <si>
    <t>Country &amp; Golf Club(Hunstanton)</t>
  </si>
  <si>
    <t>Searles Leisure Resort (Hunstanton)</t>
  </si>
  <si>
    <t>Waterside Bar (Hunstanton)</t>
  </si>
  <si>
    <t>Old Marine Bar (Hunstanton)</t>
  </si>
  <si>
    <t>Gin Trap Inn (Ringstead)</t>
  </si>
  <si>
    <t>Golden Lion Hotel (Hunstanton)</t>
  </si>
  <si>
    <t>Caley Hall Hotel (Old Hunstanton)</t>
  </si>
  <si>
    <t>Lodge Hotel (Old Hunstanton)</t>
  </si>
  <si>
    <t>Hunstanton Golf Club (Hunstanton)</t>
  </si>
  <si>
    <t>Lifeboat Inn (Thornham)</t>
  </si>
  <si>
    <t>Red Lion (Swaffham)</t>
  </si>
  <si>
    <t>Swaffham &amp; District Conservative Cl</t>
  </si>
  <si>
    <t>Station (Swaffham)</t>
  </si>
  <si>
    <t>Swaffham Town Football &amp;Social Club</t>
  </si>
  <si>
    <t>Swaffham RFC (Swaffham)</t>
  </si>
  <si>
    <t>Swaffham Golf Club (Swaffham)</t>
  </si>
  <si>
    <t>PE30 1HN</t>
  </si>
  <si>
    <t>PE30 1NS</t>
  </si>
  <si>
    <t>PE30 3EJ</t>
  </si>
  <si>
    <t>PE30 3RJ</t>
  </si>
  <si>
    <t>PE30 4EA</t>
  </si>
  <si>
    <t>PE30 4JJ</t>
  </si>
  <si>
    <t>PE30 5PL</t>
  </si>
  <si>
    <t>PE31 6AP</t>
  </si>
  <si>
    <t>PE31 6DT</t>
  </si>
  <si>
    <t>PE31 6YY</t>
  </si>
  <si>
    <t>PE31 7HG</t>
  </si>
  <si>
    <t>PE31 7JX</t>
  </si>
  <si>
    <t>PE31 7RB</t>
  </si>
  <si>
    <t>PE31 8AA</t>
  </si>
  <si>
    <t>PE31 8AX</t>
  </si>
  <si>
    <t>PE31 8BB</t>
  </si>
  <si>
    <t>PE31 8BY</t>
  </si>
  <si>
    <t>PE31 8RD</t>
  </si>
  <si>
    <t>PE32 1AQ</t>
  </si>
  <si>
    <t>PE32 1DN</t>
  </si>
  <si>
    <t>PE32 1JT</t>
  </si>
  <si>
    <t>PE32 1RY</t>
  </si>
  <si>
    <t>PE32 2NF</t>
  </si>
  <si>
    <t>PE33 0BY</t>
  </si>
  <si>
    <t>PE33 0PP</t>
  </si>
  <si>
    <t>PE33 0RH</t>
  </si>
  <si>
    <t>PE33 0TQ</t>
  </si>
  <si>
    <t>PE33 9HP</t>
  </si>
  <si>
    <t>PE33 9PS</t>
  </si>
  <si>
    <t>PE33 9SW</t>
  </si>
  <si>
    <t>PE34 3PX</t>
  </si>
  <si>
    <t>PE34 3QG</t>
  </si>
  <si>
    <t>PE34 4PQ</t>
  </si>
  <si>
    <t>PE34 4QQ</t>
  </si>
  <si>
    <t>PE36 5AB</t>
  </si>
  <si>
    <t>PE36 5AF</t>
  </si>
  <si>
    <t>PE36 5AH</t>
  </si>
  <si>
    <t>PE36 5BB</t>
  </si>
  <si>
    <t>PE36 5BQ</t>
  </si>
  <si>
    <t>PE36 5EH</t>
  </si>
  <si>
    <t>PE36 5JU</t>
  </si>
  <si>
    <t>PE36 6BQ</t>
  </si>
  <si>
    <t>PE36 6HH</t>
  </si>
  <si>
    <t>PE36 6HX</t>
  </si>
  <si>
    <t>PE36 6JQ</t>
  </si>
  <si>
    <t>PE36 6LT</t>
  </si>
  <si>
    <t>PE37 7DD</t>
  </si>
  <si>
    <t>PE37 7HP</t>
  </si>
  <si>
    <t>PE37 7NT</t>
  </si>
  <si>
    <t>PE37 7QX</t>
  </si>
  <si>
    <t>PE37 8AE</t>
  </si>
  <si>
    <t>Nags Head Wine Bar, Braintree</t>
  </si>
  <si>
    <t xml:space="preserve">8 Market Place, </t>
  </si>
  <si>
    <t>Eagle, Braintree</t>
  </si>
  <si>
    <t xml:space="preserve">192 Coggeshall Road, </t>
  </si>
  <si>
    <t>Welsh Princess, Rayne</t>
  </si>
  <si>
    <t>21 The Street, Braintree</t>
  </si>
  <si>
    <t>George, Witham</t>
  </si>
  <si>
    <t xml:space="preserve">36 Newland Street, </t>
  </si>
  <si>
    <t>White Horse, Witham</t>
  </si>
  <si>
    <t xml:space="preserve">2 Church Street, </t>
  </si>
  <si>
    <t>Rayne</t>
  </si>
  <si>
    <t>Troy Bett</t>
  </si>
  <si>
    <t>James McIver</t>
  </si>
  <si>
    <t>CM7 3HG</t>
  </si>
  <si>
    <t>CM7 9ER</t>
  </si>
  <si>
    <t>CM77 6RW</t>
  </si>
  <si>
    <t>CM8 2AQ</t>
  </si>
  <si>
    <t>CM8 2JL</t>
  </si>
  <si>
    <t>Neal Barnes</t>
  </si>
  <si>
    <t>Kirsty Pettitt</t>
  </si>
  <si>
    <t>Brewers Arms, Ipswich</t>
  </si>
  <si>
    <t xml:space="preserve">15-20 Orford Street, </t>
  </si>
  <si>
    <t>Falcon Inn, Felixstowe</t>
  </si>
  <si>
    <t xml:space="preserve">272 High Street, </t>
  </si>
  <si>
    <t>Old Mill House, Saxtead</t>
  </si>
  <si>
    <t>The Green, Saxtead</t>
  </si>
  <si>
    <t>Walnut, Stowmarket</t>
  </si>
  <si>
    <t xml:space="preserve">Violet Hill Road, </t>
  </si>
  <si>
    <t>Chestnut Horse, Great Finborough</t>
  </si>
  <si>
    <t>B1115, The Green, Great Finborough</t>
  </si>
  <si>
    <t>Albion, Thetford</t>
  </si>
  <si>
    <t xml:space="preserve">93-95 Castle Street, </t>
  </si>
  <si>
    <t>Margaret Catchpole, Ipswich</t>
  </si>
  <si>
    <t xml:space="preserve">Cliff Lane, </t>
  </si>
  <si>
    <t>Manger, Bradfield Combust</t>
  </si>
  <si>
    <t>The Street, Bradfield Combust</t>
  </si>
  <si>
    <t>Six Bells, Felsham</t>
  </si>
  <si>
    <t>Church Road, Felsham</t>
  </si>
  <si>
    <t>Bennet Arms, Rougham</t>
  </si>
  <si>
    <t>1 Kingshall Street, Rougham</t>
  </si>
  <si>
    <t>Gardeners Arms, Tostock</t>
  </si>
  <si>
    <t>Church Road, Tostock</t>
  </si>
  <si>
    <t>Dun Cow, Bardwell</t>
  </si>
  <si>
    <t>Royal George, Barningham</t>
  </si>
  <si>
    <t>Church Road, Barningham</t>
  </si>
  <si>
    <t>Barley Mow, Ipswich</t>
  </si>
  <si>
    <t>Mow Hill, Witnesham</t>
  </si>
  <si>
    <t>Red Lion, Great Bricett</t>
  </si>
  <si>
    <t>Greenstreet Green, Great Bricett</t>
  </si>
  <si>
    <t>Bury Saint Edmunds</t>
  </si>
  <si>
    <t>IP14 3AT</t>
  </si>
  <si>
    <t>IP30 0LW</t>
  </si>
  <si>
    <t>IP7 7DD</t>
  </si>
  <si>
    <t>NR29 5JD</t>
  </si>
  <si>
    <t>Steve Bransby</t>
  </si>
  <si>
    <t>NR2 2SL</t>
  </si>
  <si>
    <t>NR14 7AR</t>
  </si>
  <si>
    <t>Shotesham</t>
  </si>
  <si>
    <t>Tivetshall St Mary</t>
  </si>
  <si>
    <t>Ancient Briton, Colchester</t>
  </si>
  <si>
    <t xml:space="preserve">17 Iceni Way, </t>
  </si>
  <si>
    <t>Angel, Glemsford</t>
  </si>
  <si>
    <t xml:space="preserve">Egremont Street, </t>
  </si>
  <si>
    <t>Angel, Sudbury</t>
  </si>
  <si>
    <t xml:space="preserve">43 Friars Street, </t>
  </si>
  <si>
    <t>British Flag, Harwich</t>
  </si>
  <si>
    <t xml:space="preserve">56 West Street, </t>
  </si>
  <si>
    <t>Chequers, Great Tey</t>
  </si>
  <si>
    <t>The Street, Great Tey</t>
  </si>
  <si>
    <t>Cherry Tree, Colchester</t>
  </si>
  <si>
    <t>29 Church Road, Brightlingsea</t>
  </si>
  <si>
    <t>Foresters Arms, Colchester</t>
  </si>
  <si>
    <t xml:space="preserve">Castle Road, </t>
  </si>
  <si>
    <t>Horse &amp; Groom, Sudbury</t>
  </si>
  <si>
    <t xml:space="preserve">35 East Street, </t>
  </si>
  <si>
    <t>Lion, Sudbury</t>
  </si>
  <si>
    <t>The Street, Stoke-By-Clare</t>
  </si>
  <si>
    <t>North Street Tavern, Sudbury</t>
  </si>
  <si>
    <t xml:space="preserve">66 North Street, </t>
  </si>
  <si>
    <t>Queens Head, Walton On The Naze</t>
  </si>
  <si>
    <t xml:space="preserve">76-80 High Street, </t>
  </si>
  <si>
    <t>Royal Oak, Colchester</t>
  </si>
  <si>
    <t>East End, East Bergholt</t>
  </si>
  <si>
    <t>Silver Oyster, Colchester</t>
  </si>
  <si>
    <t xml:space="preserve">1 The Parade, </t>
  </si>
  <si>
    <t>Swan, Clare</t>
  </si>
  <si>
    <t>Three Bottles, Halstead</t>
  </si>
  <si>
    <t>Leather Lane, Great Yeldham</t>
  </si>
  <si>
    <t>Trafalgar, Harwich</t>
  </si>
  <si>
    <t xml:space="preserve">616 Main Road, </t>
  </si>
  <si>
    <t>Walton Tavern, Walton on the Naze</t>
  </si>
  <si>
    <t xml:space="preserve">30-31 The Parade, </t>
  </si>
  <si>
    <t>Wheatsheaf, Castle Hedingham</t>
  </si>
  <si>
    <t>2 Queen Street, Castle Hedingham</t>
  </si>
  <si>
    <t>Albion, Cromer</t>
  </si>
  <si>
    <t xml:space="preserve">32 Church Street, </t>
  </si>
  <si>
    <t>Bell, Cawston</t>
  </si>
  <si>
    <t xml:space="preserve">19 High Street, </t>
  </si>
  <si>
    <t>Broadshaven, Great Yarmouth</t>
  </si>
  <si>
    <t xml:space="preserve">Bridge Road, </t>
  </si>
  <si>
    <t>Coach &amp; Horses, Norwich</t>
  </si>
  <si>
    <t xml:space="preserve">1 Union Street, </t>
  </si>
  <si>
    <t>Crown, Colkirk</t>
  </si>
  <si>
    <t>Crown Road, Colkirk</t>
  </si>
  <si>
    <t>Crown, Reepham</t>
  </si>
  <si>
    <t>90 Ollands Road, Reepham</t>
  </si>
  <si>
    <t>Ferry House, Norwich</t>
  </si>
  <si>
    <t>Ferry Road, Surlingham</t>
  </si>
  <si>
    <t>Flying Dutchman, Lowestoft</t>
  </si>
  <si>
    <t>Beccles Road, Oulton Broad</t>
  </si>
  <si>
    <t>Globe, Shotesham</t>
  </si>
  <si>
    <t xml:space="preserve">The Common, </t>
  </si>
  <si>
    <t>Golfers Arms, Great Yarmouth</t>
  </si>
  <si>
    <t xml:space="preserve">27 North Denes Road, </t>
  </si>
  <si>
    <t>Green Dragon, Wymondham</t>
  </si>
  <si>
    <t xml:space="preserve">6 Church Street, </t>
  </si>
  <si>
    <t>Old Ram Coaching Inn, Tivetshall St Mary</t>
  </si>
  <si>
    <t xml:space="preserve">Ipswich Road (A140), </t>
  </si>
  <si>
    <t>Oxford Arms, Lowestoft</t>
  </si>
  <si>
    <t xml:space="preserve">St Margarets Road, </t>
  </si>
  <si>
    <t>Pear Tree Inn, Norwich</t>
  </si>
  <si>
    <t xml:space="preserve">79 Unthank Road, </t>
  </si>
  <si>
    <t>Red Hart, Holt</t>
  </si>
  <si>
    <t>Nicky Bellingham</t>
  </si>
  <si>
    <t>CO6 2HY</t>
  </si>
  <si>
    <t>Colne Engaine</t>
  </si>
  <si>
    <t>Earls Colne</t>
  </si>
  <si>
    <t>7 Mill Lane</t>
  </si>
  <si>
    <t>Five Bells, Colne Engaine</t>
  </si>
  <si>
    <t>Lion, Earls Colne</t>
  </si>
  <si>
    <t>POST SECTOR</t>
  </si>
  <si>
    <t>POST DISTRICT</t>
  </si>
  <si>
    <t>Postcode</t>
  </si>
  <si>
    <t>SDM Code</t>
  </si>
  <si>
    <t>Email Address</t>
  </si>
  <si>
    <t>RSM</t>
  </si>
  <si>
    <t>RSM Email Address</t>
  </si>
  <si>
    <t>Head of Sales</t>
  </si>
  <si>
    <t>Local Authority</t>
  </si>
  <si>
    <t>Stevie Knox</t>
  </si>
  <si>
    <t>steve.knox@belhaven.co.uk</t>
  </si>
  <si>
    <t>Graham Baird</t>
  </si>
  <si>
    <t>graham.baird@belhaven.co.uk</t>
  </si>
  <si>
    <t>Aberdeen City</t>
  </si>
  <si>
    <t>Aberdeenshire</t>
  </si>
  <si>
    <t>AB13</t>
  </si>
  <si>
    <t>AB14</t>
  </si>
  <si>
    <t>AB15</t>
  </si>
  <si>
    <t>AB30</t>
  </si>
  <si>
    <t>AB31</t>
  </si>
  <si>
    <t>AB33</t>
  </si>
  <si>
    <t>AB34</t>
  </si>
  <si>
    <t>AB35</t>
  </si>
  <si>
    <t>AB36</t>
  </si>
  <si>
    <t>AB37</t>
  </si>
  <si>
    <t>Moray</t>
  </si>
  <si>
    <t>AB38</t>
  </si>
  <si>
    <t>AB42</t>
  </si>
  <si>
    <t>AB43</t>
  </si>
  <si>
    <t>AB44</t>
  </si>
  <si>
    <t>AB52</t>
  </si>
  <si>
    <t>AB53</t>
  </si>
  <si>
    <t>AB55</t>
  </si>
  <si>
    <t>AB56</t>
  </si>
  <si>
    <t>Tom Brindley</t>
  </si>
  <si>
    <t>TomBrindley@greeneking.co.uk</t>
  </si>
  <si>
    <t>Gary Simpson</t>
  </si>
  <si>
    <t>garysimpson@greeneking.co.uk</t>
  </si>
  <si>
    <t>Scott Russell</t>
  </si>
  <si>
    <t xml:space="preserve">Matt Cleaver </t>
  </si>
  <si>
    <t>Mattcleaver@greeneking.co.uk</t>
  </si>
  <si>
    <t>Welwyn Hatfield</t>
  </si>
  <si>
    <t>Paul Brindley</t>
  </si>
  <si>
    <t>Paulbrindley@greeneking.co.uk</t>
  </si>
  <si>
    <t>Alan Dawson</t>
  </si>
  <si>
    <t>AlanDawson@greeneking.co.uk</t>
  </si>
  <si>
    <t>B10</t>
  </si>
  <si>
    <t>B11</t>
  </si>
  <si>
    <t>B15</t>
  </si>
  <si>
    <t>B20</t>
  </si>
  <si>
    <t>B21</t>
  </si>
  <si>
    <t>B24</t>
  </si>
  <si>
    <t>B3</t>
  </si>
  <si>
    <t>B32</t>
  </si>
  <si>
    <t>B35</t>
  </si>
  <si>
    <t>Birmingham / Solihull</t>
  </si>
  <si>
    <t>B40</t>
  </si>
  <si>
    <t>B43</t>
  </si>
  <si>
    <t>North Warwickshire</t>
  </si>
  <si>
    <t>Warwickshire</t>
  </si>
  <si>
    <t>B47</t>
  </si>
  <si>
    <t>Craig Barry</t>
  </si>
  <si>
    <t>craigbarry@greeneking.co.uk</t>
  </si>
  <si>
    <t>Stratford-on-Avon</t>
  </si>
  <si>
    <t>Stuart Hancox</t>
  </si>
  <si>
    <t>stuarthancox@greeneking.co.uk</t>
  </si>
  <si>
    <t>Sandwell</t>
  </si>
  <si>
    <t>paulbrindley@greeneking.co.uk</t>
  </si>
  <si>
    <t>Steve Ikin</t>
  </si>
  <si>
    <t>steveikin@greeneking.co.uk</t>
  </si>
  <si>
    <t>Bath and North East Somerset</t>
  </si>
  <si>
    <t>BA10</t>
  </si>
  <si>
    <t>Mendip</t>
  </si>
  <si>
    <t>Wiltshire</t>
  </si>
  <si>
    <t>Stephen Kennedy</t>
  </si>
  <si>
    <t>SteveKennedy@greeneking.co.uk</t>
  </si>
  <si>
    <t>South Somerset</t>
  </si>
  <si>
    <t>Dean Heasman</t>
  </si>
  <si>
    <t>DeanHeasman@greeneking.co.uk</t>
  </si>
  <si>
    <t>BA8</t>
  </si>
  <si>
    <t>Jessica Green</t>
  </si>
  <si>
    <t>jessicagreen@greeneking.co.uk</t>
  </si>
  <si>
    <t>Liam Hancy</t>
  </si>
  <si>
    <t>liamhancy@greeneking.co.uk</t>
  </si>
  <si>
    <t>Blackburn with Darwen</t>
  </si>
  <si>
    <t>Lancashire</t>
  </si>
  <si>
    <t>Hyndburn</t>
  </si>
  <si>
    <t>Ribble Valley</t>
  </si>
  <si>
    <t>Pendle</t>
  </si>
  <si>
    <t>Joe Klodzinski</t>
  </si>
  <si>
    <t>joeklodzinski@greeneking.co.uk</t>
  </si>
  <si>
    <t>City of Bradford</t>
  </si>
  <si>
    <t>West Yorkshire</t>
  </si>
  <si>
    <t>Kirklees</t>
  </si>
  <si>
    <t>a</t>
  </si>
  <si>
    <t>Craven</t>
  </si>
  <si>
    <t>North Yorkshire</t>
  </si>
  <si>
    <t>BD9</t>
  </si>
  <si>
    <t>Bournemouth, Christchurch and Poole</t>
  </si>
  <si>
    <t>BH18</t>
  </si>
  <si>
    <t>New Forest</t>
  </si>
  <si>
    <t>BH3</t>
  </si>
  <si>
    <t>BH5</t>
  </si>
  <si>
    <t>Sarah Johnson</t>
  </si>
  <si>
    <t>sarahjohnson@greeneking.co.uk</t>
  </si>
  <si>
    <t>Paul Rogers</t>
  </si>
  <si>
    <t>paulrogers@greeneking.co.uk</t>
  </si>
  <si>
    <t>Greater Manchester</t>
  </si>
  <si>
    <t>Bolton / Blackburn with Darwen</t>
  </si>
  <si>
    <t>Brighton and Hove</t>
  </si>
  <si>
    <t>Adur</t>
  </si>
  <si>
    <t>Arun</t>
  </si>
  <si>
    <t>Wealden</t>
  </si>
  <si>
    <t>Mid Sussex</t>
  </si>
  <si>
    <t>Chris Sibson</t>
  </si>
  <si>
    <t>chrissibson@greeneking.co.uk</t>
  </si>
  <si>
    <t>Outer London</t>
  </si>
  <si>
    <t>Dean Jordan</t>
  </si>
  <si>
    <t>deanjordan@greeneking.co.uk</t>
  </si>
  <si>
    <t>Bristol, City of</t>
  </si>
  <si>
    <t>South Gloucestershire</t>
  </si>
  <si>
    <t>BS28</t>
  </si>
  <si>
    <t>BT1</t>
  </si>
  <si>
    <t>Out of area</t>
  </si>
  <si>
    <t>OOA</t>
  </si>
  <si>
    <t>Out of Area</t>
  </si>
  <si>
    <t>BT10</t>
  </si>
  <si>
    <t>BT11</t>
  </si>
  <si>
    <t>BT12</t>
  </si>
  <si>
    <t>BT13</t>
  </si>
  <si>
    <t>BT14</t>
  </si>
  <si>
    <t>BT15</t>
  </si>
  <si>
    <t>BT16</t>
  </si>
  <si>
    <t>BT17</t>
  </si>
  <si>
    <t>BT18</t>
  </si>
  <si>
    <t>BT19</t>
  </si>
  <si>
    <t>BT2</t>
  </si>
  <si>
    <t>BT20</t>
  </si>
  <si>
    <t>BT21</t>
  </si>
  <si>
    <t>BT22</t>
  </si>
  <si>
    <t>BT23</t>
  </si>
  <si>
    <t>BT24</t>
  </si>
  <si>
    <t>BT25</t>
  </si>
  <si>
    <t>BT26</t>
  </si>
  <si>
    <t>BT27</t>
  </si>
  <si>
    <t>BT28</t>
  </si>
  <si>
    <t>BT29</t>
  </si>
  <si>
    <t>BT3</t>
  </si>
  <si>
    <t>BT30</t>
  </si>
  <si>
    <t>BT31</t>
  </si>
  <si>
    <t>BT32</t>
  </si>
  <si>
    <t>BT33</t>
  </si>
  <si>
    <t>BT34</t>
  </si>
  <si>
    <t>BT35</t>
  </si>
  <si>
    <t>BT36</t>
  </si>
  <si>
    <t>BT37</t>
  </si>
  <si>
    <t>BT38</t>
  </si>
  <si>
    <t>BT39</t>
  </si>
  <si>
    <t>BT4</t>
  </si>
  <si>
    <t>BT40</t>
  </si>
  <si>
    <t>BT41</t>
  </si>
  <si>
    <t>BT42</t>
  </si>
  <si>
    <t>BT43</t>
  </si>
  <si>
    <t>BT44</t>
  </si>
  <si>
    <t>BT45</t>
  </si>
  <si>
    <t>BT46</t>
  </si>
  <si>
    <t>BT47</t>
  </si>
  <si>
    <t>BT48</t>
  </si>
  <si>
    <t>BT49</t>
  </si>
  <si>
    <t>BT5</t>
  </si>
  <si>
    <t>BT51</t>
  </si>
  <si>
    <t>BT52</t>
  </si>
  <si>
    <t>BT53</t>
  </si>
  <si>
    <t>BT54</t>
  </si>
  <si>
    <t>BT55</t>
  </si>
  <si>
    <t>BT56</t>
  </si>
  <si>
    <t>BT57</t>
  </si>
  <si>
    <t>BT6</t>
  </si>
  <si>
    <t>BT60</t>
  </si>
  <si>
    <t>BT61</t>
  </si>
  <si>
    <t>BT62</t>
  </si>
  <si>
    <t>BT63</t>
  </si>
  <si>
    <t>BT64</t>
  </si>
  <si>
    <t>BT65</t>
  </si>
  <si>
    <t>BT66</t>
  </si>
  <si>
    <t>BT67</t>
  </si>
  <si>
    <t>BT68</t>
  </si>
  <si>
    <t>BT69</t>
  </si>
  <si>
    <t>BT7</t>
  </si>
  <si>
    <t>BT70</t>
  </si>
  <si>
    <t>BT71</t>
  </si>
  <si>
    <t>BT74</t>
  </si>
  <si>
    <t>BT75</t>
  </si>
  <si>
    <t>BT76</t>
  </si>
  <si>
    <t>BT77</t>
  </si>
  <si>
    <t>BT78</t>
  </si>
  <si>
    <t>BT79</t>
  </si>
  <si>
    <t>BT8</t>
  </si>
  <si>
    <t>BT80</t>
  </si>
  <si>
    <t>BT81</t>
  </si>
  <si>
    <t>BT82</t>
  </si>
  <si>
    <t>BT92</t>
  </si>
  <si>
    <t>BT93</t>
  </si>
  <si>
    <t>BT94</t>
  </si>
  <si>
    <t>Roy Knox</t>
  </si>
  <si>
    <t>royknox@greeneking.co.uk</t>
  </si>
  <si>
    <t>Kevan Makin</t>
  </si>
  <si>
    <t>kevan.makin@belhaven.co.uk</t>
  </si>
  <si>
    <t>Eden</t>
  </si>
  <si>
    <t>Allerdale</t>
  </si>
  <si>
    <t>CA20</t>
  </si>
  <si>
    <t>CA23</t>
  </si>
  <si>
    <t>CA24</t>
  </si>
  <si>
    <t>CA26</t>
  </si>
  <si>
    <t>CA6</t>
  </si>
  <si>
    <t>Tom Cladd</t>
  </si>
  <si>
    <t>tomcladd@greeneking.co.uk</t>
  </si>
  <si>
    <t>Tom Brown</t>
  </si>
  <si>
    <t>tombrown@greeneking.co.uk</t>
  </si>
  <si>
    <t>mattcleaver@greeneking.co.uk</t>
  </si>
  <si>
    <t>Uttlesford</t>
  </si>
  <si>
    <t>South Cambridgeshire</t>
  </si>
  <si>
    <t>East Cambridgeshire</t>
  </si>
  <si>
    <t>Forest Heath</t>
  </si>
  <si>
    <t>St Edmundsbury</t>
  </si>
  <si>
    <t>Glamorganshire</t>
  </si>
  <si>
    <t>CF23</t>
  </si>
  <si>
    <t>CF39</t>
  </si>
  <si>
    <t>CF43</t>
  </si>
  <si>
    <t>CF45</t>
  </si>
  <si>
    <t>CF48</t>
  </si>
  <si>
    <t>CF60</t>
  </si>
  <si>
    <t>Vale of Glamorgan</t>
  </si>
  <si>
    <t>Monmouthshire</t>
  </si>
  <si>
    <t>CF99</t>
  </si>
  <si>
    <t>Cheshire West and Chester</t>
  </si>
  <si>
    <t>Cheshire</t>
  </si>
  <si>
    <t>Flintshire</t>
  </si>
  <si>
    <t>Merseyside</t>
  </si>
  <si>
    <t>Neil Stebbings</t>
  </si>
  <si>
    <t>NeilStebbings@greeneking.co.uk</t>
  </si>
  <si>
    <t>Joe Sagnella</t>
  </si>
  <si>
    <t>joesagnella@greeneking.co.uk</t>
  </si>
  <si>
    <t>David Williamson</t>
  </si>
  <si>
    <t>davidwilliamson@greeneking.co.uk</t>
  </si>
  <si>
    <t>Epping Forest</t>
  </si>
  <si>
    <t>East Hertfordshire</t>
  </si>
  <si>
    <t>Nikki Hayter</t>
  </si>
  <si>
    <t>nikkihayter@greeneking.co.uk</t>
  </si>
  <si>
    <t>Kate Rayson</t>
  </si>
  <si>
    <t>katerayson@greeneking.co.uk</t>
  </si>
  <si>
    <t>Babergh</t>
  </si>
  <si>
    <t>Tendring</t>
  </si>
  <si>
    <t>CO8</t>
  </si>
  <si>
    <t>Laura Berry</t>
  </si>
  <si>
    <t>lauraberry@greeneking.co.uk</t>
  </si>
  <si>
    <t>Tandridge</t>
  </si>
  <si>
    <t>Merton</t>
  </si>
  <si>
    <t>Reigate and Banstead</t>
  </si>
  <si>
    <t>CR9</t>
  </si>
  <si>
    <t>Thanet</t>
  </si>
  <si>
    <t>Folkestone and Hythe</t>
  </si>
  <si>
    <t>CT8</t>
  </si>
  <si>
    <t>Jonathan Wright</t>
  </si>
  <si>
    <t>JonathanWright@greeneking.co.uk</t>
  </si>
  <si>
    <t>Nuneaton and Bedworth</t>
  </si>
  <si>
    <t>Hinckley and Bosworth</t>
  </si>
  <si>
    <t>Leicestershire</t>
  </si>
  <si>
    <t>Cheshire East</t>
  </si>
  <si>
    <t>Liam Hutchinson</t>
  </si>
  <si>
    <t>liamhutchinson@greeneking.co.uk</t>
  </si>
  <si>
    <t>Gravesham</t>
  </si>
  <si>
    <t>DA18</t>
  </si>
  <si>
    <t>Simeon Stewart</t>
  </si>
  <si>
    <t>simeon.stewart@belhaven.co.uk</t>
  </si>
  <si>
    <t>Dundee City</t>
  </si>
  <si>
    <t>Angus</t>
  </si>
  <si>
    <t>DD6</t>
  </si>
  <si>
    <t>South Derbyshire</t>
  </si>
  <si>
    <t>East Staffordshire</t>
  </si>
  <si>
    <t>Amber Valley</t>
  </si>
  <si>
    <t>Derbyshire Dales</t>
  </si>
  <si>
    <t>Erewash</t>
  </si>
  <si>
    <t>North West Leicestershire</t>
  </si>
  <si>
    <t>Dumfries and Galloway</t>
  </si>
  <si>
    <t>DG10</t>
  </si>
  <si>
    <t>DG11</t>
  </si>
  <si>
    <t>DG12</t>
  </si>
  <si>
    <t>DG13</t>
  </si>
  <si>
    <t>DG14</t>
  </si>
  <si>
    <t>George Tunnock</t>
  </si>
  <si>
    <t>George.Tunnock@belaven.co.uk</t>
  </si>
  <si>
    <t>DG3</t>
  </si>
  <si>
    <t>DG6</t>
  </si>
  <si>
    <t>DG7</t>
  </si>
  <si>
    <t>DG8</t>
  </si>
  <si>
    <t>DG9</t>
  </si>
  <si>
    <t>Helen Southerland</t>
  </si>
  <si>
    <t>helensoutherland@greeneking.co.uk</t>
  </si>
  <si>
    <t>County Durham</t>
  </si>
  <si>
    <t>Richmondshire</t>
  </si>
  <si>
    <t>DL9</t>
  </si>
  <si>
    <t>Alastair Drew</t>
  </si>
  <si>
    <t>AlastairDrew@greeneking.co.uk</t>
  </si>
  <si>
    <t>South Yorkshire</t>
  </si>
  <si>
    <t>Bassetlaw</t>
  </si>
  <si>
    <t>Nottinghamshire</t>
  </si>
  <si>
    <t>East Riding of Yorkshire</t>
  </si>
  <si>
    <t>North Lincolnshire</t>
  </si>
  <si>
    <t>West Lindsey</t>
  </si>
  <si>
    <t>DN31</t>
  </si>
  <si>
    <t>North East Lincolnshire</t>
  </si>
  <si>
    <t>DN34</t>
  </si>
  <si>
    <t>Iain Town</t>
  </si>
  <si>
    <t>Iaintown@greeneking.co.uk</t>
  </si>
  <si>
    <t>West Dorset</t>
  </si>
  <si>
    <t xml:space="preserve">Stuart Hancox </t>
  </si>
  <si>
    <t>Wyre Forest</t>
  </si>
  <si>
    <t>South Staffordshire</t>
  </si>
  <si>
    <t>Ade Kamson</t>
  </si>
  <si>
    <t>adekamson@greeneking.co.uk</t>
  </si>
  <si>
    <t>Tower Hamlets</t>
  </si>
  <si>
    <t>Inner London</t>
  </si>
  <si>
    <t>Waltham Forest</t>
  </si>
  <si>
    <t>Newham</t>
  </si>
  <si>
    <t>Davidwilliamson@greeneking.co.uk</t>
  </si>
  <si>
    <t>E18</t>
  </si>
  <si>
    <t>Redbridge</t>
  </si>
  <si>
    <t>Hackney</t>
  </si>
  <si>
    <t>Gary Cook</t>
  </si>
  <si>
    <t>garycook@greeneking.co.uk</t>
  </si>
  <si>
    <t>City of London</t>
  </si>
  <si>
    <t>EC2M</t>
  </si>
  <si>
    <t>EC2N</t>
  </si>
  <si>
    <t>EC2R</t>
  </si>
  <si>
    <t>EC2V</t>
  </si>
  <si>
    <t>EC2Y</t>
  </si>
  <si>
    <t>City of London Corporation</t>
  </si>
  <si>
    <t>Greater London</t>
  </si>
  <si>
    <t>EC3M</t>
  </si>
  <si>
    <t>EC4N</t>
  </si>
  <si>
    <t>EC4R</t>
  </si>
  <si>
    <t>EC4Y</t>
  </si>
  <si>
    <t>James O'Neill</t>
  </si>
  <si>
    <t>james.oneill@belhaven.co.uk</t>
  </si>
  <si>
    <t>Edinburgh City</t>
  </si>
  <si>
    <t>Brodie Hutson</t>
  </si>
  <si>
    <t>brodiehutson@greeneking.co.uk</t>
  </si>
  <si>
    <t>EH20</t>
  </si>
  <si>
    <t>EH23</t>
  </si>
  <si>
    <t>EH24</t>
  </si>
  <si>
    <t>EH25</t>
  </si>
  <si>
    <t>EH27</t>
  </si>
  <si>
    <t>West Lothian</t>
  </si>
  <si>
    <t>Lothian</t>
  </si>
  <si>
    <t>EH28</t>
  </si>
  <si>
    <t>EH31</t>
  </si>
  <si>
    <t>Keith Grieve</t>
  </si>
  <si>
    <t>keithgrieve@belhaven.co.uk</t>
  </si>
  <si>
    <t>East Lothian</t>
  </si>
  <si>
    <t>EH34</t>
  </si>
  <si>
    <t>EH36</t>
  </si>
  <si>
    <t>EH37</t>
  </si>
  <si>
    <t>EH38</t>
  </si>
  <si>
    <t>EH40</t>
  </si>
  <si>
    <t>EH43</t>
  </si>
  <si>
    <t>Scottish Borders</t>
  </si>
  <si>
    <t>EH44</t>
  </si>
  <si>
    <t>EH51</t>
  </si>
  <si>
    <t>Stirlingshire</t>
  </si>
  <si>
    <t>EH99</t>
  </si>
  <si>
    <t>Matt Cleaver</t>
  </si>
  <si>
    <t>Hertsmere</t>
  </si>
  <si>
    <t>EN7</t>
  </si>
  <si>
    <t>Devon</t>
  </si>
  <si>
    <t>East Devon</t>
  </si>
  <si>
    <t>EX11</t>
  </si>
  <si>
    <t>Mid Devon</t>
  </si>
  <si>
    <t>EX17</t>
  </si>
  <si>
    <t>EX18</t>
  </si>
  <si>
    <t>Torridge</t>
  </si>
  <si>
    <t>West Devon</t>
  </si>
  <si>
    <t>EX21</t>
  </si>
  <si>
    <t>EX22</t>
  </si>
  <si>
    <t>Cornwall</t>
  </si>
  <si>
    <t>EX24</t>
  </si>
  <si>
    <t>North Devon</t>
  </si>
  <si>
    <t>EX37</t>
  </si>
  <si>
    <t>Teignbridge</t>
  </si>
  <si>
    <t>Stephen Logan</t>
  </si>
  <si>
    <t>stephenlogan@greeneking.co.uk</t>
  </si>
  <si>
    <t>Clackmannanshire</t>
  </si>
  <si>
    <t>FK11</t>
  </si>
  <si>
    <t>FK12</t>
  </si>
  <si>
    <t>FK14</t>
  </si>
  <si>
    <t>FK16</t>
  </si>
  <si>
    <t>FK18</t>
  </si>
  <si>
    <t>FK19</t>
  </si>
  <si>
    <t>FK20</t>
  </si>
  <si>
    <t>FK21</t>
  </si>
  <si>
    <t>FK4</t>
  </si>
  <si>
    <t>FK6</t>
  </si>
  <si>
    <t>Wyre</t>
  </si>
  <si>
    <t>Fylde</t>
  </si>
  <si>
    <t>Ben Frater</t>
  </si>
  <si>
    <t>benfrater@greeneking.co.uk</t>
  </si>
  <si>
    <t>Kevin Grierson</t>
  </si>
  <si>
    <t>kevin.grierson@belhaven.co.uk</t>
  </si>
  <si>
    <t>Glasgow City</t>
  </si>
  <si>
    <t>Lanarkshire</t>
  </si>
  <si>
    <t>G21</t>
  </si>
  <si>
    <t>G34</t>
  </si>
  <si>
    <t>G4</t>
  </si>
  <si>
    <t>G44</t>
  </si>
  <si>
    <t>G45</t>
  </si>
  <si>
    <t>West Dunbartonshire</t>
  </si>
  <si>
    <t>Dunbartonshire</t>
  </si>
  <si>
    <t>G61</t>
  </si>
  <si>
    <t>East Dunbartonshire</t>
  </si>
  <si>
    <t>G63</t>
  </si>
  <si>
    <t>G65</t>
  </si>
  <si>
    <t>North Lanarkshire</t>
  </si>
  <si>
    <t>G68</t>
  </si>
  <si>
    <t>South Lanarkshire</t>
  </si>
  <si>
    <t>East Renfrewshire</t>
  </si>
  <si>
    <t>Renfrewshire</t>
  </si>
  <si>
    <t>G77</t>
  </si>
  <si>
    <t>Argyll and Bute</t>
  </si>
  <si>
    <t>GL13</t>
  </si>
  <si>
    <t>Forest of Dean</t>
  </si>
  <si>
    <t>GL18</t>
  </si>
  <si>
    <t>Cotswold</t>
  </si>
  <si>
    <t>Dan Gathercole</t>
  </si>
  <si>
    <t>danielgathercole@greeneking.co.uk</t>
  </si>
  <si>
    <t>Rushmoor</t>
  </si>
  <si>
    <t>Surrey Heath</t>
  </si>
  <si>
    <t>Hart</t>
  </si>
  <si>
    <t>GU18</t>
  </si>
  <si>
    <t>Runnymede</t>
  </si>
  <si>
    <t>GU26</t>
  </si>
  <si>
    <t>East Hampshire</t>
  </si>
  <si>
    <t>Bracknell Forest</t>
  </si>
  <si>
    <t>GY1</t>
  </si>
  <si>
    <t>GY10</t>
  </si>
  <si>
    <t>GY2</t>
  </si>
  <si>
    <t>GY3</t>
  </si>
  <si>
    <t>GY4</t>
  </si>
  <si>
    <t>GY5</t>
  </si>
  <si>
    <t>GY6</t>
  </si>
  <si>
    <t>GY7</t>
  </si>
  <si>
    <t>GY8</t>
  </si>
  <si>
    <t>GY9</t>
  </si>
  <si>
    <t>Brent</t>
  </si>
  <si>
    <t>Hillingdon</t>
  </si>
  <si>
    <t>HA7</t>
  </si>
  <si>
    <t>Calderdale</t>
  </si>
  <si>
    <t>Dacorum</t>
  </si>
  <si>
    <t>Richard Saunders</t>
  </si>
  <si>
    <t>RichardSaunders@greeneking.co.uk</t>
  </si>
  <si>
    <t>Buckinghamshire</t>
  </si>
  <si>
    <t>Wycombe</t>
  </si>
  <si>
    <t>Chiltern</t>
  </si>
  <si>
    <t>HP6</t>
  </si>
  <si>
    <t>South Bucks</t>
  </si>
  <si>
    <t>Herefordshire</t>
  </si>
  <si>
    <t>Herefordshire, County of</t>
  </si>
  <si>
    <t>HR3</t>
  </si>
  <si>
    <t>Powys</t>
  </si>
  <si>
    <t>HS2</t>
  </si>
  <si>
    <t>HS3</t>
  </si>
  <si>
    <t>HS4</t>
  </si>
  <si>
    <t>HS5</t>
  </si>
  <si>
    <t>HS6</t>
  </si>
  <si>
    <t>HS7</t>
  </si>
  <si>
    <t>HS8</t>
  </si>
  <si>
    <t>HS9</t>
  </si>
  <si>
    <t>Kingston upon Hull, City of</t>
  </si>
  <si>
    <t>HU20</t>
  </si>
  <si>
    <t>Barking and Dagenham</t>
  </si>
  <si>
    <t>IG2</t>
  </si>
  <si>
    <t>IG4</t>
  </si>
  <si>
    <t>IG5</t>
  </si>
  <si>
    <t>IM1</t>
  </si>
  <si>
    <t>IM2</t>
  </si>
  <si>
    <t>IM3</t>
  </si>
  <si>
    <t>IM4</t>
  </si>
  <si>
    <t>IM5</t>
  </si>
  <si>
    <t>IM6</t>
  </si>
  <si>
    <t>IM7</t>
  </si>
  <si>
    <t>IM8</t>
  </si>
  <si>
    <t>IM9</t>
  </si>
  <si>
    <t>Rob Brown</t>
  </si>
  <si>
    <t>Robertbrown@greeneking.co.uk</t>
  </si>
  <si>
    <t>East Suffolk</t>
  </si>
  <si>
    <t>Suffolk Coastal</t>
  </si>
  <si>
    <t>Mid Suffolk</t>
  </si>
  <si>
    <t>South Norfolk</t>
  </si>
  <si>
    <t>Adam Reditt</t>
  </si>
  <si>
    <t>Adamreditt@greeneking.co.uk</t>
  </si>
  <si>
    <t>Breckland</t>
  </si>
  <si>
    <t>King's Lynn and West Norfolk</t>
  </si>
  <si>
    <t>IP27</t>
  </si>
  <si>
    <t>West Suffolk</t>
  </si>
  <si>
    <t>Kevin Wallace</t>
  </si>
  <si>
    <t>kevin.wallace@belhaven.co.uk</t>
  </si>
  <si>
    <t>Highland</t>
  </si>
  <si>
    <t>IV10</t>
  </si>
  <si>
    <t>IV11</t>
  </si>
  <si>
    <t>IV13</t>
  </si>
  <si>
    <t>IV14</t>
  </si>
  <si>
    <t>IV16</t>
  </si>
  <si>
    <t>IV17</t>
  </si>
  <si>
    <t>IV18</t>
  </si>
  <si>
    <t>IV19</t>
  </si>
  <si>
    <t>IV20</t>
  </si>
  <si>
    <t>IV21</t>
  </si>
  <si>
    <t>IV22</t>
  </si>
  <si>
    <t>IV23</t>
  </si>
  <si>
    <t>IV24</t>
  </si>
  <si>
    <t>IV27</t>
  </si>
  <si>
    <t>IV28</t>
  </si>
  <si>
    <t>IV32</t>
  </si>
  <si>
    <t>IV4</t>
  </si>
  <si>
    <t>IV40</t>
  </si>
  <si>
    <t>IV41</t>
  </si>
  <si>
    <t>IV42</t>
  </si>
  <si>
    <t>IV43</t>
  </si>
  <si>
    <t>IV44</t>
  </si>
  <si>
    <t>IV45</t>
  </si>
  <si>
    <t>IV46</t>
  </si>
  <si>
    <t>IV47</t>
  </si>
  <si>
    <t>IV48</t>
  </si>
  <si>
    <t>IV49</t>
  </si>
  <si>
    <t>IV5</t>
  </si>
  <si>
    <t>IV52</t>
  </si>
  <si>
    <t>IV53</t>
  </si>
  <si>
    <t>IV54</t>
  </si>
  <si>
    <t>IV55</t>
  </si>
  <si>
    <t>IV56</t>
  </si>
  <si>
    <t>IV6</t>
  </si>
  <si>
    <t>IV63</t>
  </si>
  <si>
    <t>IV7</t>
  </si>
  <si>
    <t>IV8</t>
  </si>
  <si>
    <t>IV9</t>
  </si>
  <si>
    <t>JE1</t>
  </si>
  <si>
    <t>JE2</t>
  </si>
  <si>
    <t>JE3</t>
  </si>
  <si>
    <t>JE4</t>
  </si>
  <si>
    <t>East Ayrshire</t>
  </si>
  <si>
    <t>Ayrshire</t>
  </si>
  <si>
    <t>KA10</t>
  </si>
  <si>
    <t>South Ayrshire</t>
  </si>
  <si>
    <t>North Ayrshire</t>
  </si>
  <si>
    <t>KA14</t>
  </si>
  <si>
    <t>KA15</t>
  </si>
  <si>
    <t>KA16</t>
  </si>
  <si>
    <t>KA17</t>
  </si>
  <si>
    <t>KA19</t>
  </si>
  <si>
    <t>KA2</t>
  </si>
  <si>
    <t>KA20</t>
  </si>
  <si>
    <t>KA21</t>
  </si>
  <si>
    <t>KA23</t>
  </si>
  <si>
    <t>KA24</t>
  </si>
  <si>
    <t>KA25</t>
  </si>
  <si>
    <t>KA26</t>
  </si>
  <si>
    <t>KA27</t>
  </si>
  <si>
    <t>KA28</t>
  </si>
  <si>
    <t>KA29</t>
  </si>
  <si>
    <t>KA6</t>
  </si>
  <si>
    <t>Elmbridge</t>
  </si>
  <si>
    <t>Epsom and Ewell</t>
  </si>
  <si>
    <t>KT18</t>
  </si>
  <si>
    <t>KT21</t>
  </si>
  <si>
    <t>Mole Valley</t>
  </si>
  <si>
    <t>KT5</t>
  </si>
  <si>
    <t>KW1</t>
  </si>
  <si>
    <t>KW10</t>
  </si>
  <si>
    <t>KW11</t>
  </si>
  <si>
    <t>KW12</t>
  </si>
  <si>
    <t>KW13</t>
  </si>
  <si>
    <t>KW14</t>
  </si>
  <si>
    <t>KW15</t>
  </si>
  <si>
    <t>Orkney Islands</t>
  </si>
  <si>
    <t>Orkney</t>
  </si>
  <si>
    <t>KW16</t>
  </si>
  <si>
    <t>KW17</t>
  </si>
  <si>
    <t>KW2</t>
  </si>
  <si>
    <t>KW3</t>
  </si>
  <si>
    <t>KW5</t>
  </si>
  <si>
    <t>KW6</t>
  </si>
  <si>
    <t>KW7</t>
  </si>
  <si>
    <t>KW8</t>
  </si>
  <si>
    <t>KW9</t>
  </si>
  <si>
    <t>Perth and Kinross</t>
  </si>
  <si>
    <t>KY3</t>
  </si>
  <si>
    <t>KY4</t>
  </si>
  <si>
    <t>KY9</t>
  </si>
  <si>
    <t>L10</t>
  </si>
  <si>
    <t>Sefton</t>
  </si>
  <si>
    <t>Knowsley</t>
  </si>
  <si>
    <t>L27</t>
  </si>
  <si>
    <t>L28</t>
  </si>
  <si>
    <t>L29</t>
  </si>
  <si>
    <t>West Lancashire</t>
  </si>
  <si>
    <t>South Lakeland</t>
  </si>
  <si>
    <t>LA16</t>
  </si>
  <si>
    <t>LA17</t>
  </si>
  <si>
    <t>LA18</t>
  </si>
  <si>
    <t>LA19</t>
  </si>
  <si>
    <t>LA20</t>
  </si>
  <si>
    <t>Northumberland</t>
  </si>
  <si>
    <t>LD1</t>
  </si>
  <si>
    <t>LD4</t>
  </si>
  <si>
    <t>LD5</t>
  </si>
  <si>
    <t>LD6</t>
  </si>
  <si>
    <t>LD7</t>
  </si>
  <si>
    <t>LD8</t>
  </si>
  <si>
    <t xml:space="preserve">Liam Hutchinson </t>
  </si>
  <si>
    <t>Charnwood</t>
  </si>
  <si>
    <t>Michael Murphy</t>
  </si>
  <si>
    <t>michaelmurphy@greeneking.co.uk</t>
  </si>
  <si>
    <t>Melton</t>
  </si>
  <si>
    <t>Harborough</t>
  </si>
  <si>
    <t>Oadby and Wigston</t>
  </si>
  <si>
    <t>LL23</t>
  </si>
  <si>
    <t>LL25</t>
  </si>
  <si>
    <t>LL33</t>
  </si>
  <si>
    <t>LL35</t>
  </si>
  <si>
    <t>LL38</t>
  </si>
  <si>
    <t>LL39</t>
  </si>
  <si>
    <t>LL40</t>
  </si>
  <si>
    <t>LL43</t>
  </si>
  <si>
    <t>LL44</t>
  </si>
  <si>
    <t>LL46</t>
  </si>
  <si>
    <t>LL47</t>
  </si>
  <si>
    <t>LL62</t>
  </si>
  <si>
    <t>LL63</t>
  </si>
  <si>
    <t>LL64</t>
  </si>
  <si>
    <t>LL66</t>
  </si>
  <si>
    <t>LL69</t>
  </si>
  <si>
    <t>LL71</t>
  </si>
  <si>
    <t>LL73</t>
  </si>
  <si>
    <t>LL76</t>
  </si>
  <si>
    <t>LL78</t>
  </si>
  <si>
    <t>East Lindsey</t>
  </si>
  <si>
    <t>LN12</t>
  </si>
  <si>
    <t>North Kesteven</t>
  </si>
  <si>
    <t>LS3</t>
  </si>
  <si>
    <t>LS4</t>
  </si>
  <si>
    <t>LU4</t>
  </si>
  <si>
    <t>Central Bedfordshire / Luton</t>
  </si>
  <si>
    <t>Central Bedfordshire</t>
  </si>
  <si>
    <t>M13</t>
  </si>
  <si>
    <t>M17</t>
  </si>
  <si>
    <t>Trafford</t>
  </si>
  <si>
    <t>Vacant (Neil Horn)</t>
  </si>
  <si>
    <t>M31</t>
  </si>
  <si>
    <t>Tameside</t>
  </si>
  <si>
    <t>M38</t>
  </si>
  <si>
    <t>M50</t>
  </si>
  <si>
    <t>M6</t>
  </si>
  <si>
    <t>M60</t>
  </si>
  <si>
    <t>M7</t>
  </si>
  <si>
    <t>M90</t>
  </si>
  <si>
    <t>Medway</t>
  </si>
  <si>
    <t>Swale</t>
  </si>
  <si>
    <t>Tonbridge and Malling</t>
  </si>
  <si>
    <t>MK10</t>
  </si>
  <si>
    <t>GarySimpson@greeneking.co.uk</t>
  </si>
  <si>
    <t>South Northamptonshire</t>
  </si>
  <si>
    <t>Northamptonshire</t>
  </si>
  <si>
    <t>MK4</t>
  </si>
  <si>
    <t>MK7</t>
  </si>
  <si>
    <t>MK8</t>
  </si>
  <si>
    <t>MK9</t>
  </si>
  <si>
    <t>ML7</t>
  </si>
  <si>
    <t>N11</t>
  </si>
  <si>
    <t>N12</t>
  </si>
  <si>
    <t>Haringey</t>
  </si>
  <si>
    <t>N18</t>
  </si>
  <si>
    <t>N1C</t>
  </si>
  <si>
    <t>N3</t>
  </si>
  <si>
    <t>NE18</t>
  </si>
  <si>
    <t>NE19</t>
  </si>
  <si>
    <t>North Tyneside</t>
  </si>
  <si>
    <t>South Tyneside</t>
  </si>
  <si>
    <t>NE35</t>
  </si>
  <si>
    <t>NE43</t>
  </si>
  <si>
    <t>NE44</t>
  </si>
  <si>
    <t>NE48</t>
  </si>
  <si>
    <t>NE68</t>
  </si>
  <si>
    <t>NE69</t>
  </si>
  <si>
    <t>NE70</t>
  </si>
  <si>
    <t>NE98</t>
  </si>
  <si>
    <t>NE99</t>
  </si>
  <si>
    <t>Rushcliffe</t>
  </si>
  <si>
    <t>Newark and Sherwood</t>
  </si>
  <si>
    <t>Ashfield</t>
  </si>
  <si>
    <t>Broxtowe</t>
  </si>
  <si>
    <t>Gedling</t>
  </si>
  <si>
    <t>South Kesteven</t>
  </si>
  <si>
    <t>East Northamptonshire</t>
  </si>
  <si>
    <t>NP24</t>
  </si>
  <si>
    <t>Adam Vass</t>
  </si>
  <si>
    <t>adamvass@greeneking.co.uk</t>
  </si>
  <si>
    <t>Andrew Galpin</t>
  </si>
  <si>
    <t>andrewgalpin@greeneking.co.uk</t>
  </si>
  <si>
    <t>Broadland</t>
  </si>
  <si>
    <t>North Norfolk</t>
  </si>
  <si>
    <t>NR24</t>
  </si>
  <si>
    <t>NR35</t>
  </si>
  <si>
    <t>London Borough of Brent</t>
  </si>
  <si>
    <t>NW11</t>
  </si>
  <si>
    <t>NW4</t>
  </si>
  <si>
    <t>Westminster</t>
  </si>
  <si>
    <t>OL13</t>
  </si>
  <si>
    <t>South Oxfordshire</t>
  </si>
  <si>
    <t>Vale of White Horse</t>
  </si>
  <si>
    <t>Cherwell</t>
  </si>
  <si>
    <t>West Oxfordshire</t>
  </si>
  <si>
    <t>PA13</t>
  </si>
  <si>
    <t>PA14</t>
  </si>
  <si>
    <t>Inverclyde</t>
  </si>
  <si>
    <t>PA16</t>
  </si>
  <si>
    <t>PA17</t>
  </si>
  <si>
    <t>PA18</t>
  </si>
  <si>
    <t>PA20</t>
  </si>
  <si>
    <t>PA21</t>
  </si>
  <si>
    <t>PA22</t>
  </si>
  <si>
    <t>PA24</t>
  </si>
  <si>
    <t>PA25</t>
  </si>
  <si>
    <t>PA26</t>
  </si>
  <si>
    <t>PA27</t>
  </si>
  <si>
    <t>PA29</t>
  </si>
  <si>
    <t>PA30</t>
  </si>
  <si>
    <t>PA31</t>
  </si>
  <si>
    <t>PA32</t>
  </si>
  <si>
    <t>PA33</t>
  </si>
  <si>
    <t>PA34</t>
  </si>
  <si>
    <t>PA35</t>
  </si>
  <si>
    <t>PA36</t>
  </si>
  <si>
    <t>PA37</t>
  </si>
  <si>
    <t>PA38</t>
  </si>
  <si>
    <t>PA41</t>
  </si>
  <si>
    <t>PA42</t>
  </si>
  <si>
    <t>PA43</t>
  </si>
  <si>
    <t>PA44</t>
  </si>
  <si>
    <t>PA45</t>
  </si>
  <si>
    <t>PA46</t>
  </si>
  <si>
    <t>PA47</t>
  </si>
  <si>
    <t>PA48</t>
  </si>
  <si>
    <t>PA49</t>
  </si>
  <si>
    <t>PA6</t>
  </si>
  <si>
    <t>PA60</t>
  </si>
  <si>
    <t>PA61</t>
  </si>
  <si>
    <t>PA62</t>
  </si>
  <si>
    <t>PA63</t>
  </si>
  <si>
    <t>PA64</t>
  </si>
  <si>
    <t>PA65</t>
  </si>
  <si>
    <t>PA66</t>
  </si>
  <si>
    <t>PA67</t>
  </si>
  <si>
    <t>PA68</t>
  </si>
  <si>
    <t>PA69</t>
  </si>
  <si>
    <t>PA70</t>
  </si>
  <si>
    <t>PA71</t>
  </si>
  <si>
    <t>PA72</t>
  </si>
  <si>
    <t>PA73</t>
  </si>
  <si>
    <t>PA74</t>
  </si>
  <si>
    <t>PA75</t>
  </si>
  <si>
    <t>PA76</t>
  </si>
  <si>
    <t>PA77</t>
  </si>
  <si>
    <t>PA78</t>
  </si>
  <si>
    <t>PA8</t>
  </si>
  <si>
    <t>PA80</t>
  </si>
  <si>
    <t>PA9</t>
  </si>
  <si>
    <t>Neil Tweddle</t>
  </si>
  <si>
    <t>neiltweddle@greeneking.co.uk</t>
  </si>
  <si>
    <t>South Holland</t>
  </si>
  <si>
    <t>Fenland</t>
  </si>
  <si>
    <t>Huntingdonshire</t>
  </si>
  <si>
    <t>Boston Borough</t>
  </si>
  <si>
    <t>PE35</t>
  </si>
  <si>
    <t>PE5</t>
  </si>
  <si>
    <t>PH10</t>
  </si>
  <si>
    <t>PH11</t>
  </si>
  <si>
    <t>PH12</t>
  </si>
  <si>
    <t>PH13</t>
  </si>
  <si>
    <t>PH14</t>
  </si>
  <si>
    <t>PH16</t>
  </si>
  <si>
    <t>PH17</t>
  </si>
  <si>
    <t>PH18</t>
  </si>
  <si>
    <t>PH19</t>
  </si>
  <si>
    <t>PH20</t>
  </si>
  <si>
    <t>PH21</t>
  </si>
  <si>
    <t>PH23</t>
  </si>
  <si>
    <t>PH24</t>
  </si>
  <si>
    <t>PH25</t>
  </si>
  <si>
    <t>PH30</t>
  </si>
  <si>
    <t>PH31</t>
  </si>
  <si>
    <t>PH32</t>
  </si>
  <si>
    <t>PH34</t>
  </si>
  <si>
    <t>PH35</t>
  </si>
  <si>
    <t>PH36</t>
  </si>
  <si>
    <t>PH37</t>
  </si>
  <si>
    <t>PH38</t>
  </si>
  <si>
    <t>PH39</t>
  </si>
  <si>
    <t>PH4</t>
  </si>
  <si>
    <t>PH40</t>
  </si>
  <si>
    <t>PH41</t>
  </si>
  <si>
    <t>PH42</t>
  </si>
  <si>
    <t>PH43</t>
  </si>
  <si>
    <t>PH44</t>
  </si>
  <si>
    <t>PH5</t>
  </si>
  <si>
    <t>PH6</t>
  </si>
  <si>
    <t>PH8</t>
  </si>
  <si>
    <t>PH9</t>
  </si>
  <si>
    <t>PL16</t>
  </si>
  <si>
    <t>PL18</t>
  </si>
  <si>
    <t>PL34</t>
  </si>
  <si>
    <t>South Hams</t>
  </si>
  <si>
    <t>Danielgathercole@greeneking.co.uk</t>
  </si>
  <si>
    <t>PO39</t>
  </si>
  <si>
    <t>South Ribble</t>
  </si>
  <si>
    <t>West Berkshire</t>
  </si>
  <si>
    <t>Basingstoke and Deane</t>
  </si>
  <si>
    <t>Havering</t>
  </si>
  <si>
    <t>RM11</t>
  </si>
  <si>
    <t>Thurrock</t>
  </si>
  <si>
    <t>RM18</t>
  </si>
  <si>
    <t>RM19</t>
  </si>
  <si>
    <t>RM6</t>
  </si>
  <si>
    <t>RM9</t>
  </si>
  <si>
    <t>North East Derbyshire</t>
  </si>
  <si>
    <t>S4</t>
  </si>
  <si>
    <t>SteveIkin@greeneking.co.uk</t>
  </si>
  <si>
    <t>Glamorgan</t>
  </si>
  <si>
    <t>Carmarthenshire</t>
  </si>
  <si>
    <t>SA2</t>
  </si>
  <si>
    <t>SA20</t>
  </si>
  <si>
    <t>SA35</t>
  </si>
  <si>
    <t>SA36</t>
  </si>
  <si>
    <t>SA37</t>
  </si>
  <si>
    <t>SA39</t>
  </si>
  <si>
    <t>SA40</t>
  </si>
  <si>
    <t>SA41</t>
  </si>
  <si>
    <t>SA42</t>
  </si>
  <si>
    <t>SA45</t>
  </si>
  <si>
    <t>SA47</t>
  </si>
  <si>
    <t>SA63</t>
  </si>
  <si>
    <t>SA64</t>
  </si>
  <si>
    <t>SA66</t>
  </si>
  <si>
    <t>SA69</t>
  </si>
  <si>
    <t>Neath Port Talbot</t>
  </si>
  <si>
    <t>Greenwich</t>
  </si>
  <si>
    <t>SE21</t>
  </si>
  <si>
    <t>SE28</t>
  </si>
  <si>
    <t>SE6</t>
  </si>
  <si>
    <t>MattCleaver@greeneking.co.uk</t>
  </si>
  <si>
    <t>North Hertfordshire</t>
  </si>
  <si>
    <t>Buckinghamshire / South Bucks</t>
  </si>
  <si>
    <t>Windsor and Maidenhead</t>
  </si>
  <si>
    <t>SM2</t>
  </si>
  <si>
    <t>SM4</t>
  </si>
  <si>
    <t>SM7</t>
  </si>
  <si>
    <t>Test Valley</t>
  </si>
  <si>
    <t>Castle Point</t>
  </si>
  <si>
    <t>SS8</t>
  </si>
  <si>
    <t>Staffordshire Moorlands</t>
  </si>
  <si>
    <t>SW10</t>
  </si>
  <si>
    <t>Kensington and Chelsea</t>
  </si>
  <si>
    <t>Wandsworth</t>
  </si>
  <si>
    <t>Richmond upon Thames</t>
  </si>
  <si>
    <t>SW1A</t>
  </si>
  <si>
    <t>SW1E</t>
  </si>
  <si>
    <t>SW1H</t>
  </si>
  <si>
    <t>SW20</t>
  </si>
  <si>
    <t>SW5</t>
  </si>
  <si>
    <t>Hammersmith and Fulham</t>
  </si>
  <si>
    <t>SW7</t>
  </si>
  <si>
    <t>SY15</t>
  </si>
  <si>
    <t>SY17</t>
  </si>
  <si>
    <t>SY18</t>
  </si>
  <si>
    <t>SY19</t>
  </si>
  <si>
    <t>SY25</t>
  </si>
  <si>
    <t>SY7</t>
  </si>
  <si>
    <t>Somerset West and Taunton</t>
  </si>
  <si>
    <t>TA10</t>
  </si>
  <si>
    <t>TA16</t>
  </si>
  <si>
    <t>Sedgemoor</t>
  </si>
  <si>
    <t>TD10</t>
  </si>
  <si>
    <t>TD11</t>
  </si>
  <si>
    <t>TD13</t>
  </si>
  <si>
    <t>TD14</t>
  </si>
  <si>
    <t>TD2</t>
  </si>
  <si>
    <t>TD3</t>
  </si>
  <si>
    <t>TD4</t>
  </si>
  <si>
    <t>TD5</t>
  </si>
  <si>
    <t>TD7</t>
  </si>
  <si>
    <t>TD8</t>
  </si>
  <si>
    <t>TD9</t>
  </si>
  <si>
    <t>Telford and Wrekin</t>
  </si>
  <si>
    <t>Rother</t>
  </si>
  <si>
    <t>TN20</t>
  </si>
  <si>
    <t>TN35</t>
  </si>
  <si>
    <t>TN7</t>
  </si>
  <si>
    <t>Torbay</t>
  </si>
  <si>
    <t>TR22</t>
  </si>
  <si>
    <t>TR23</t>
  </si>
  <si>
    <t>TR24</t>
  </si>
  <si>
    <t>TR25</t>
  </si>
  <si>
    <t>Middlesborough</t>
  </si>
  <si>
    <t>Redcar and Cleveland</t>
  </si>
  <si>
    <t>TS2</t>
  </si>
  <si>
    <t>TS4</t>
  </si>
  <si>
    <t>Spelthorne</t>
  </si>
  <si>
    <t>TW6</t>
  </si>
  <si>
    <t>UB1</t>
  </si>
  <si>
    <t>UB11</t>
  </si>
  <si>
    <t>W1A</t>
  </si>
  <si>
    <t>W1B</t>
  </si>
  <si>
    <t>W1C</t>
  </si>
  <si>
    <t>W1K</t>
  </si>
  <si>
    <t>W1S</t>
  </si>
  <si>
    <t>Halton</t>
  </si>
  <si>
    <t>WC1A</t>
  </si>
  <si>
    <t>WC1B</t>
  </si>
  <si>
    <t>WC1R</t>
  </si>
  <si>
    <t>Three Rivers</t>
  </si>
  <si>
    <t>WD7</t>
  </si>
  <si>
    <t>WF16</t>
  </si>
  <si>
    <t>Wychavon</t>
  </si>
  <si>
    <t>Malvern Hills</t>
  </si>
  <si>
    <t>Cannock Chase</t>
  </si>
  <si>
    <t>City of Wolverhampton</t>
  </si>
  <si>
    <t>Ryedale</t>
  </si>
  <si>
    <t>City Of York</t>
  </si>
  <si>
    <t>YO60</t>
  </si>
  <si>
    <t>ZE1</t>
  </si>
  <si>
    <t>Shetland Islands</t>
  </si>
  <si>
    <t>Shetland</t>
  </si>
  <si>
    <t>ZE2</t>
  </si>
  <si>
    <t>ZE3</t>
  </si>
  <si>
    <t>STRATEGY</t>
  </si>
  <si>
    <t>GROW - Stella/SM +1</t>
  </si>
  <si>
    <t xml:space="preserve">Won San Miguel here a few months ago. Veronica running pub after her husband passed away but her duaghter Antionette really makes the decisions. Should be able to get more stuff here but is Tier 3 </t>
  </si>
  <si>
    <t>GET</t>
  </si>
  <si>
    <t>Proper Pubs. Stella on and good to support</t>
  </si>
  <si>
    <t>Small place with Stella on bar. Not much opps other than San Mig</t>
  </si>
  <si>
    <t>good opps here for stella, More premium beers and lots fo POS around but could never get LL contact</t>
  </si>
  <si>
    <t>GROW</t>
  </si>
  <si>
    <t>Went here with TNT a few times and was THIS close to a deal. Would never take Stella. Wanted Corona but JP dragged his feet on it. Right next to a football pitch so can do an outside bar. Family run pub but Dad and Son make decisions (cant remmeber names lol)</t>
  </si>
  <si>
    <t>HUK Smart Dispense so tricky one</t>
  </si>
  <si>
    <t>KEEP</t>
  </si>
  <si>
    <t>Don't bother</t>
  </si>
  <si>
    <t>Was closed for most of my time with it but may be reopen</t>
  </si>
  <si>
    <t>CMBC direct. Buys ales through GK so Neil Stebbing will wnt to increase distro. San Mig was on before they took it off</t>
  </si>
  <si>
    <t>good opps for San Mig but LL never in</t>
  </si>
  <si>
    <t>Good opps for San Mig. Stella on and does well but small vols</t>
  </si>
  <si>
    <t>Recently reopened and have installed Stella (already claimed W sorry)</t>
  </si>
  <si>
    <t>Laura bar personl. Good opps for Stella andSan Mig but they are reluctant to change</t>
  </si>
  <si>
    <t>Part of MO that has two on my patch. Pale in all of them. We've got good opps to do Mahou, Stella in all three so lets team up on this</t>
  </si>
  <si>
    <t>This guy is a prick. But got him to agree San Mig IPO Fosters in principal so this is mine. Sorry not sorry</t>
  </si>
  <si>
    <t>Worst pub I've ever been to. Take a stab vest. LL never in</t>
  </si>
  <si>
    <t>Bud Light and Stella on here. Do pretty well but I would visit just to keep close</t>
  </si>
  <si>
    <t>Jamie is LL and also has Rose Inn on my patch. Wsnts to turn this place into an american smokehouse but doesn’t want Bud or Bud Light? JP keen for us here to pick up with him</t>
  </si>
  <si>
    <t>Strong vols and on TNT deal. Keep close and you could get another line to tip them to the 2k mark</t>
  </si>
  <si>
    <t>Also own Fish on Quay. Don’t buy through GK anymore</t>
  </si>
  <si>
    <t>MO that also has Rising Sun, CM2. Evan notorisouly difficult to get ahold. TNT want this and was on Modelo hitlist</t>
  </si>
  <si>
    <t>Buy through CMBC but good opps here</t>
  </si>
  <si>
    <t>Don’t bother</t>
  </si>
  <si>
    <t>Contracted with GK. Putts and Fras look after but good for exec check and build r'ships for next tender</t>
  </si>
  <si>
    <t>Good premium country site so decent opps for new Punch contract</t>
  </si>
  <si>
    <t>Kellie Newell</t>
  </si>
  <si>
    <t>district</t>
  </si>
  <si>
    <t>sector</t>
  </si>
  <si>
    <t>10gl   Stella Artois 4.6</t>
  </si>
  <si>
    <t>Kings Arms Hotel (North Walsham)</t>
  </si>
  <si>
    <t>Zip</t>
  </si>
  <si>
    <t>Brand(s)</t>
  </si>
  <si>
    <t>2025 TTL VOL</t>
  </si>
  <si>
    <t xml:space="preserve">10gl   Stella Artois 4.6, 11G
50L San Miguel Grundy 5.0 </t>
  </si>
  <si>
    <t>10gl   Stella Artois 4.6
11G/50L Becks Vier 4.0</t>
  </si>
  <si>
    <t>10gl   Stella Artois 4.6
11G/50L Becks Vier 4.0
11G/50L Budweiser Draught 4.5</t>
  </si>
  <si>
    <t>10gl   Stella Artois 4.6
11G/50L Budweiser Draught 4.5
11G/50L San Miguel Grundy 5.0</t>
  </si>
  <si>
    <t>11G/50L Camden Hells Lager 4.6
30ltr  Kopparberg Strawb &amp; Lime 4.0</t>
  </si>
  <si>
    <t>10gl   Stella Artois 4.6
11G/50L San Miguel Grundy 5.0</t>
  </si>
  <si>
    <t>10gl   Stella Artois 4.6
11G/50L Camden Hells Lager 4.6</t>
  </si>
  <si>
    <t>10gl   Stella Artois 4.6
11G/50L Camden Hells Lager 4.6
11G/50L San Miguel Grundy 5.0</t>
  </si>
  <si>
    <t>10gl   Stella Artois 4.6
30ltr  Camden Hells Lager 4.6
11G/50L Bud Light 3.4
11G/50L San Miguel Grundy 5.0</t>
  </si>
  <si>
    <t>10gl   Stella Artois 4.6
11G/50L Bud Light 3.4
11G/50L San Miguel Grundy 5.0</t>
  </si>
  <si>
    <t>30ltr  Kopparberg Strawb &amp; Lime 4.0
11G/50L San Miguel Grundy 5.0</t>
  </si>
  <si>
    <t>11G/50L Budweiser Draught 4.5
11G/50L San Miguel Grundy 5.0</t>
  </si>
  <si>
    <t>The Lady Elizabeth</t>
  </si>
  <si>
    <t>SP Oak Tree Norwich</t>
  </si>
  <si>
    <t>Nut Shell</t>
  </si>
  <si>
    <t>NR13 4BH</t>
  </si>
  <si>
    <t>San Miguel
Corona Extra</t>
  </si>
  <si>
    <t>San Miguel
Stella Artois</t>
  </si>
  <si>
    <t>San Miguel
Corona Extra
Camden Hells
Camden Pale Ale</t>
  </si>
  <si>
    <t>Unlikely-RM aid, wants kopp, up for pale ipo neckoil but not cheaper any more… easy?</t>
  </si>
  <si>
    <t>Chris</t>
  </si>
  <si>
    <t>San Mig ops (cruz dummy forever)</t>
  </si>
  <si>
    <t>Chris (dionne tender)</t>
  </si>
  <si>
    <t>Stella Artois
Camden Hells
Camden Pale</t>
  </si>
  <si>
    <t>San Miguel
Camden Hells</t>
  </si>
  <si>
    <t>Never Visited</t>
  </si>
  <si>
    <t>Stella Artois
San Miguel</t>
  </si>
  <si>
    <t>ift ops light. Cider maybe? San miguel issues</t>
  </si>
  <si>
    <t>Kev</t>
  </si>
  <si>
    <t>new ll, friends with Roly at Chestnut. Gave donation of Belfry tix. Pale pushing but $</t>
  </si>
  <si>
    <t>Martin &amp; Claire</t>
  </si>
  <si>
    <t>Stella Artois
Becks</t>
  </si>
  <si>
    <t>Stella safe on churn, but hurting on business - loves stella but $ fears. Up for pale/kop but $</t>
  </si>
  <si>
    <t>Shona</t>
  </si>
  <si>
    <t xml:space="preserve">Lost Stella. </t>
  </si>
  <si>
    <t>Shawn (lawrence mngr)</t>
  </si>
  <si>
    <t>Becks
Stella Artois
Camden Hells
Kopparberg Straw &amp; Lime</t>
  </si>
  <si>
    <t>yes</t>
  </si>
  <si>
    <t>Camden Pale Ale
Stella Artois</t>
  </si>
  <si>
    <t>Brands safe, low ops, less SM/Mahou $ against madri</t>
  </si>
  <si>
    <t>Andy (steve partner)</t>
  </si>
  <si>
    <t>yes
Walnute IP14</t>
  </si>
  <si>
    <t xml:space="preserve">Next to no ops at Grapes, very low Pale ops ipo neckoil. Listing Fee not enough $$ for increase kegs </t>
  </si>
  <si>
    <t>Pet &amp; Ami</t>
  </si>
  <si>
    <t>Yes
Gallo IFT -The Grapes down the road</t>
  </si>
  <si>
    <t>Stella Artois
Corona Extra</t>
  </si>
  <si>
    <t>San Miguel op with time</t>
  </si>
  <si>
    <t>Jane</t>
  </si>
  <si>
    <t xml:space="preserve">
Never visited</t>
  </si>
  <si>
    <t>Joanne ?
07949839114 (facebook)</t>
  </si>
  <si>
    <t>never visited</t>
  </si>
  <si>
    <t>Carmen &amp; Sarah?
07951066228 (Facebook)</t>
  </si>
  <si>
    <t>San miguel new? Not visited since may 2024</t>
  </si>
  <si>
    <t>DM</t>
  </si>
  <si>
    <t>Leanne &amp; Bob est Dec 2024? Facebook</t>
  </si>
  <si>
    <t>Ryan</t>
  </si>
  <si>
    <t>lost stout to murphy-sales
nil ops, less hells returns</t>
  </si>
  <si>
    <t>Sam and deb</t>
  </si>
  <si>
    <t>Rachel</t>
  </si>
  <si>
    <t>nicest punch pub around, friendly staff, not so interested dm in 2024</t>
  </si>
  <si>
    <t>Steve (Dionne &amp; Gracie (mngr/daughter))</t>
  </si>
  <si>
    <t>never met steve, just ladies. No stout ops, SM if returns</t>
  </si>
  <si>
    <t>Adrian</t>
  </si>
  <si>
    <t>Corona on for TNT, joined stella. Rona not doing great, awesome dude, lots of talking. Likely swap rona for sm early 2026. hates huk reps. Plenty of lines</t>
  </si>
  <si>
    <t>Keighly</t>
  </si>
  <si>
    <t>awesome lady, goodluck booking in. x3 sites (x2 SG, x1 Lacons - all bbg). Support. Interest in tnt but no movement. Removed sky $$</t>
  </si>
  <si>
    <t>Dave and Kim</t>
  </si>
  <si>
    <t>you owe them a mural and a billion camden parasols…. Harry</t>
  </si>
  <si>
    <t>Alison &amp; Trevor</t>
  </si>
  <si>
    <t>booked and no showed in oct. turned craft union? Sm ipo madri target</t>
  </si>
  <si>
    <t>spoke with Mia mngr on, danny is operations onsite guy. Camden hells swapped for corona and pale for redstripe. pale was more affordable amd sold waaay better</t>
  </si>
  <si>
    <t>sm delist, swapped for rona. Little ops, hoping stella/hells with time. Light interest in leffe but wont be high sales</t>
  </si>
  <si>
    <t>Emma</t>
  </si>
  <si>
    <t>Kopp opps with time. Hells on forever, lost to GK, returned last year ipo aspall</t>
  </si>
  <si>
    <t>James</t>
  </si>
  <si>
    <t>San Miguel
Kopparberg Straw &amp; Lime
Camden Hells</t>
  </si>
  <si>
    <t>low ops, maybe pale/stella. Huge soccer volume, invested with tables. Class dude, support</t>
  </si>
  <si>
    <t>Jimmy</t>
  </si>
  <si>
    <t>unlikely ops. Embarrasing ift/lt tnt and listing fee situ? Still support, decent vol, was open to SM with $$ and tnt</t>
  </si>
  <si>
    <t>Graham</t>
  </si>
  <si>
    <t>I good complainer about GK and $. SM safe. Knows the old kop owner? Kop ops,. Hells could be an option ipo gamma (but 'everything is good' and $) also has an IFT site in town, never open</t>
  </si>
  <si>
    <t>Lesley</t>
  </si>
  <si>
    <t>google says Closed down?
Lesely uninterested in talking. Only ops is cider/foster maybe</t>
  </si>
  <si>
    <t>wee bit out of the way to drive to. 2max kegs a week per brand. carling, aspall, target.. add with tnt ops. more cafe restraunt clientel</t>
  </si>
  <si>
    <t>Lisa (tasha AM)</t>
  </si>
  <si>
    <t>Pete (AKA FRIDGE)</t>
  </si>
  <si>
    <t>unlikely ops. Brands swell. Not tnt want of vianet tracking</t>
  </si>
  <si>
    <t>Sarah (dad Martin Miles)</t>
  </si>
  <si>
    <t>gk stole from lacons, sdm ticked off at wam. Hates lacons cellar serivces</t>
  </si>
  <si>
    <t>Moss &amp; Co</t>
  </si>
  <si>
    <t>doesn’t want team to know white label is BL. Agreed listing fee with sdm, no one answered to sign… asked for tnt? Sorted? Oooold</t>
  </si>
  <si>
    <t>SDM Neil deals with, do reach out to support</t>
  </si>
  <si>
    <t>SDM just asked for foc for cheap stella jan deal</t>
  </si>
  <si>
    <t>…fraser
foc
call sdm</t>
  </si>
  <si>
    <t>TODO</t>
  </si>
  <si>
    <t>SM Top vol and kop top 2. has tnt. Low ops, mostly gk</t>
  </si>
  <si>
    <t>Sarah (gareth tender)</t>
  </si>
  <si>
    <t>Michael? (jack tender)</t>
  </si>
  <si>
    <t>'cheapest pub in cromer'</t>
  </si>
  <si>
    <t>Phil</t>
  </si>
  <si>
    <t>mostly gk, small pub, maybe kop opps, nice guy but never comes down just phone. (asked for parasols at one point, told sdm only if he actually meets me and ops)</t>
  </si>
  <si>
    <t>Scott</t>
  </si>
  <si>
    <t>massive place, gorgeous garden, on gk list but with no bbg and becks is pouring- lacons, cmbc, gk -
Hells ipo cruz ops</t>
  </si>
  <si>
    <t>tnt ops- is price why they don't have and will share with julie the 50%</t>
  </si>
  <si>
    <t>op</t>
  </si>
  <si>
    <t>Sue</t>
  </si>
  <si>
    <t xml:space="preserve">late opening, emailed late 2024 for meet, responded but never responded to book. </t>
  </si>
  <si>
    <t>Collin</t>
  </si>
  <si>
    <t xml:space="preserve">listing fee running out. </t>
  </si>
  <si>
    <t>Free Trade</t>
  </si>
  <si>
    <t>CO11 2UU</t>
  </si>
  <si>
    <t>Twisters</t>
  </si>
  <si>
    <t>Thetford Rugby Club</t>
  </si>
  <si>
    <t>Thatch Restaurant (Lowestoft)</t>
  </si>
  <si>
    <t>Sutton Staithe Hotel</t>
  </si>
  <si>
    <t>IP31 2JH</t>
  </si>
  <si>
    <t>Stanton Community Village Hall</t>
  </si>
  <si>
    <t>NR17 1DU</t>
  </si>
  <si>
    <t>Shropham Village Social Club (Shrop</t>
  </si>
  <si>
    <t>Sea View Bar</t>
  </si>
  <si>
    <t>Quayside Bar &amp; Restaurant</t>
  </si>
  <si>
    <t>Medina</t>
  </si>
  <si>
    <t>Longham White Horse</t>
  </si>
  <si>
    <t>Jr'S Bowling &amp; American Diner</t>
  </si>
  <si>
    <t>CO10 8EE</t>
  </si>
  <si>
    <t>Hundon Village Hall Social Club</t>
  </si>
  <si>
    <t>NR13 3QB</t>
  </si>
  <si>
    <t>Halvergate Playing Fields As</t>
  </si>
  <si>
    <t>NR21 9AW</t>
  </si>
  <si>
    <t>General Townsend Club</t>
  </si>
  <si>
    <t>IP31 1SL</t>
  </si>
  <si>
    <t>FOLK</t>
  </si>
  <si>
    <t>NR24 2LQ</t>
  </si>
  <si>
    <t>Explorers Bar &amp; Coffee House</t>
  </si>
  <si>
    <t>East Tuddenham Village Club</t>
  </si>
  <si>
    <t>East Coast Bars</t>
  </si>
  <si>
    <t>Donkey And Buskins</t>
  </si>
  <si>
    <t>Curve Bar</t>
  </si>
  <si>
    <t>Comfortable Cow</t>
  </si>
  <si>
    <t>Claydon &amp; Barham Social Club &amp; Com</t>
  </si>
  <si>
    <t>Birch Grove Golf Course</t>
  </si>
  <si>
    <t>NR29 4HS</t>
  </si>
  <si>
    <t>Belle Aire</t>
  </si>
  <si>
    <t>Volume YTD</t>
  </si>
  <si>
    <t>Estate Type</t>
  </si>
  <si>
    <t>Strike</t>
  </si>
  <si>
    <t>Distribution in Strike</t>
  </si>
  <si>
    <t>Wolf Inn Lowestoft</t>
  </si>
  <si>
    <t>Wivenhoe Town Cricket Club</t>
  </si>
  <si>
    <t>NR30 2EN</t>
  </si>
  <si>
    <t>Tower (Great Yarmouth)</t>
  </si>
  <si>
    <t>Ti`s Bar &amp; Grill</t>
  </si>
  <si>
    <t>IP12 2GG</t>
  </si>
  <si>
    <t>Rendlesham Social Club (Rendlesham)</t>
  </si>
  <si>
    <t>Ratcatchers</t>
  </si>
  <si>
    <t>Manningtree Station Buffet</t>
  </si>
  <si>
    <t>Lamarsh Lion</t>
  </si>
  <si>
    <t>Hethersett Social Club</t>
  </si>
  <si>
    <t>CO12 3FA</t>
  </si>
  <si>
    <t>Harwich Cricket Club (Harwich)</t>
  </si>
  <si>
    <t>Fat Cat</t>
  </si>
  <si>
    <t>IP14 1LB</t>
  </si>
  <si>
    <t>NR29 3AT</t>
  </si>
  <si>
    <t>Broad Farm Caravan Site</t>
  </si>
  <si>
    <t>Blue Boar Inn</t>
  </si>
  <si>
    <t>Budlight
San Miguel</t>
  </si>
  <si>
    <t>Leffe</t>
  </si>
  <si>
    <t>Camden Pale
San Miguel</t>
  </si>
  <si>
    <t>not gk - wam?</t>
  </si>
  <si>
    <t>Gibraltor Gardens</t>
  </si>
  <si>
    <t xml:space="preserve">NR2 </t>
  </si>
  <si>
    <t>pending owed investment, likely no until then - but great location</t>
  </si>
  <si>
    <t>BOOK MEET</t>
  </si>
  <si>
    <t>possible, book</t>
  </si>
  <si>
    <t>sm delist. swapped for peroni.
harry seems gone as tender didn't recognise him amd said call land line
gorge location off ocean and golf course.</t>
  </si>
  <si>
    <t xml:space="preserve">notes </t>
  </si>
  <si>
    <t>Modelo or Eazy
(ros 50l a wk, most $ tap?)</t>
  </si>
  <si>
    <t>MODELO</t>
  </si>
  <si>
    <t>call visit</t>
  </si>
  <si>
    <t>lead fu</t>
  </si>
  <si>
    <t>fu rm - top 20</t>
  </si>
  <si>
    <t>Old times</t>
  </si>
  <si>
    <t xml:space="preserve">	
IP4 5NJ</t>
  </si>
  <si>
    <t>ip</t>
  </si>
  <si>
    <t>Kate</t>
  </si>
  <si>
    <t>rm fu</t>
  </si>
  <si>
    <t>Three Bottles</t>
  </si>
  <si>
    <t>admiral</t>
  </si>
  <si>
    <t>swan</t>
  </si>
  <si>
    <t>ip21 5pe</t>
  </si>
  <si>
    <t>gk ift</t>
  </si>
  <si>
    <t>san mig ipo madri, new accout</t>
  </si>
  <si>
    <t>sailors home</t>
  </si>
  <si>
    <t>nr33 7sb</t>
  </si>
  <si>
    <t>becks in dec flags</t>
  </si>
  <si>
    <t>has sm on font, gk led pub</t>
  </si>
  <si>
    <t>install confirm</t>
  </si>
  <si>
    <t>pale churning? Mahou ipo cask? …mciver</t>
  </si>
  <si>
    <t>Horringer Social Club</t>
  </si>
  <si>
    <t>ip29 5ru</t>
  </si>
  <si>
    <t>hells installed</t>
  </si>
  <si>
    <t>joe sagnella</t>
  </si>
  <si>
    <t>Hudson</t>
  </si>
  <si>
    <t>becks oct flag</t>
  </si>
  <si>
    <t xml:space="preserve">	
CO1 1NX</t>
  </si>
  <si>
    <t>also o n churn?</t>
  </si>
  <si>
    <t>Hintlesham Community Hall</t>
  </si>
  <si>
    <t>ip8 3ps</t>
  </si>
  <si>
    <t>Garden House</t>
  </si>
  <si>
    <t>nr16 2by</t>
  </si>
  <si>
    <t>aka smokehouse, churned and back</t>
  </si>
  <si>
    <t>ip14 4bq</t>
  </si>
  <si>
    <t>lee</t>
  </si>
  <si>
    <t>Mouse trap</t>
  </si>
  <si>
    <t>nr1 1bg</t>
  </si>
  <si>
    <t>site not on google? Sdm reddit?</t>
  </si>
  <si>
    <t>stella &amp; becks on dec flags</t>
  </si>
  <si>
    <t>Victoriia</t>
  </si>
  <si>
    <t>ip22 4hw</t>
  </si>
  <si>
    <t>Pot Black</t>
  </si>
  <si>
    <t>ip33 1yq</t>
  </si>
  <si>
    <t>andy</t>
  </si>
  <si>
    <t>bl ipo cmbc</t>
  </si>
  <si>
    <t>tnt sorted on $? Vianet is sorted. Screenprojecter requested w fraser</t>
  </si>
  <si>
    <t>Kings arms</t>
  </si>
  <si>
    <t>2 foc frome harry</t>
  </si>
  <si>
    <t>protect</t>
  </si>
  <si>
    <t>ip31 1rd</t>
  </si>
  <si>
    <t xml:space="preserve">harrison </t>
  </si>
  <si>
    <t>tnt pending, stella new… open ops</t>
  </si>
  <si>
    <t>(CALL WIFE AT SWAN co10 9jq 1ST)</t>
  </si>
  <si>
    <t xml:space="preserve">jim </t>
  </si>
  <si>
    <t xml:space="preserve">John   </t>
  </si>
  <si>
    <t>07802 912704</t>
  </si>
  <si>
    <t>henry</t>
  </si>
  <si>
    <t>andre</t>
  </si>
  <si>
    <t xml:space="preserve"> 7917 223165</t>
  </si>
  <si>
    <t>mick</t>
  </si>
  <si>
    <t>eazy/mahou</t>
  </si>
  <si>
    <t>want tnt?</t>
  </si>
  <si>
    <t>tnt/lead fu</t>
  </si>
  <si>
    <t>tnt cancelled?</t>
  </si>
  <si>
    <t>tnt price sorted?</t>
  </si>
  <si>
    <t>lead high</t>
  </si>
  <si>
    <t>get quotes</t>
  </si>
  <si>
    <t xml:space="preserve"> sdm quote - delay!</t>
  </si>
  <si>
    <t>tnt op?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</si>
</sst>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 #,##0.00_-;_-* &quot;-&quot;??_-;_-@_-"/>
    <numFmt numFmtId="164" formatCode="0.0%"/>
    <numFmt numFmtId="165" formatCode="0.0"/>
    <numFmt numFmtId="166" formatCode="_-* #,##0_-;\-* #,##0_-;_-* &quot;-&quot;??_-;_-@_-"/>
    <numFmt numFmtId="167" formatCode="0.0%;\-0.0%;0.0%"/>
  </numFmts>
  <fonts count="54" x14ac:knownFonts="1">
    <font>
      <sz val="11"/>
      <name val="Aptos Narrow"/>
    </font>
    <font>
      <sz val="11"/>
      <color theme="1"/>
      <name val="Aptos Narrow"/>
      <family val="2"/>
      <scheme val="minor"/>
    </font>
    <font>
      <sz val="11"/>
      <color theme="1"/>
      <name val="Aptos Narrow"/>
      <family val="2"/>
      <scheme val="minor"/>
    </font>
    <font>
      <sz val="11"/>
      <color theme="1"/>
      <name val="Aptos Narrow"/>
      <family val="2"/>
      <scheme val="minor"/>
    </font>
    <font>
      <sz val="11"/>
      <name val="Aptos Narrow"/>
      <family val="2"/>
    </font>
    <font>
      <u/>
      <sz val="11"/>
      <color theme="10"/>
      <name val="Aptos Narrow"/>
      <family val="2"/>
    </font>
    <font>
      <b/>
      <sz val="11"/>
      <name val="Aptos Narrow"/>
      <family val="2"/>
    </font>
    <font>
      <b/>
      <sz val="11"/>
      <color rgb="FFFFFFFF"/>
      <name val="Calibri"/>
      <family val="2"/>
    </font>
    <font>
      <b/>
      <sz val="11"/>
      <color rgb="FF3A3A3A"/>
      <name val="Times New Roman"/>
      <family val="1"/>
    </font>
    <font>
      <sz val="11"/>
      <color rgb="FF3A3A3A"/>
      <name val="Times New Roman"/>
      <family val="1"/>
    </font>
    <font>
      <sz val="10"/>
      <color rgb="FF000000"/>
      <name val="Roboto"/>
    </font>
    <font>
      <sz val="11"/>
      <name val="Aptos Narrow"/>
      <family val="2"/>
      <scheme val="minor"/>
    </font>
    <font>
      <b/>
      <sz val="11"/>
      <color theme="1"/>
      <name val="Aptos Narrow"/>
      <family val="2"/>
      <scheme val="minor"/>
    </font>
    <font>
      <sz val="11"/>
      <color theme="1"/>
      <name val="Gill Sans MT"/>
      <family val="2"/>
    </font>
    <font>
      <sz val="12"/>
      <color rgb="FF2A2C2D"/>
      <name val="Arial"/>
      <family val="2"/>
    </font>
    <font>
      <sz val="12"/>
      <color rgb="FF606060"/>
      <name val="Arial"/>
      <family val="2"/>
    </font>
    <font>
      <sz val="11"/>
      <color rgb="FF000000"/>
      <name val="Arial"/>
      <family val="2"/>
    </font>
    <font>
      <sz val="12"/>
      <color rgb="FF000000"/>
      <name val="Arial"/>
      <family val="2"/>
    </font>
    <font>
      <sz val="12"/>
      <color rgb="FF555555"/>
      <name val="Arial"/>
      <family val="2"/>
    </font>
    <font>
      <sz val="11"/>
      <color theme="1"/>
      <name val="Calibri"/>
      <family val="2"/>
    </font>
    <font>
      <b/>
      <sz val="8"/>
      <color rgb="FF000000"/>
      <name val="Arial"/>
      <family val="2"/>
    </font>
    <font>
      <sz val="11"/>
      <name val="Times New Roman"/>
      <family val="1"/>
    </font>
    <font>
      <sz val="12"/>
      <color rgb="FF171717"/>
      <name val="Arial"/>
      <family val="2"/>
    </font>
    <font>
      <b/>
      <sz val="11"/>
      <color rgb="FF3A3A3A"/>
      <name val="Arial"/>
      <family val="2"/>
    </font>
    <font>
      <sz val="11"/>
      <color rgb="FF605E5E"/>
      <name val="Arial"/>
      <family val="2"/>
    </font>
    <font>
      <sz val="12"/>
      <name val="Arial"/>
      <family val="2"/>
    </font>
    <font>
      <sz val="11"/>
      <color rgb="FF000000"/>
      <name val="Aptos Narrow"/>
      <family val="2"/>
      <scheme val="minor"/>
    </font>
    <font>
      <sz val="11"/>
      <color rgb="FF3A3A3A"/>
      <name val="Aptos Narrow"/>
      <family val="2"/>
      <scheme val="minor"/>
    </font>
    <font>
      <sz val="11"/>
      <color rgb="FF1F1F1F"/>
      <name val="Aptos Narrow"/>
      <family val="2"/>
      <scheme val="minor"/>
    </font>
    <font>
      <sz val="11"/>
      <name val="Arial"/>
      <family val="2"/>
    </font>
    <font>
      <sz val="11"/>
      <color theme="0"/>
      <name val="Aptos Narrow"/>
      <family val="2"/>
      <scheme val="minor"/>
    </font>
    <font>
      <sz val="9"/>
      <color rgb="FF000000"/>
      <name val="Aptos Narrow"/>
      <family val="2"/>
      <scheme val="minor"/>
    </font>
    <font>
      <b/>
      <sz val="14"/>
      <color theme="0"/>
      <name val="Aptos Narrow"/>
      <family val="2"/>
      <scheme val="minor"/>
    </font>
    <font>
      <b/>
      <sz val="10"/>
      <color theme="1"/>
      <name val="Aptos Narrow"/>
      <family val="2"/>
      <scheme val="minor"/>
    </font>
    <font>
      <sz val="10"/>
      <color theme="1"/>
      <name val="Aptos Narrow"/>
      <family val="2"/>
      <scheme val="minor"/>
    </font>
    <font>
      <b/>
      <sz val="12"/>
      <color rgb="FF000000"/>
      <name val="Aptos Narrow"/>
      <family val="2"/>
      <scheme val="minor"/>
    </font>
    <font>
      <sz val="12"/>
      <color rgb="FF000000"/>
      <name val="Aptos Narrow"/>
      <family val="2"/>
      <scheme val="minor"/>
    </font>
    <font>
      <b/>
      <sz val="9"/>
      <color theme="1"/>
      <name val="Aptos Narrow"/>
      <family val="2"/>
      <scheme val="minor"/>
    </font>
    <font>
      <b/>
      <sz val="16"/>
      <color theme="1"/>
      <name val="Aptos Narrow"/>
      <family val="2"/>
      <scheme val="minor"/>
    </font>
    <font>
      <sz val="9"/>
      <color theme="1"/>
      <name val="Aptos Narrow"/>
      <family val="2"/>
      <scheme val="minor"/>
    </font>
    <font>
      <b/>
      <sz val="12"/>
      <color theme="0"/>
      <name val="Aptos Narrow"/>
      <family val="2"/>
      <scheme val="minor"/>
    </font>
    <font>
      <sz val="10"/>
      <color theme="1"/>
      <name val="Tahoma"/>
      <family val="2"/>
    </font>
    <font>
      <sz val="11"/>
      <color rgb="FF000000"/>
      <name val="Gill Sans MT"/>
      <family val="2"/>
    </font>
    <font>
      <sz val="11"/>
      <color rgb="FF000000"/>
      <name val="Calibri"/>
      <family val="2"/>
    </font>
    <font>
      <sz val="8"/>
      <name val="Verdana"/>
      <family val="2"/>
    </font>
    <font>
      <sz val="10"/>
      <color rgb="FF222222"/>
      <name val="Arial"/>
      <family val="2"/>
    </font>
    <font>
      <u/>
      <sz val="11"/>
      <color theme="10"/>
      <name val="Aptos Narrow"/>
      <family val="2"/>
      <scheme val="minor"/>
    </font>
    <font>
      <u/>
      <sz val="10"/>
      <color indexed="12"/>
      <name val="Arial"/>
      <family val="2"/>
    </font>
    <font>
      <b/>
      <sz val="10"/>
      <color rgb="FF000000"/>
      <name val="Tahoma"/>
      <family val="2"/>
    </font>
    <font>
      <sz val="11"/>
      <name val="Calibri"/>
      <family val="2"/>
    </font>
    <font>
      <b/>
      <sz val="11"/>
      <color rgb="FFFFFFFF"/>
      <name val="Aptos Narrow"/>
      <family val="2"/>
    </font>
    <font>
      <sz val="11"/>
      <color rgb="FF000000"/>
      <name val="Aptos Narrow"/>
      <family val="2"/>
    </font>
    <font>
      <b/>
      <sz val="11"/>
      <color theme="0"/>
      <name val="Aptos Narrow"/>
      <family val="2"/>
    </font>
    <font>
      <sz val="11"/>
      <name val="Aptos"/>
      <family val="2"/>
    </font>
  </fonts>
  <fills count="25">
    <fill>
      <patternFill patternType="none"/>
    </fill>
    <fill>
      <patternFill patternType="gray125"/>
    </fill>
    <fill>
      <patternFill patternType="solid">
        <fgColor rgb="FF000000"/>
        <bgColor rgb="FF000000"/>
      </patternFill>
    </fill>
    <fill>
      <patternFill patternType="solid">
        <fgColor theme="7" tint="0.79998168889431442"/>
        <bgColor indexed="64"/>
      </patternFill>
    </fill>
    <fill>
      <patternFill patternType="solid">
        <fgColor rgb="FFFF8989"/>
        <bgColor indexed="64"/>
      </patternFill>
    </fill>
    <fill>
      <patternFill patternType="solid">
        <fgColor theme="0" tint="-0.14999847407452621"/>
        <bgColor theme="0" tint="-0.14999847407452621"/>
      </patternFill>
    </fill>
    <fill>
      <patternFill patternType="solid">
        <fgColor theme="4" tint="0.79998168889431442"/>
        <bgColor indexed="64"/>
      </patternFill>
    </fill>
    <fill>
      <patternFill patternType="solid">
        <fgColor theme="0" tint="-0.14999847407452621"/>
        <bgColor indexed="64"/>
      </patternFill>
    </fill>
    <fill>
      <patternFill patternType="solid">
        <fgColor theme="5" tint="0.79998168889431442"/>
        <bgColor indexed="64"/>
      </patternFill>
    </fill>
    <fill>
      <patternFill patternType="solid">
        <fgColor theme="4" tint="0.59999389629810485"/>
        <bgColor indexed="64"/>
      </patternFill>
    </fill>
    <fill>
      <patternFill patternType="solid">
        <fgColor theme="9" tint="0.79998168889431442"/>
        <bgColor indexed="64"/>
      </patternFill>
    </fill>
    <fill>
      <patternFill patternType="solid">
        <fgColor theme="3" tint="0.749992370372631"/>
        <bgColor indexed="64"/>
      </patternFill>
    </fill>
    <fill>
      <patternFill patternType="solid">
        <fgColor theme="4"/>
      </patternFill>
    </fill>
    <fill>
      <patternFill patternType="solid">
        <fgColor rgb="FFFFFFFF"/>
        <bgColor rgb="FF000000"/>
      </patternFill>
    </fill>
    <fill>
      <patternFill patternType="solid">
        <fgColor rgb="FFFF0000"/>
        <bgColor indexed="64"/>
      </patternFill>
    </fill>
    <fill>
      <patternFill patternType="solid">
        <fgColor theme="2" tint="-9.9978637043366805E-2"/>
        <bgColor indexed="64"/>
      </patternFill>
    </fill>
    <fill>
      <patternFill patternType="solid">
        <fgColor theme="9" tint="0.59999389629810485"/>
        <bgColor indexed="64"/>
      </patternFill>
    </fill>
    <fill>
      <patternFill patternType="solid">
        <fgColor theme="3" tint="0.499984740745262"/>
        <bgColor indexed="64"/>
      </patternFill>
    </fill>
    <fill>
      <patternFill patternType="solid">
        <fgColor theme="7" tint="0.59999389629810485"/>
        <bgColor indexed="64"/>
      </patternFill>
    </fill>
    <fill>
      <patternFill patternType="solid">
        <fgColor rgb="FFFFCCCC"/>
        <bgColor indexed="64"/>
      </patternFill>
    </fill>
    <fill>
      <patternFill patternType="solid">
        <fgColor theme="9" tint="0.39997558519241921"/>
        <bgColor indexed="64"/>
      </patternFill>
    </fill>
    <fill>
      <patternFill patternType="solid">
        <fgColor rgb="FFFFFFD1"/>
        <bgColor indexed="64"/>
      </patternFill>
    </fill>
    <fill>
      <patternFill patternType="solid">
        <fgColor rgb="FF00B0F0"/>
        <bgColor indexed="64"/>
      </patternFill>
    </fill>
    <fill>
      <patternFill patternType="solid">
        <fgColor theme="1"/>
        <bgColor indexed="64"/>
      </patternFill>
    </fill>
    <fill>
      <patternFill patternType="solid">
        <fgColor theme="8"/>
        <bgColor indexed="64"/>
      </patternFill>
    </fill>
  </fills>
  <borders count="25">
    <border>
      <left/>
      <right/>
      <top/>
      <bottom/>
      <diagonal/>
    </border>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hair">
        <color auto="1"/>
      </bottom>
      <diagonal/>
    </border>
    <border>
      <left style="thin">
        <color auto="1"/>
      </left>
      <right style="thin">
        <color auto="1"/>
      </right>
      <top style="hair">
        <color auto="1"/>
      </top>
      <bottom style="hair">
        <color auto="1"/>
      </bottom>
      <diagonal/>
    </border>
    <border>
      <left style="thin">
        <color auto="1"/>
      </left>
      <right style="thin">
        <color auto="1"/>
      </right>
      <top style="thin">
        <color auto="1"/>
      </top>
      <bottom style="hair">
        <color auto="1"/>
      </bottom>
      <diagonal/>
    </border>
    <border>
      <left style="thin">
        <color auto="1"/>
      </left>
      <right style="thin">
        <color auto="1"/>
      </right>
      <top style="hair">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hair">
        <color auto="1"/>
      </right>
      <top/>
      <bottom style="hair">
        <color auto="1"/>
      </bottom>
      <diagonal/>
    </border>
    <border>
      <left style="hair">
        <color auto="1"/>
      </left>
      <right style="hair">
        <color auto="1"/>
      </right>
      <top/>
      <bottom style="hair">
        <color auto="1"/>
      </bottom>
      <diagonal/>
    </border>
    <border>
      <left style="thin">
        <color auto="1"/>
      </left>
      <right style="hair">
        <color auto="1"/>
      </right>
      <top style="hair">
        <color auto="1"/>
      </top>
      <bottom style="hair">
        <color auto="1"/>
      </bottom>
      <diagonal/>
    </border>
    <border>
      <left style="hair">
        <color auto="1"/>
      </left>
      <right style="hair">
        <color auto="1"/>
      </right>
      <top style="hair">
        <color auto="1"/>
      </top>
      <bottom style="hair">
        <color auto="1"/>
      </bottom>
      <diagonal/>
    </border>
    <border>
      <left style="thin">
        <color auto="1"/>
      </left>
      <right style="hair">
        <color auto="1"/>
      </right>
      <top style="hair">
        <color auto="1"/>
      </top>
      <bottom/>
      <diagonal/>
    </border>
    <border>
      <left/>
      <right style="hair">
        <color auto="1"/>
      </right>
      <top style="hair">
        <color auto="1"/>
      </top>
      <bottom style="hair">
        <color auto="1"/>
      </bottom>
      <diagonal/>
    </border>
    <border>
      <left style="thin">
        <color auto="1"/>
      </left>
      <right style="thin">
        <color auto="1"/>
      </right>
      <top/>
      <bottom/>
      <diagonal/>
    </border>
    <border>
      <left/>
      <right style="hair">
        <color auto="1"/>
      </right>
      <top style="hair">
        <color auto="1"/>
      </top>
      <bottom style="thin">
        <color auto="1"/>
      </bottom>
      <diagonal/>
    </border>
    <border>
      <left style="hair">
        <color auto="1"/>
      </left>
      <right style="hair">
        <color auto="1"/>
      </right>
      <top style="hair">
        <color auto="1"/>
      </top>
      <bottom style="thin">
        <color auto="1"/>
      </bottom>
      <diagonal/>
    </border>
    <border>
      <left style="thin">
        <color auto="1"/>
      </left>
      <right/>
      <top/>
      <bottom/>
      <diagonal/>
    </border>
    <border>
      <left style="thin">
        <color auto="1"/>
      </left>
      <right/>
      <top/>
      <bottom style="thin">
        <color auto="1"/>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top/>
      <bottom style="thin">
        <color auto="1"/>
      </bottom>
      <diagonal/>
    </border>
    <border>
      <left style="medium">
        <color indexed="64"/>
      </left>
      <right style="medium">
        <color indexed="64"/>
      </right>
      <top/>
      <bottom/>
      <diagonal/>
    </border>
    <border>
      <left/>
      <right/>
      <top style="thin">
        <color rgb="FF000000"/>
      </top>
      <bottom/>
      <diagonal/>
    </border>
  </borders>
  <cellStyleXfs count="10">
    <xf numFmtId="0" fontId="0" fillId="0" borderId="0"/>
    <xf numFmtId="0" fontId="5" fillId="0" borderId="0" applyNumberFormat="0" applyFill="0" applyBorder="0" applyAlignment="0" applyProtection="0"/>
    <xf numFmtId="0" fontId="3" fillId="0" borderId="1"/>
    <xf numFmtId="0" fontId="2" fillId="0" borderId="1"/>
    <xf numFmtId="43" fontId="2" fillId="0" borderId="1" applyFont="0" applyFill="0" applyBorder="0" applyAlignment="0" applyProtection="0"/>
    <xf numFmtId="9" fontId="2" fillId="0" borderId="1" applyFont="0" applyFill="0" applyBorder="0" applyAlignment="0" applyProtection="0"/>
    <xf numFmtId="0" fontId="30" fillId="12" borderId="1" applyNumberFormat="0" applyBorder="0" applyAlignment="0" applyProtection="0"/>
    <xf numFmtId="0" fontId="1" fillId="0" borderId="1"/>
    <xf numFmtId="0" fontId="46" fillId="0" borderId="1" applyNumberFormat="0" applyFill="0" applyBorder="0" applyAlignment="0" applyProtection="0"/>
    <xf numFmtId="0" fontId="47" fillId="0" borderId="1" applyNumberFormat="0" applyFill="0" applyBorder="0" applyAlignment="0" applyProtection="0">
      <alignment vertical="top"/>
      <protection locked="0"/>
    </xf>
  </cellStyleXfs>
  <cellXfs count="233">
    <xf numFmtId="0" fontId="0" fillId="0" borderId="0" xfId="0"/>
    <xf numFmtId="0" fontId="4" fillId="0" borderId="0" xfId="0" applyFont="1" applyAlignment="1">
      <alignment vertical="center" wrapText="1"/>
    </xf>
    <xf numFmtId="0" fontId="4" fillId="0" borderId="0" xfId="0" applyFont="1" applyAlignment="1">
      <alignment horizontal="left" vertical="center" wrapText="1"/>
    </xf>
    <xf numFmtId="0" fontId="0" fillId="0" borderId="0" xfId="0" applyAlignment="1">
      <alignment horizontal="left" vertical="center"/>
    </xf>
    <xf numFmtId="0" fontId="0" fillId="0" borderId="0" xfId="0" applyAlignment="1">
      <alignment horizontal="left" vertical="center" wrapText="1"/>
    </xf>
    <xf numFmtId="0" fontId="0" fillId="0" borderId="1" xfId="0" applyBorder="1" applyAlignment="1">
      <alignment horizontal="left" vertical="center" wrapText="1"/>
    </xf>
    <xf numFmtId="0" fontId="0" fillId="0" borderId="1" xfId="0" applyBorder="1" applyAlignment="1">
      <alignment horizontal="left" vertical="center"/>
    </xf>
    <xf numFmtId="0" fontId="12" fillId="9" borderId="1" xfId="0" applyFont="1" applyFill="1" applyBorder="1" applyAlignment="1">
      <alignment horizontal="left" vertical="center"/>
    </xf>
    <xf numFmtId="0" fontId="12" fillId="9" borderId="1" xfId="0" applyFont="1" applyFill="1" applyBorder="1" applyAlignment="1">
      <alignment horizontal="left" vertical="center" wrapText="1"/>
    </xf>
    <xf numFmtId="0" fontId="12" fillId="6" borderId="1" xfId="0" applyFont="1" applyFill="1" applyBorder="1" applyAlignment="1">
      <alignment horizontal="left" vertical="center"/>
    </xf>
    <xf numFmtId="0" fontId="0" fillId="8" borderId="1" xfId="0" applyFill="1" applyBorder="1" applyAlignment="1">
      <alignment horizontal="left" vertical="center"/>
    </xf>
    <xf numFmtId="0" fontId="0" fillId="8" borderId="1" xfId="0" applyFill="1" applyBorder="1" applyAlignment="1">
      <alignment horizontal="left" vertical="center" wrapText="1"/>
    </xf>
    <xf numFmtId="0" fontId="13" fillId="8" borderId="1" xfId="0" applyFont="1" applyFill="1" applyBorder="1" applyAlignment="1">
      <alignment horizontal="left" vertical="center"/>
    </xf>
    <xf numFmtId="0" fontId="13" fillId="0" borderId="1" xfId="0" applyFont="1" applyBorder="1" applyAlignment="1">
      <alignment horizontal="left" vertical="center"/>
    </xf>
    <xf numFmtId="0" fontId="14" fillId="8" borderId="1" xfId="0" applyFont="1" applyFill="1" applyBorder="1" applyAlignment="1">
      <alignment horizontal="left" vertical="center"/>
    </xf>
    <xf numFmtId="0" fontId="14" fillId="0" borderId="1" xfId="0" applyFont="1" applyBorder="1" applyAlignment="1">
      <alignment horizontal="left" vertical="center"/>
    </xf>
    <xf numFmtId="0" fontId="15" fillId="0" borderId="1" xfId="0" applyFont="1" applyBorder="1" applyAlignment="1">
      <alignment horizontal="left" vertical="center"/>
    </xf>
    <xf numFmtId="0" fontId="12" fillId="10" borderId="1" xfId="0" applyFont="1" applyFill="1" applyBorder="1" applyAlignment="1">
      <alignment horizontal="left" vertical="center"/>
    </xf>
    <xf numFmtId="0" fontId="5" fillId="0" borderId="0" xfId="1" applyAlignment="1">
      <alignment vertical="center" wrapText="1"/>
    </xf>
    <xf numFmtId="0" fontId="16" fillId="0" borderId="0" xfId="0" applyFont="1"/>
    <xf numFmtId="0" fontId="5" fillId="0" borderId="0" xfId="1"/>
    <xf numFmtId="0" fontId="17" fillId="0" borderId="0" xfId="0" applyFont="1" applyAlignment="1">
      <alignment wrapText="1"/>
    </xf>
    <xf numFmtId="0" fontId="5" fillId="0" borderId="1" xfId="1" applyFill="1" applyBorder="1" applyAlignment="1">
      <alignment horizontal="left" vertical="center" wrapText="1"/>
    </xf>
    <xf numFmtId="0" fontId="17" fillId="0" borderId="0" xfId="0" applyFont="1"/>
    <xf numFmtId="0" fontId="18" fillId="0" borderId="0" xfId="0" applyFont="1"/>
    <xf numFmtId="0" fontId="19" fillId="0" borderId="0" xfId="0" applyFont="1" applyAlignment="1">
      <alignment horizontal="left" vertical="center"/>
    </xf>
    <xf numFmtId="0" fontId="20" fillId="0" borderId="0" xfId="0" applyFont="1"/>
    <xf numFmtId="0" fontId="12" fillId="0" borderId="1" xfId="0" applyFont="1" applyBorder="1" applyAlignment="1">
      <alignment horizontal="left" vertical="center" wrapText="1"/>
    </xf>
    <xf numFmtId="0" fontId="19" fillId="6" borderId="1" xfId="0" applyFont="1" applyFill="1" applyBorder="1" applyAlignment="1">
      <alignment horizontal="left" vertical="center"/>
    </xf>
    <xf numFmtId="0" fontId="19" fillId="0" borderId="1" xfId="0" applyFont="1" applyBorder="1" applyAlignment="1">
      <alignment horizontal="left" vertical="center"/>
    </xf>
    <xf numFmtId="0" fontId="16" fillId="0" borderId="0" xfId="0" applyFont="1" applyAlignment="1">
      <alignment horizontal="left" vertical="center" wrapText="1"/>
    </xf>
    <xf numFmtId="0" fontId="16" fillId="0" borderId="0" xfId="0" applyFont="1" applyAlignment="1">
      <alignment horizontal="left" vertical="center"/>
    </xf>
    <xf numFmtId="0" fontId="22" fillId="0" borderId="0" xfId="0" applyFont="1" applyAlignment="1">
      <alignment horizontal="left" vertical="center"/>
    </xf>
    <xf numFmtId="0" fontId="22" fillId="0" borderId="0" xfId="0" applyFont="1" applyAlignment="1">
      <alignment horizontal="left" vertical="center" wrapText="1"/>
    </xf>
    <xf numFmtId="0" fontId="0" fillId="10" borderId="1" xfId="0" applyFill="1" applyBorder="1" applyAlignment="1">
      <alignment horizontal="left" vertical="center"/>
    </xf>
    <xf numFmtId="0" fontId="23" fillId="0" borderId="0" xfId="0" applyFont="1"/>
    <xf numFmtId="0" fontId="0" fillId="6" borderId="1" xfId="0" applyFill="1" applyBorder="1" applyAlignment="1">
      <alignment horizontal="left" vertical="center"/>
    </xf>
    <xf numFmtId="0" fontId="9" fillId="0" borderId="1" xfId="0" applyFont="1" applyBorder="1"/>
    <xf numFmtId="0" fontId="5" fillId="0" borderId="1" xfId="1" applyBorder="1" applyAlignment="1">
      <alignment horizontal="center" vertical="center" wrapText="1"/>
    </xf>
    <xf numFmtId="0" fontId="0" fillId="6" borderId="0" xfId="0" applyFill="1" applyAlignment="1">
      <alignment horizontal="left" vertical="center"/>
    </xf>
    <xf numFmtId="0" fontId="24" fillId="0" borderId="0" xfId="0" applyFont="1"/>
    <xf numFmtId="0" fontId="25" fillId="0" borderId="0" xfId="0" applyFont="1" applyAlignment="1">
      <alignment vertical="center" wrapText="1"/>
    </xf>
    <xf numFmtId="0" fontId="7" fillId="2" borderId="0" xfId="0" applyFont="1" applyFill="1" applyAlignment="1">
      <alignment horizontal="left" vertical="center" wrapText="1"/>
    </xf>
    <xf numFmtId="0" fontId="11" fillId="0" borderId="0" xfId="0" applyFont="1" applyAlignment="1">
      <alignment horizontal="left" vertical="center" wrapText="1"/>
    </xf>
    <xf numFmtId="0" fontId="27" fillId="0" borderId="0" xfId="0" applyFont="1" applyAlignment="1">
      <alignment horizontal="left" vertical="center" wrapText="1"/>
    </xf>
    <xf numFmtId="0" fontId="26" fillId="0" borderId="0" xfId="0" applyFont="1" applyAlignment="1">
      <alignment horizontal="left" vertical="center" wrapText="1"/>
    </xf>
    <xf numFmtId="0" fontId="2" fillId="0" borderId="1" xfId="3"/>
    <xf numFmtId="0" fontId="33" fillId="0" borderId="5" xfId="3" applyFont="1" applyBorder="1" applyAlignment="1">
      <alignment horizontal="left" vertical="center"/>
    </xf>
    <xf numFmtId="0" fontId="33" fillId="0" borderId="5" xfId="3" applyFont="1" applyBorder="1" applyAlignment="1">
      <alignment horizontal="center" vertical="center"/>
    </xf>
    <xf numFmtId="0" fontId="34" fillId="0" borderId="6" xfId="3" applyFont="1" applyBorder="1" applyAlignment="1">
      <alignment horizontal="left" vertical="center"/>
    </xf>
    <xf numFmtId="164" fontId="34" fillId="0" borderId="6" xfId="5" applyNumberFormat="1" applyFont="1" applyBorder="1" applyAlignment="1">
      <alignment horizontal="center" vertical="center"/>
    </xf>
    <xf numFmtId="0" fontId="39" fillId="0" borderId="2" xfId="3" applyFont="1" applyBorder="1" applyAlignment="1">
      <alignment horizontal="center" vertical="center"/>
    </xf>
    <xf numFmtId="0" fontId="39" fillId="0" borderId="2" xfId="3" applyFont="1" applyBorder="1" applyAlignment="1">
      <alignment horizontal="center" vertical="center" wrapText="1"/>
    </xf>
    <xf numFmtId="0" fontId="39" fillId="0" borderId="10" xfId="3" applyFont="1" applyBorder="1"/>
    <xf numFmtId="166" fontId="39" fillId="0" borderId="10" xfId="4" applyNumberFormat="1" applyFont="1" applyBorder="1" applyAlignment="1">
      <alignment horizontal="center" vertical="center"/>
    </xf>
    <xf numFmtId="164" fontId="39" fillId="0" borderId="10" xfId="5" applyNumberFormat="1" applyFont="1" applyBorder="1" applyAlignment="1">
      <alignment horizontal="center" vertical="center"/>
    </xf>
    <xf numFmtId="1" fontId="39" fillId="0" borderId="10" xfId="5" applyNumberFormat="1" applyFont="1" applyBorder="1" applyAlignment="1">
      <alignment horizontal="center" vertical="center"/>
    </xf>
    <xf numFmtId="0" fontId="39" fillId="0" borderId="12" xfId="3" applyFont="1" applyBorder="1"/>
    <xf numFmtId="0" fontId="39" fillId="0" borderId="14" xfId="3" applyFont="1" applyBorder="1"/>
    <xf numFmtId="0" fontId="39" fillId="0" borderId="16" xfId="3" applyFont="1" applyBorder="1"/>
    <xf numFmtId="166" fontId="39" fillId="0" borderId="12" xfId="4" applyNumberFormat="1" applyFont="1" applyBorder="1" applyAlignment="1">
      <alignment horizontal="center" vertical="center"/>
    </xf>
    <xf numFmtId="164" fontId="39" fillId="0" borderId="12" xfId="5" applyNumberFormat="1" applyFont="1" applyBorder="1" applyAlignment="1">
      <alignment horizontal="center" vertical="center"/>
    </xf>
    <xf numFmtId="1" fontId="39" fillId="0" borderId="12" xfId="5" applyNumberFormat="1" applyFont="1" applyBorder="1" applyAlignment="1">
      <alignment horizontal="center" vertical="center"/>
    </xf>
    <xf numFmtId="166" fontId="39" fillId="0" borderId="17" xfId="4" applyNumberFormat="1" applyFont="1" applyBorder="1" applyAlignment="1">
      <alignment horizontal="center" vertical="center"/>
    </xf>
    <xf numFmtId="164" fontId="39" fillId="0" borderId="17" xfId="5" applyNumberFormat="1" applyFont="1" applyBorder="1" applyAlignment="1">
      <alignment horizontal="center" vertical="center"/>
    </xf>
    <xf numFmtId="1" fontId="39" fillId="0" borderId="17" xfId="5" applyNumberFormat="1" applyFont="1" applyBorder="1" applyAlignment="1">
      <alignment horizontal="center" vertical="center"/>
    </xf>
    <xf numFmtId="164" fontId="33" fillId="14" borderId="6" xfId="5" applyNumberFormat="1" applyFont="1" applyFill="1" applyBorder="1" applyAlignment="1">
      <alignment horizontal="center" vertical="center"/>
    </xf>
    <xf numFmtId="0" fontId="39" fillId="15" borderId="12" xfId="3" applyFont="1" applyFill="1" applyBorder="1"/>
    <xf numFmtId="0" fontId="6" fillId="4" borderId="20" xfId="0" applyFont="1" applyFill="1" applyBorder="1" applyAlignment="1">
      <alignment horizontal="center"/>
    </xf>
    <xf numFmtId="0" fontId="6" fillId="10" borderId="21" xfId="0" applyFont="1" applyFill="1" applyBorder="1" applyAlignment="1">
      <alignment horizontal="center"/>
    </xf>
    <xf numFmtId="164" fontId="34" fillId="14" borderId="4" xfId="5" applyNumberFormat="1" applyFont="1" applyFill="1" applyBorder="1" applyAlignment="1">
      <alignment horizontal="center" vertical="center"/>
    </xf>
    <xf numFmtId="164" fontId="34" fillId="14" borderId="6" xfId="5" applyNumberFormat="1" applyFont="1" applyFill="1" applyBorder="1" applyAlignment="1">
      <alignment horizontal="center" vertical="center"/>
    </xf>
    <xf numFmtId="164" fontId="34" fillId="16" borderId="4" xfId="5" applyNumberFormat="1" applyFont="1" applyFill="1" applyBorder="1" applyAlignment="1">
      <alignment horizontal="center" vertical="center"/>
    </xf>
    <xf numFmtId="0" fontId="2" fillId="0" borderId="1" xfId="3"/>
    <xf numFmtId="0" fontId="31" fillId="13" borderId="1" xfId="3" applyFont="1" applyFill="1" applyAlignment="1">
      <alignment horizontal="left" vertical="center"/>
    </xf>
    <xf numFmtId="0" fontId="31" fillId="13" borderId="1" xfId="3" applyFont="1" applyFill="1" applyAlignment="1">
      <alignment horizontal="center" vertical="center"/>
    </xf>
    <xf numFmtId="0" fontId="33" fillId="0" borderId="2" xfId="3" applyFont="1" applyBorder="1" applyAlignment="1">
      <alignment horizontal="left" vertical="center"/>
    </xf>
    <xf numFmtId="0" fontId="33" fillId="0" borderId="2" xfId="3" applyFont="1" applyBorder="1" applyAlignment="1">
      <alignment horizontal="center" vertical="center"/>
    </xf>
    <xf numFmtId="0" fontId="33" fillId="0" borderId="3" xfId="3" applyFont="1" applyBorder="1" applyAlignment="1">
      <alignment horizontal="left" vertical="center"/>
    </xf>
    <xf numFmtId="164" fontId="34" fillId="0" borderId="3" xfId="5" applyNumberFormat="1" applyFont="1" applyBorder="1" applyAlignment="1">
      <alignment horizontal="center" vertical="center"/>
    </xf>
    <xf numFmtId="0" fontId="34" fillId="0" borderId="4" xfId="3" applyFont="1" applyBorder="1" applyAlignment="1">
      <alignment horizontal="left" vertical="center"/>
    </xf>
    <xf numFmtId="0" fontId="35" fillId="13" borderId="1" xfId="3" applyFont="1" applyFill="1" applyAlignment="1">
      <alignment horizontal="left" vertical="top"/>
    </xf>
    <xf numFmtId="0" fontId="36" fillId="13" borderId="1" xfId="3" applyFont="1" applyFill="1"/>
    <xf numFmtId="0" fontId="33" fillId="0" borderId="5" xfId="3" applyFont="1" applyBorder="1" applyAlignment="1">
      <alignment horizontal="left" vertical="center"/>
    </xf>
    <xf numFmtId="0" fontId="33" fillId="0" borderId="5" xfId="3" applyFont="1" applyBorder="1" applyAlignment="1">
      <alignment horizontal="center" vertical="center"/>
    </xf>
    <xf numFmtId="0" fontId="34" fillId="0" borderId="6" xfId="3" applyFont="1" applyBorder="1" applyAlignment="1">
      <alignment horizontal="left" vertical="center"/>
    </xf>
    <xf numFmtId="164" fontId="34" fillId="0" borderId="6" xfId="5" applyNumberFormat="1" applyFont="1" applyBorder="1" applyAlignment="1">
      <alignment horizontal="center" vertical="center"/>
    </xf>
    <xf numFmtId="164" fontId="33" fillId="0" borderId="6" xfId="5" applyNumberFormat="1" applyFont="1" applyBorder="1" applyAlignment="1">
      <alignment horizontal="center" vertical="center"/>
    </xf>
    <xf numFmtId="0" fontId="39" fillId="0" borderId="2" xfId="3" applyFont="1" applyBorder="1" applyAlignment="1">
      <alignment horizontal="center" vertical="center"/>
    </xf>
    <xf numFmtId="0" fontId="39" fillId="0" borderId="2" xfId="3" applyFont="1" applyBorder="1" applyAlignment="1">
      <alignment horizontal="center" vertical="center" wrapText="1"/>
    </xf>
    <xf numFmtId="0" fontId="39" fillId="0" borderId="10" xfId="3" applyFont="1" applyBorder="1"/>
    <xf numFmtId="166" fontId="39" fillId="0" borderId="10" xfId="4" applyNumberFormat="1" applyFont="1" applyBorder="1" applyAlignment="1">
      <alignment horizontal="center" vertical="center"/>
    </xf>
    <xf numFmtId="164" fontId="39" fillId="0" borderId="10" xfId="5" applyNumberFormat="1" applyFont="1" applyBorder="1" applyAlignment="1">
      <alignment horizontal="center" vertical="center"/>
    </xf>
    <xf numFmtId="1" fontId="39" fillId="0" borderId="10" xfId="5" applyNumberFormat="1" applyFont="1" applyBorder="1" applyAlignment="1">
      <alignment horizontal="center" vertical="center"/>
    </xf>
    <xf numFmtId="0" fontId="39" fillId="0" borderId="12" xfId="3" applyFont="1" applyBorder="1"/>
    <xf numFmtId="0" fontId="39" fillId="0" borderId="14" xfId="3" applyFont="1" applyBorder="1"/>
    <xf numFmtId="0" fontId="39" fillId="0" borderId="16" xfId="3" applyFont="1" applyBorder="1"/>
    <xf numFmtId="0" fontId="2" fillId="0" borderId="18" xfId="3" applyBorder="1" applyAlignment="1">
      <alignment horizontal="left"/>
    </xf>
    <xf numFmtId="0" fontId="2" fillId="0" borderId="19" xfId="3" applyBorder="1" applyAlignment="1">
      <alignment horizontal="left"/>
    </xf>
    <xf numFmtId="164" fontId="33" fillId="14" borderId="3" xfId="5" applyNumberFormat="1" applyFont="1" applyFill="1" applyBorder="1" applyAlignment="1">
      <alignment horizontal="center" vertical="center"/>
    </xf>
    <xf numFmtId="0" fontId="39" fillId="0" borderId="1" xfId="3" applyFont="1" applyBorder="1" applyAlignment="1">
      <alignment horizontal="center" vertical="center"/>
    </xf>
    <xf numFmtId="0" fontId="39" fillId="0" borderId="1" xfId="3" applyFont="1" applyBorder="1" applyAlignment="1">
      <alignment horizontal="center" vertical="center" wrapText="1"/>
    </xf>
    <xf numFmtId="1" fontId="39" fillId="0" borderId="1" xfId="5" applyNumberFormat="1" applyFont="1" applyBorder="1" applyAlignment="1">
      <alignment horizontal="center" vertical="center"/>
    </xf>
    <xf numFmtId="0" fontId="39" fillId="7" borderId="12" xfId="3" applyFont="1" applyFill="1" applyBorder="1"/>
    <xf numFmtId="0" fontId="32" fillId="17" borderId="20" xfId="6" applyFont="1" applyFill="1" applyBorder="1" applyAlignment="1">
      <alignment horizontal="center" vertical="center" wrapText="1"/>
    </xf>
    <xf numFmtId="0" fontId="32" fillId="4" borderId="20" xfId="3" applyFont="1" applyFill="1" applyBorder="1" applyAlignment="1">
      <alignment horizontal="center" vertical="center"/>
    </xf>
    <xf numFmtId="0" fontId="32" fillId="18" borderId="20" xfId="3" applyFont="1" applyFill="1" applyBorder="1" applyAlignment="1">
      <alignment horizontal="center" vertical="center"/>
    </xf>
    <xf numFmtId="1" fontId="0" fillId="0" borderId="0" xfId="0" applyNumberFormat="1"/>
    <xf numFmtId="3" fontId="0" fillId="0" borderId="0" xfId="0" applyNumberFormat="1"/>
    <xf numFmtId="0" fontId="39" fillId="0" borderId="21" xfId="3" applyFont="1" applyBorder="1" applyAlignment="1">
      <alignment horizontal="center" vertical="center"/>
    </xf>
    <xf numFmtId="0" fontId="2" fillId="0" borderId="23" xfId="3" applyBorder="1" applyAlignment="1">
      <alignment horizontal="center"/>
    </xf>
    <xf numFmtId="0" fontId="12" fillId="11" borderId="23" xfId="3" quotePrefix="1" applyFont="1" applyFill="1" applyBorder="1" applyAlignment="1">
      <alignment horizontal="center" vertical="center"/>
    </xf>
    <xf numFmtId="0" fontId="12" fillId="19" borderId="23" xfId="3" quotePrefix="1" applyFont="1" applyFill="1" applyBorder="1" applyAlignment="1">
      <alignment horizontal="center" vertical="center"/>
    </xf>
    <xf numFmtId="0" fontId="12" fillId="3" borderId="23" xfId="3" quotePrefix="1" applyFont="1" applyFill="1" applyBorder="1" applyAlignment="1">
      <alignment horizontal="center" vertical="center"/>
    </xf>
    <xf numFmtId="165" fontId="39" fillId="0" borderId="1" xfId="5" applyNumberFormat="1" applyFont="1" applyBorder="1" applyAlignment="1">
      <alignment horizontal="center" vertical="center"/>
    </xf>
    <xf numFmtId="1" fontId="37" fillId="10" borderId="23" xfId="5" quotePrefix="1" applyNumberFormat="1" applyFont="1" applyFill="1" applyBorder="1" applyAlignment="1">
      <alignment horizontal="center" vertical="center"/>
    </xf>
    <xf numFmtId="1" fontId="32" fillId="20" borderId="20" xfId="5" applyNumberFormat="1" applyFont="1" applyFill="1" applyBorder="1" applyAlignment="1">
      <alignment horizontal="center" vertical="center"/>
    </xf>
    <xf numFmtId="0" fontId="41" fillId="0" borderId="1" xfId="0" applyFont="1" applyFill="1" applyBorder="1" applyAlignment="1">
      <alignment horizontal="left"/>
    </xf>
    <xf numFmtId="0" fontId="41" fillId="0" borderId="1" xfId="0" applyFont="1" applyBorder="1" applyAlignment="1">
      <alignment horizontal="left"/>
    </xf>
    <xf numFmtId="0" fontId="4" fillId="0" borderId="0" xfId="0" applyFont="1" applyFill="1" applyAlignment="1">
      <alignment horizontal="left" vertical="center" wrapText="1"/>
    </xf>
    <xf numFmtId="0" fontId="28" fillId="0" borderId="0" xfId="0" applyFont="1" applyAlignment="1">
      <alignment horizontal="left" vertical="center" wrapText="1"/>
    </xf>
    <xf numFmtId="0" fontId="29" fillId="0" borderId="0" xfId="0" applyFont="1" applyAlignment="1">
      <alignment vertical="center" wrapText="1"/>
    </xf>
    <xf numFmtId="0" fontId="4" fillId="0" borderId="0" xfId="0" applyFont="1" applyFill="1" applyAlignment="1">
      <alignment vertical="center" wrapText="1"/>
    </xf>
    <xf numFmtId="0" fontId="4" fillId="0" borderId="1" xfId="0" applyFont="1" applyFill="1" applyBorder="1"/>
    <xf numFmtId="0" fontId="42" fillId="0" borderId="1" xfId="0" applyFont="1" applyFill="1" applyBorder="1" applyAlignment="1">
      <alignment horizontal="left" vertical="center" wrapText="1"/>
    </xf>
    <xf numFmtId="0" fontId="43" fillId="0" borderId="1" xfId="0" applyFont="1" applyBorder="1" applyAlignment="1">
      <alignment horizontal="center" vertical="center"/>
    </xf>
    <xf numFmtId="0" fontId="44" fillId="0" borderId="1" xfId="0" applyFont="1" applyBorder="1" applyAlignment="1">
      <alignment horizontal="left" vertical="top" wrapText="1" readingOrder="1"/>
    </xf>
    <xf numFmtId="0" fontId="44" fillId="0" borderId="1" xfId="0" applyFont="1" applyFill="1" applyBorder="1" applyAlignment="1">
      <alignment horizontal="left" vertical="top" wrapText="1" readingOrder="1"/>
    </xf>
    <xf numFmtId="0" fontId="45" fillId="0" borderId="1" xfId="0" applyFont="1" applyBorder="1" applyAlignment="1">
      <alignment horizontal="left" vertical="top"/>
    </xf>
    <xf numFmtId="0" fontId="0" fillId="0" borderId="1" xfId="0" applyBorder="1" applyAlignment="1">
      <alignment horizontal="left"/>
    </xf>
    <xf numFmtId="0" fontId="4" fillId="0" borderId="1" xfId="0" applyFont="1" applyFill="1" applyBorder="1" applyAlignment="1">
      <alignment horizontal="left"/>
    </xf>
    <xf numFmtId="0" fontId="42" fillId="0" borderId="1" xfId="0" applyFont="1" applyFill="1" applyBorder="1" applyAlignment="1">
      <alignment horizontal="left"/>
    </xf>
    <xf numFmtId="0" fontId="42" fillId="8" borderId="1" xfId="0" applyFont="1" applyFill="1" applyBorder="1" applyAlignment="1">
      <alignment horizontal="left"/>
    </xf>
    <xf numFmtId="0" fontId="0" fillId="0" borderId="1" xfId="0" applyFill="1" applyBorder="1" applyAlignment="1">
      <alignment horizontal="left"/>
    </xf>
    <xf numFmtId="0" fontId="43" fillId="0" borderId="1" xfId="0" applyFont="1" applyBorder="1" applyAlignment="1">
      <alignment horizontal="left" vertical="center"/>
    </xf>
    <xf numFmtId="0" fontId="4" fillId="0" borderId="1" xfId="0" applyFont="1" applyBorder="1" applyAlignment="1">
      <alignment horizontal="left"/>
    </xf>
    <xf numFmtId="0" fontId="43" fillId="0" borderId="1" xfId="0" applyFont="1" applyBorder="1" applyAlignment="1">
      <alignment horizontal="left"/>
    </xf>
    <xf numFmtId="0" fontId="1" fillId="0" borderId="1" xfId="7" applyAlignment="1">
      <alignment horizontal="center"/>
    </xf>
    <xf numFmtId="0" fontId="48" fillId="0" borderId="1" xfId="0" applyFont="1" applyBorder="1" applyAlignment="1">
      <alignment horizontal="center" vertical="center"/>
    </xf>
    <xf numFmtId="0" fontId="49" fillId="0" borderId="1" xfId="0" applyFont="1" applyBorder="1" applyAlignment="1">
      <alignment horizontal="center" vertical="center"/>
    </xf>
    <xf numFmtId="0" fontId="5" fillId="0" borderId="1" xfId="1" applyBorder="1" applyAlignment="1">
      <alignment horizontal="center" vertical="center"/>
    </xf>
    <xf numFmtId="0" fontId="43" fillId="21" borderId="1" xfId="0" applyFont="1" applyFill="1" applyBorder="1" applyAlignment="1">
      <alignment horizontal="left" vertical="center"/>
    </xf>
    <xf numFmtId="0" fontId="0" fillId="21" borderId="1" xfId="0" applyFill="1" applyBorder="1" applyAlignment="1">
      <alignment horizontal="left"/>
    </xf>
    <xf numFmtId="0" fontId="1" fillId="21" borderId="1" xfId="7" applyFill="1" applyAlignment="1">
      <alignment horizontal="center"/>
    </xf>
    <xf numFmtId="0" fontId="0" fillId="0" borderId="1" xfId="0" applyBorder="1" applyAlignment="1">
      <alignment horizontal="left" wrapText="1"/>
    </xf>
    <xf numFmtId="0" fontId="43" fillId="0" borderId="1" xfId="0" applyFont="1" applyBorder="1" applyAlignment="1">
      <alignment horizontal="left" vertical="center" wrapText="1"/>
    </xf>
    <xf numFmtId="0" fontId="43" fillId="21" borderId="1" xfId="0" applyFont="1" applyFill="1" applyBorder="1" applyAlignment="1">
      <alignment horizontal="left" vertical="center" wrapText="1"/>
    </xf>
    <xf numFmtId="0" fontId="4" fillId="0" borderId="1" xfId="0" applyFont="1" applyBorder="1" applyAlignment="1">
      <alignment horizontal="left" wrapText="1"/>
    </xf>
    <xf numFmtId="0" fontId="4" fillId="3" borderId="1" xfId="0" applyFont="1" applyFill="1" applyBorder="1" applyAlignment="1">
      <alignment horizontal="left" vertical="center" wrapText="1"/>
    </xf>
    <xf numFmtId="0" fontId="42" fillId="8" borderId="1" xfId="0" applyFont="1" applyFill="1" applyBorder="1" applyAlignment="1">
      <alignment horizontal="left" vertical="center" wrapText="1"/>
    </xf>
    <xf numFmtId="0" fontId="45" fillId="0" borderId="1" xfId="0" applyFont="1" applyBorder="1" applyAlignment="1">
      <alignment horizontal="left" vertical="center" wrapText="1"/>
    </xf>
    <xf numFmtId="0" fontId="1" fillId="0" borderId="1" xfId="7" applyAlignment="1">
      <alignment horizontal="left" vertical="center" wrapText="1"/>
    </xf>
    <xf numFmtId="0" fontId="1" fillId="21" borderId="1" xfId="7" applyFill="1" applyAlignment="1">
      <alignment horizontal="left" vertical="center" wrapText="1"/>
    </xf>
    <xf numFmtId="0" fontId="0" fillId="21" borderId="1" xfId="0" applyFill="1" applyBorder="1" applyAlignment="1">
      <alignment horizontal="left" vertical="center" wrapText="1"/>
    </xf>
    <xf numFmtId="0" fontId="4" fillId="0" borderId="1" xfId="0" applyFont="1" applyBorder="1" applyAlignment="1">
      <alignment horizontal="left" vertical="center" wrapText="1"/>
    </xf>
    <xf numFmtId="0" fontId="44" fillId="0" borderId="1" xfId="0" applyFont="1" applyBorder="1" applyAlignment="1">
      <alignment horizontal="left" vertical="center" wrapText="1" readingOrder="1"/>
    </xf>
    <xf numFmtId="0" fontId="0" fillId="22" borderId="0" xfId="0" applyFill="1" applyAlignment="1">
      <alignment horizontal="center"/>
    </xf>
    <xf numFmtId="0" fontId="0" fillId="22" borderId="0" xfId="0" applyFill="1" applyAlignment="1">
      <alignment horizontal="center" wrapText="1"/>
    </xf>
    <xf numFmtId="0" fontId="26" fillId="0" borderId="0" xfId="0" applyFont="1"/>
    <xf numFmtId="0" fontId="26" fillId="0" borderId="0" xfId="0" applyFont="1" applyAlignment="1">
      <alignment wrapText="1"/>
    </xf>
    <xf numFmtId="0" fontId="0" fillId="0" borderId="0" xfId="0" applyAlignment="1">
      <alignment wrapText="1"/>
    </xf>
    <xf numFmtId="0" fontId="4" fillId="0" borderId="0" xfId="0" applyFont="1" applyAlignment="1">
      <alignment wrapText="1"/>
    </xf>
    <xf numFmtId="0" fontId="0" fillId="0" borderId="0" xfId="0" applyBorder="1" applyAlignment="1">
      <alignment horizontal="left" vertical="center"/>
    </xf>
    <xf numFmtId="0" fontId="19" fillId="0" borderId="0" xfId="0" applyFont="1" applyBorder="1" applyAlignment="1">
      <alignment horizontal="left" vertical="center"/>
    </xf>
    <xf numFmtId="0" fontId="0" fillId="0" borderId="0" xfId="0" applyBorder="1" applyAlignment="1">
      <alignment horizontal="left" vertical="center" wrapText="1"/>
    </xf>
    <xf numFmtId="0" fontId="0" fillId="6" borderId="0" xfId="0" applyFill="1" applyBorder="1" applyAlignment="1">
      <alignment horizontal="left" vertical="center"/>
    </xf>
    <xf numFmtId="0" fontId="19" fillId="6" borderId="0" xfId="0" applyFont="1" applyFill="1" applyBorder="1" applyAlignment="1">
      <alignment horizontal="left" vertical="center"/>
    </xf>
    <xf numFmtId="0" fontId="5" fillId="0" borderId="0" xfId="1" applyBorder="1" applyAlignment="1">
      <alignment vertical="center" wrapText="1"/>
    </xf>
    <xf numFmtId="0" fontId="21" fillId="0" borderId="0" xfId="0" applyFont="1" applyBorder="1" applyAlignment="1">
      <alignment horizontal="left" vertical="center"/>
    </xf>
    <xf numFmtId="0" fontId="18" fillId="0" borderId="0" xfId="0" applyFont="1" applyBorder="1"/>
    <xf numFmtId="0" fontId="16" fillId="0" borderId="0" xfId="0" applyFont="1" applyBorder="1"/>
    <xf numFmtId="0" fontId="22" fillId="0" borderId="0" xfId="0" applyFont="1" applyBorder="1" applyAlignment="1">
      <alignment horizontal="left" vertical="center" wrapText="1"/>
    </xf>
    <xf numFmtId="0" fontId="5" fillId="0" borderId="0" xfId="1" applyBorder="1"/>
    <xf numFmtId="0" fontId="16" fillId="0" borderId="0" xfId="0" applyFont="1" applyBorder="1" applyAlignment="1">
      <alignment horizontal="left" vertical="center"/>
    </xf>
    <xf numFmtId="0" fontId="20" fillId="0" borderId="0" xfId="0" applyFont="1" applyBorder="1"/>
    <xf numFmtId="0" fontId="17" fillId="0" borderId="0" xfId="0" applyFont="1" applyBorder="1"/>
    <xf numFmtId="0" fontId="8" fillId="0" borderId="0" xfId="0" applyFont="1" applyBorder="1" applyAlignment="1">
      <alignment horizontal="left" vertical="center" wrapText="1"/>
    </xf>
    <xf numFmtId="0" fontId="8" fillId="0" borderId="0" xfId="0" applyFont="1" applyBorder="1"/>
    <xf numFmtId="0" fontId="0" fillId="0" borderId="0" xfId="0" applyAlignment="1">
      <alignment horizontal="left"/>
    </xf>
    <xf numFmtId="0" fontId="9" fillId="0" borderId="0" xfId="0" applyFont="1"/>
    <xf numFmtId="0" fontId="9" fillId="0" borderId="0" xfId="0" applyFont="1" applyAlignment="1">
      <alignment wrapText="1"/>
    </xf>
    <xf numFmtId="0" fontId="4" fillId="0" borderId="0" xfId="0" applyFont="1" applyFill="1" applyAlignment="1">
      <alignment horizontal="left"/>
    </xf>
    <xf numFmtId="0" fontId="4" fillId="0" borderId="0" xfId="0" applyFont="1" applyAlignment="1">
      <alignment horizontal="left"/>
    </xf>
    <xf numFmtId="0" fontId="4" fillId="0" borderId="0" xfId="0" applyFont="1" applyAlignment="1">
      <alignment horizontal="left" wrapText="1"/>
    </xf>
    <xf numFmtId="0" fontId="4" fillId="0" borderId="1" xfId="0" applyFont="1" applyBorder="1" applyAlignment="1">
      <alignment horizontal="left" wrapText="1" indent="2"/>
    </xf>
    <xf numFmtId="0" fontId="9" fillId="0" borderId="1" xfId="0" applyFont="1" applyBorder="1" applyAlignment="1">
      <alignment horizontal="left" wrapText="1"/>
    </xf>
    <xf numFmtId="0" fontId="6" fillId="3" borderId="1" xfId="0" applyFont="1" applyFill="1" applyBorder="1" applyAlignment="1">
      <alignment horizontal="left" wrapText="1"/>
    </xf>
    <xf numFmtId="0" fontId="6" fillId="3" borderId="1" xfId="0" applyFont="1" applyFill="1" applyBorder="1" applyAlignment="1">
      <alignment horizontal="left"/>
    </xf>
    <xf numFmtId="0" fontId="6" fillId="3" borderId="0" xfId="0" applyFont="1" applyFill="1" applyAlignment="1">
      <alignment horizontal="left"/>
    </xf>
    <xf numFmtId="0" fontId="6" fillId="0" borderId="0" xfId="0" applyFont="1" applyAlignment="1">
      <alignment horizontal="left"/>
    </xf>
    <xf numFmtId="0" fontId="41" fillId="0" borderId="1" xfId="0" applyFont="1" applyBorder="1" applyAlignment="1">
      <alignment horizontal="left" indent="1"/>
    </xf>
    <xf numFmtId="0" fontId="41" fillId="5" borderId="1" xfId="0" applyFont="1" applyFill="1" applyBorder="1" applyAlignment="1">
      <alignment horizontal="left"/>
    </xf>
    <xf numFmtId="0" fontId="4" fillId="0" borderId="1" xfId="0" applyFont="1" applyBorder="1" applyAlignment="1">
      <alignment horizontal="left" indent="2"/>
    </xf>
    <xf numFmtId="3" fontId="4" fillId="0" borderId="1" xfId="0" applyNumberFormat="1" applyFont="1" applyBorder="1" applyAlignment="1">
      <alignment horizontal="left"/>
    </xf>
    <xf numFmtId="167" fontId="4" fillId="0" borderId="1" xfId="0" applyNumberFormat="1" applyFont="1" applyBorder="1" applyAlignment="1">
      <alignment horizontal="left"/>
    </xf>
    <xf numFmtId="10" fontId="4" fillId="0" borderId="1" xfId="0" applyNumberFormat="1" applyFont="1" applyBorder="1" applyAlignment="1">
      <alignment horizontal="left"/>
    </xf>
    <xf numFmtId="0" fontId="0" fillId="0" borderId="0" xfId="0" applyAlignment="1">
      <alignment horizontal="right"/>
    </xf>
    <xf numFmtId="1" fontId="0" fillId="0" borderId="0" xfId="0" applyNumberFormat="1" applyAlignment="1">
      <alignment horizontal="right"/>
    </xf>
    <xf numFmtId="3" fontId="0" fillId="0" borderId="0" xfId="0" applyNumberFormat="1" applyAlignment="1">
      <alignment horizontal="right"/>
    </xf>
    <xf numFmtId="0" fontId="6" fillId="3" borderId="22" xfId="0" applyFont="1" applyFill="1" applyBorder="1" applyAlignment="1">
      <alignment horizontal="left" vertical="center" wrapText="1"/>
    </xf>
    <xf numFmtId="1" fontId="4" fillId="0" borderId="0" xfId="0" applyNumberFormat="1" applyFont="1" applyAlignment="1">
      <alignment wrapText="1"/>
    </xf>
    <xf numFmtId="0" fontId="6" fillId="3" borderId="0" xfId="0" applyFont="1" applyFill="1" applyAlignment="1">
      <alignment horizontal="left" vertical="center" wrapText="1"/>
    </xf>
    <xf numFmtId="0" fontId="6" fillId="3" borderId="22" xfId="0" applyFont="1" applyFill="1" applyBorder="1" applyAlignment="1">
      <alignment vertical="center" wrapText="1"/>
    </xf>
    <xf numFmtId="1" fontId="4" fillId="0" borderId="0" xfId="0" applyNumberFormat="1" applyFont="1" applyAlignment="1"/>
    <xf numFmtId="1" fontId="4" fillId="0" borderId="0" xfId="0" applyNumberFormat="1" applyFont="1" applyFill="1" applyAlignment="1"/>
    <xf numFmtId="0" fontId="0" fillId="0" borderId="0" xfId="0" applyAlignment="1"/>
    <xf numFmtId="0" fontId="52" fillId="23" borderId="1" xfId="0" applyFont="1" applyFill="1" applyBorder="1"/>
    <xf numFmtId="0" fontId="50" fillId="2" borderId="24" xfId="0" applyFont="1" applyFill="1" applyBorder="1" applyAlignment="1">
      <alignment vertical="center"/>
    </xf>
    <xf numFmtId="0" fontId="51" fillId="0" borderId="1" xfId="0" applyFont="1" applyFill="1" applyBorder="1"/>
    <xf numFmtId="0" fontId="10" fillId="0" borderId="1" xfId="0" applyFont="1" applyFill="1" applyBorder="1"/>
    <xf numFmtId="0" fontId="50" fillId="2" borderId="1" xfId="0" applyFont="1" applyFill="1" applyBorder="1" applyAlignment="1">
      <alignment vertical="center"/>
    </xf>
    <xf numFmtId="0" fontId="50" fillId="2" borderId="1" xfId="0" applyFont="1" applyFill="1" applyBorder="1" applyAlignment="1">
      <alignment vertical="center" wrapText="1"/>
    </xf>
    <xf numFmtId="0" fontId="40" fillId="12" borderId="1" xfId="6" applyFont="1" applyAlignment="1">
      <alignment horizontal="center" vertical="center" wrapText="1"/>
    </xf>
    <xf numFmtId="0" fontId="37" fillId="0" borderId="11" xfId="3" applyFont="1" applyBorder="1" applyAlignment="1">
      <alignment horizontal="center" vertical="center" textRotation="90"/>
    </xf>
    <xf numFmtId="0" fontId="37" fillId="0" borderId="13" xfId="3" applyFont="1" applyBorder="1" applyAlignment="1">
      <alignment horizontal="center" vertical="center" textRotation="90"/>
    </xf>
    <xf numFmtId="0" fontId="37" fillId="0" borderId="7" xfId="3" applyFont="1" applyBorder="1" applyAlignment="1">
      <alignment horizontal="center" vertical="center" textRotation="90"/>
    </xf>
    <xf numFmtId="0" fontId="37" fillId="0" borderId="15" xfId="3" applyFont="1" applyBorder="1" applyAlignment="1">
      <alignment horizontal="center" vertical="center" textRotation="90"/>
    </xf>
    <xf numFmtId="0" fontId="37" fillId="0" borderId="8" xfId="3" applyFont="1" applyBorder="1" applyAlignment="1">
      <alignment horizontal="center" vertical="center" textRotation="90"/>
    </xf>
    <xf numFmtId="0" fontId="37" fillId="0" borderId="9" xfId="3" applyFont="1" applyBorder="1" applyAlignment="1">
      <alignment horizontal="center" vertical="center" textRotation="90"/>
    </xf>
    <xf numFmtId="0" fontId="37" fillId="0" borderId="11" xfId="3" applyFont="1" applyBorder="1" applyAlignment="1">
      <alignment horizontal="center" vertical="center" textRotation="90" wrapText="1"/>
    </xf>
    <xf numFmtId="0" fontId="38" fillId="0" borderId="2" xfId="3" applyFont="1" applyBorder="1" applyAlignment="1">
      <alignment horizontal="left" vertical="center"/>
    </xf>
    <xf numFmtId="0" fontId="39" fillId="0" borderId="2" xfId="3" applyFont="1" applyBorder="1" applyAlignment="1">
      <alignment horizontal="center" vertical="center"/>
    </xf>
    <xf numFmtId="0" fontId="10" fillId="0" borderId="0" xfId="0" applyFont="1"/>
    <xf numFmtId="0" fontId="4" fillId="24" borderId="0" xfId="0" applyFont="1" applyFill="1" applyAlignment="1">
      <alignment vertical="center" wrapText="1"/>
    </xf>
    <xf numFmtId="0" fontId="4" fillId="0" borderId="0" xfId="0" applyFont="1"/>
    <xf numFmtId="0" fontId="9" fillId="0" borderId="0" xfId="0" applyFont="1" applyFill="1" applyAlignment="1">
      <alignment horizontal="left" vertical="center" wrapText="1"/>
    </xf>
    <xf numFmtId="0" fontId="4" fillId="0" borderId="0" xfId="0" applyFont="1" applyAlignment="1">
      <alignment vertical="center"/>
    </xf>
    <xf numFmtId="0" fontId="5" fillId="0" borderId="0" xfId="1" applyFont="1" applyAlignment="1">
      <alignment horizontal="left" vertical="center" wrapText="1"/>
    </xf>
    <xf numFmtId="0" fontId="6" fillId="0" borderId="0" xfId="0" applyFont="1" applyAlignment="1">
      <alignment vertical="center"/>
    </xf>
    <xf numFmtId="0" fontId="4" fillId="24" borderId="0" xfId="0" applyFont="1" applyFill="1" applyAlignment="1">
      <alignment horizontal="left" vertical="center" wrapText="1"/>
    </xf>
    <xf numFmtId="0" fontId="53" fillId="0" borderId="0" xfId="0" applyFont="1"/>
    <xf numFmtId="0" fontId="4" fillId="0" borderId="0" xfId="0" applyFont="1" applyAlignment="1">
      <alignment horizontal="left" vertical="center" indent="1"/>
    </xf>
    <xf numFmtId="0" fontId="27" fillId="14" borderId="0" xfId="0" applyFont="1" applyFill="1" applyAlignment="1">
      <alignment horizontal="left" vertical="center" wrapText="1"/>
    </xf>
  </cellXfs>
  <cellStyles count="10">
    <cellStyle name="Accent1 2" xfId="6" xr:uid="{64BB399F-BCF8-43B5-A20B-DA148C08AB09}"/>
    <cellStyle name="Comma 2" xfId="4" xr:uid="{07DCB180-95FD-4654-BF67-A57A0DC9687C}"/>
    <cellStyle name="Hyperlink" xfId="1" builtinId="8"/>
    <cellStyle name="Hyperlink 2" xfId="9" xr:uid="{AB4DA332-F51A-4F54-B3E5-2AE06A17954C}"/>
    <cellStyle name="Hyperlink 3" xfId="8" xr:uid="{F39EED91-0408-43E5-AC77-5D5D14910E48}"/>
    <cellStyle name="Normal" xfId="0" builtinId="0"/>
    <cellStyle name="Normal 2" xfId="2" xr:uid="{4D697912-1260-40DE-BCD4-A3DF8A7115AE}"/>
    <cellStyle name="Normal 3" xfId="3" xr:uid="{B57C5678-B219-44D8-8B26-8201624EEA88}"/>
    <cellStyle name="Normal 4" xfId="7" xr:uid="{D2BBCDE8-3D9A-4D1D-94D8-F8CC4041832F}"/>
    <cellStyle name="Percent 2" xfId="5" xr:uid="{9C732A66-9D2A-4158-B11A-97828FB69D49}"/>
  </cellStyles>
  <dxfs count="6">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s>
  <tableStyles count="0" defaultTableStyle="TableStyleMedium2" defaultPivotStyle="PivotStyleLight16"/>
  <colors>
    <mruColors>
      <color rgb="FF336600"/>
      <color rgb="FFFFFFD1"/>
      <color rgb="FFFFFFCC"/>
      <color rgb="FFFFCCCC"/>
      <color rgb="FFFF8989"/>
      <color rgb="FFBF33B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21" Type="http://schemas.openxmlformats.org/officeDocument/2006/relationships/hyperlink" Target="mailto:jessicagreen@greeneking.co.uk" TargetMode="External"/><Relationship Id="rId170" Type="http://schemas.openxmlformats.org/officeDocument/2006/relationships/hyperlink" Target="mailto:liamhancy@greeneking.co.uk" TargetMode="External"/><Relationship Id="rId268" Type="http://schemas.openxmlformats.org/officeDocument/2006/relationships/hyperlink" Target="mailto:kevin.grierson@belhaven.co.uk" TargetMode="External"/><Relationship Id="rId475" Type="http://schemas.openxmlformats.org/officeDocument/2006/relationships/hyperlink" Target="mailto:liamhancy@greeneking.co.uk" TargetMode="External"/><Relationship Id="rId682" Type="http://schemas.openxmlformats.org/officeDocument/2006/relationships/hyperlink" Target="mailto:liamhancy@greeneking.co.uk" TargetMode="External"/><Relationship Id="rId128" Type="http://schemas.openxmlformats.org/officeDocument/2006/relationships/hyperlink" Target="mailto:liamhancy@greeneking.co.uk" TargetMode="External"/><Relationship Id="rId335" Type="http://schemas.openxmlformats.org/officeDocument/2006/relationships/hyperlink" Target="mailto:jessicagreen@greeneking.co.uk" TargetMode="External"/><Relationship Id="rId542" Type="http://schemas.openxmlformats.org/officeDocument/2006/relationships/hyperlink" Target="mailto:liamhancy@greeneking.co.uk" TargetMode="External"/><Relationship Id="rId987" Type="http://schemas.openxmlformats.org/officeDocument/2006/relationships/hyperlink" Target="mailto:liamhancy@greeneking.co.uk" TargetMode="External"/><Relationship Id="rId402" Type="http://schemas.openxmlformats.org/officeDocument/2006/relationships/hyperlink" Target="mailto:tombrown@greeneking.co.uk" TargetMode="External"/><Relationship Id="rId847" Type="http://schemas.openxmlformats.org/officeDocument/2006/relationships/hyperlink" Target="mailto:tombrown@greeneking.co.uk" TargetMode="External"/><Relationship Id="rId1032" Type="http://schemas.openxmlformats.org/officeDocument/2006/relationships/hyperlink" Target="mailto:liamhancy@greeneking.co.uk" TargetMode="External"/><Relationship Id="rId707" Type="http://schemas.openxmlformats.org/officeDocument/2006/relationships/hyperlink" Target="mailto:liamhancy@greeneking.co.uk" TargetMode="External"/><Relationship Id="rId914" Type="http://schemas.openxmlformats.org/officeDocument/2006/relationships/hyperlink" Target="mailto:liamhancy@greeneking.co.uk" TargetMode="External"/><Relationship Id="rId43" Type="http://schemas.openxmlformats.org/officeDocument/2006/relationships/hyperlink" Target="mailto:liamhancy@greeneking.co.uk" TargetMode="External"/><Relationship Id="rId192" Type="http://schemas.openxmlformats.org/officeDocument/2006/relationships/hyperlink" Target="mailto:liamhancy@greeneking.co.uk" TargetMode="External"/><Relationship Id="rId497" Type="http://schemas.openxmlformats.org/officeDocument/2006/relationships/hyperlink" Target="mailto:liamhancy@greeneking.co.uk" TargetMode="External"/><Relationship Id="rId357" Type="http://schemas.openxmlformats.org/officeDocument/2006/relationships/hyperlink" Target="mailto:liamhancy@greeneking.co.uk" TargetMode="External"/><Relationship Id="rId217" Type="http://schemas.openxmlformats.org/officeDocument/2006/relationships/hyperlink" Target="mailto:liamhancy@greeneking.co.uk" TargetMode="External"/><Relationship Id="rId564" Type="http://schemas.openxmlformats.org/officeDocument/2006/relationships/hyperlink" Target="mailto:liamhancy@greeneking.co.uk" TargetMode="External"/><Relationship Id="rId771" Type="http://schemas.openxmlformats.org/officeDocument/2006/relationships/hyperlink" Target="mailto:liamhancy@greeneking.co.uk" TargetMode="External"/><Relationship Id="rId869" Type="http://schemas.openxmlformats.org/officeDocument/2006/relationships/hyperlink" Target="mailto:tombrown@greeneking.co.uk" TargetMode="External"/><Relationship Id="rId424" Type="http://schemas.openxmlformats.org/officeDocument/2006/relationships/hyperlink" Target="mailto:jessicagreen@greeneking.co.uk" TargetMode="External"/><Relationship Id="rId631" Type="http://schemas.openxmlformats.org/officeDocument/2006/relationships/hyperlink" Target="mailto:jessicagreen@greeneking.co.uk" TargetMode="External"/><Relationship Id="rId729" Type="http://schemas.openxmlformats.org/officeDocument/2006/relationships/hyperlink" Target="mailto:liamhancy@greeneking.co.uk" TargetMode="External"/><Relationship Id="rId1054" Type="http://schemas.openxmlformats.org/officeDocument/2006/relationships/hyperlink" Target="mailto:liamhancy@greeneking.co.uk" TargetMode="External"/><Relationship Id="rId936" Type="http://schemas.openxmlformats.org/officeDocument/2006/relationships/hyperlink" Target="mailto:tombrown@greeneking.co.uk" TargetMode="External"/><Relationship Id="rId1121" Type="http://schemas.openxmlformats.org/officeDocument/2006/relationships/hyperlink" Target="mailto:liamhancy@greeneking.co.uk" TargetMode="External"/><Relationship Id="rId65" Type="http://schemas.openxmlformats.org/officeDocument/2006/relationships/hyperlink" Target="mailto:jessicagreen@greeneking.co.uk" TargetMode="External"/><Relationship Id="rId281" Type="http://schemas.openxmlformats.org/officeDocument/2006/relationships/hyperlink" Target="mailto:benfrater@greeneking.co.uk" TargetMode="External"/><Relationship Id="rId141" Type="http://schemas.openxmlformats.org/officeDocument/2006/relationships/hyperlink" Target="mailto:liamhancy@greeneking.co.uk" TargetMode="External"/><Relationship Id="rId379" Type="http://schemas.openxmlformats.org/officeDocument/2006/relationships/hyperlink" Target="mailto:jessicagreen@greeneking.co.uk" TargetMode="External"/><Relationship Id="rId586" Type="http://schemas.openxmlformats.org/officeDocument/2006/relationships/hyperlink" Target="mailto:liamhancy@greeneking.co.uk" TargetMode="External"/><Relationship Id="rId793" Type="http://schemas.openxmlformats.org/officeDocument/2006/relationships/hyperlink" Target="mailto:liamhancy@greeneking.co.uk" TargetMode="External"/><Relationship Id="rId7" Type="http://schemas.openxmlformats.org/officeDocument/2006/relationships/hyperlink" Target="mailto:jessicagreen@greeneking.co.uk" TargetMode="External"/><Relationship Id="rId239" Type="http://schemas.openxmlformats.org/officeDocument/2006/relationships/hyperlink" Target="mailto:jessicagreen@greeneking.co.uk" TargetMode="External"/><Relationship Id="rId446" Type="http://schemas.openxmlformats.org/officeDocument/2006/relationships/hyperlink" Target="mailto:jessicagreen@greeneking.co.uk" TargetMode="External"/><Relationship Id="rId653" Type="http://schemas.openxmlformats.org/officeDocument/2006/relationships/hyperlink" Target="mailto:liamhancy@greeneking.co.uk" TargetMode="External"/><Relationship Id="rId1076" Type="http://schemas.openxmlformats.org/officeDocument/2006/relationships/hyperlink" Target="mailto:jessicagreen@greeneking.co.uk" TargetMode="External"/><Relationship Id="rId306" Type="http://schemas.openxmlformats.org/officeDocument/2006/relationships/hyperlink" Target="mailto:kevin.grierson@belhaven.co.uk" TargetMode="External"/><Relationship Id="rId860" Type="http://schemas.openxmlformats.org/officeDocument/2006/relationships/hyperlink" Target="mailto:Adamreditt@greeneking.co.uk" TargetMode="External"/><Relationship Id="rId958" Type="http://schemas.openxmlformats.org/officeDocument/2006/relationships/hyperlink" Target="mailto:liamhancy@greeneking.co.uk" TargetMode="External"/><Relationship Id="rId87" Type="http://schemas.openxmlformats.org/officeDocument/2006/relationships/hyperlink" Target="mailto:jessicagreen@greeneking.co.uk" TargetMode="External"/><Relationship Id="rId513" Type="http://schemas.openxmlformats.org/officeDocument/2006/relationships/hyperlink" Target="mailto:jessicagreen@greeneking.co.uk" TargetMode="External"/><Relationship Id="rId720" Type="http://schemas.openxmlformats.org/officeDocument/2006/relationships/hyperlink" Target="mailto:liamhancy@greeneking.co.uk" TargetMode="External"/><Relationship Id="rId818" Type="http://schemas.openxmlformats.org/officeDocument/2006/relationships/hyperlink" Target="mailto:liamhancy@greeneking.co.uk" TargetMode="External"/><Relationship Id="rId1003" Type="http://schemas.openxmlformats.org/officeDocument/2006/relationships/hyperlink" Target="mailto:liamhancy@greeneking.co.uk" TargetMode="External"/><Relationship Id="rId14" Type="http://schemas.openxmlformats.org/officeDocument/2006/relationships/hyperlink" Target="mailto:liamhancy@greeneking.co.uk" TargetMode="External"/><Relationship Id="rId163" Type="http://schemas.openxmlformats.org/officeDocument/2006/relationships/hyperlink" Target="mailto:liamhancy@greeneking.co.uk" TargetMode="External"/><Relationship Id="rId370" Type="http://schemas.openxmlformats.org/officeDocument/2006/relationships/hyperlink" Target="mailto:liamhancy@greeneking.co.uk" TargetMode="External"/><Relationship Id="rId230" Type="http://schemas.openxmlformats.org/officeDocument/2006/relationships/hyperlink" Target="mailto:liamhancy@greeneking.co.uk" TargetMode="External"/><Relationship Id="rId468" Type="http://schemas.openxmlformats.org/officeDocument/2006/relationships/hyperlink" Target="mailto:jessicagreen@greeneking.co.uk" TargetMode="External"/><Relationship Id="rId675" Type="http://schemas.openxmlformats.org/officeDocument/2006/relationships/hyperlink" Target="mailto:liamhancy@greeneking.co.uk" TargetMode="External"/><Relationship Id="rId882" Type="http://schemas.openxmlformats.org/officeDocument/2006/relationships/hyperlink" Target="mailto:tombrown@greeneking.co.uk" TargetMode="External"/><Relationship Id="rId1098" Type="http://schemas.openxmlformats.org/officeDocument/2006/relationships/hyperlink" Target="mailto:liamhancy@greeneking.co.uk" TargetMode="External"/><Relationship Id="rId328" Type="http://schemas.openxmlformats.org/officeDocument/2006/relationships/hyperlink" Target="mailto:kevin.grierson@belhaven.co.uk" TargetMode="External"/><Relationship Id="rId535" Type="http://schemas.openxmlformats.org/officeDocument/2006/relationships/hyperlink" Target="mailto:jessicagreen@greeneking.co.uk" TargetMode="External"/><Relationship Id="rId742" Type="http://schemas.openxmlformats.org/officeDocument/2006/relationships/hyperlink" Target="mailto:kevin.grierson@belhaven.co.uk" TargetMode="External"/><Relationship Id="rId174" Type="http://schemas.openxmlformats.org/officeDocument/2006/relationships/hyperlink" Target="mailto:liamhancy@greeneking.co.uk" TargetMode="External"/><Relationship Id="rId381" Type="http://schemas.openxmlformats.org/officeDocument/2006/relationships/hyperlink" Target="mailto:jessicagreen@greeneking.co.uk" TargetMode="External"/><Relationship Id="rId602" Type="http://schemas.openxmlformats.org/officeDocument/2006/relationships/hyperlink" Target="mailto:liamhancy@greeneking.co.uk" TargetMode="External"/><Relationship Id="rId1025" Type="http://schemas.openxmlformats.org/officeDocument/2006/relationships/hyperlink" Target="mailto:liamhancy@greeneking.co.uk" TargetMode="External"/><Relationship Id="rId241" Type="http://schemas.openxmlformats.org/officeDocument/2006/relationships/hyperlink" Target="mailto:jessicagreen@greeneking.co.uk" TargetMode="External"/><Relationship Id="rId479" Type="http://schemas.openxmlformats.org/officeDocument/2006/relationships/hyperlink" Target="mailto:liamhancy@greeneking.co.uk" TargetMode="External"/><Relationship Id="rId686" Type="http://schemas.openxmlformats.org/officeDocument/2006/relationships/hyperlink" Target="mailto:liamhancy@greeneking.co.uk" TargetMode="External"/><Relationship Id="rId893" Type="http://schemas.openxmlformats.org/officeDocument/2006/relationships/hyperlink" Target="mailto:liamhancy@greeneking.co.uk" TargetMode="External"/><Relationship Id="rId907" Type="http://schemas.openxmlformats.org/officeDocument/2006/relationships/hyperlink" Target="mailto:tombrown@greeneking.co.uk" TargetMode="External"/><Relationship Id="rId36" Type="http://schemas.openxmlformats.org/officeDocument/2006/relationships/hyperlink" Target="mailto:liamhancy@greeneking.co.uk" TargetMode="External"/><Relationship Id="rId339" Type="http://schemas.openxmlformats.org/officeDocument/2006/relationships/hyperlink" Target="mailto:jessicagreen@greeneking.co.uk" TargetMode="External"/><Relationship Id="rId546" Type="http://schemas.openxmlformats.org/officeDocument/2006/relationships/hyperlink" Target="mailto:liamhancy@greeneking.co.uk" TargetMode="External"/><Relationship Id="rId753" Type="http://schemas.openxmlformats.org/officeDocument/2006/relationships/hyperlink" Target="mailto:liamhancy@greeneking.co.uk" TargetMode="External"/><Relationship Id="rId101" Type="http://schemas.openxmlformats.org/officeDocument/2006/relationships/hyperlink" Target="mailto:jessicagreen@greeneking.co.uk" TargetMode="External"/><Relationship Id="rId185" Type="http://schemas.openxmlformats.org/officeDocument/2006/relationships/hyperlink" Target="mailto:liamhancy@greeneking.co.uk" TargetMode="External"/><Relationship Id="rId406" Type="http://schemas.openxmlformats.org/officeDocument/2006/relationships/hyperlink" Target="mailto:tombrown@greeneking.co.uk" TargetMode="External"/><Relationship Id="rId960" Type="http://schemas.openxmlformats.org/officeDocument/2006/relationships/hyperlink" Target="mailto:liamhancy@greeneking.co.uk" TargetMode="External"/><Relationship Id="rId1036" Type="http://schemas.openxmlformats.org/officeDocument/2006/relationships/hyperlink" Target="mailto:liamhancy@greeneking.co.uk" TargetMode="External"/><Relationship Id="rId392" Type="http://schemas.openxmlformats.org/officeDocument/2006/relationships/hyperlink" Target="mailto:tombrown@greeneking.co.uk" TargetMode="External"/><Relationship Id="rId613" Type="http://schemas.openxmlformats.org/officeDocument/2006/relationships/hyperlink" Target="mailto:jessicagreen@greeneking.co.uk" TargetMode="External"/><Relationship Id="rId697" Type="http://schemas.openxmlformats.org/officeDocument/2006/relationships/hyperlink" Target="mailto:jessicagreen@greeneking.co.uk" TargetMode="External"/><Relationship Id="rId820" Type="http://schemas.openxmlformats.org/officeDocument/2006/relationships/hyperlink" Target="mailto:liamhancy@greeneking.co.uk" TargetMode="External"/><Relationship Id="rId918" Type="http://schemas.openxmlformats.org/officeDocument/2006/relationships/hyperlink" Target="mailto:tombrown@greeneking.co.uk" TargetMode="External"/><Relationship Id="rId252" Type="http://schemas.openxmlformats.org/officeDocument/2006/relationships/hyperlink" Target="mailto:kevin.grierson@belhaven.co.uk" TargetMode="External"/><Relationship Id="rId1103" Type="http://schemas.openxmlformats.org/officeDocument/2006/relationships/hyperlink" Target="mailto:liamhancy@greeneking.co.uk" TargetMode="External"/><Relationship Id="rId47" Type="http://schemas.openxmlformats.org/officeDocument/2006/relationships/hyperlink" Target="mailto:liamhancy@greeneking.co.uk" TargetMode="External"/><Relationship Id="rId112" Type="http://schemas.openxmlformats.org/officeDocument/2006/relationships/hyperlink" Target="mailto:liamhancy@greeneking.co.uk" TargetMode="External"/><Relationship Id="rId557" Type="http://schemas.openxmlformats.org/officeDocument/2006/relationships/hyperlink" Target="mailto:jessicagreen@greeneking.co.uk" TargetMode="External"/><Relationship Id="rId764" Type="http://schemas.openxmlformats.org/officeDocument/2006/relationships/hyperlink" Target="mailto:liamhancy@greeneking.co.uk" TargetMode="External"/><Relationship Id="rId971" Type="http://schemas.openxmlformats.org/officeDocument/2006/relationships/hyperlink" Target="mailto:liamhancy@greeneking.co.uk" TargetMode="External"/><Relationship Id="rId196" Type="http://schemas.openxmlformats.org/officeDocument/2006/relationships/hyperlink" Target="mailto:liamhancy@greeneking.co.uk" TargetMode="External"/><Relationship Id="rId417" Type="http://schemas.openxmlformats.org/officeDocument/2006/relationships/hyperlink" Target="mailto:tombrown@greeneking.co.uk" TargetMode="External"/><Relationship Id="rId624" Type="http://schemas.openxmlformats.org/officeDocument/2006/relationships/hyperlink" Target="mailto:liamhancy@greeneking.co.uk" TargetMode="External"/><Relationship Id="rId831" Type="http://schemas.openxmlformats.org/officeDocument/2006/relationships/hyperlink" Target="mailto:liamhancy@greeneking.co.uk" TargetMode="External"/><Relationship Id="rId1047" Type="http://schemas.openxmlformats.org/officeDocument/2006/relationships/hyperlink" Target="mailto:liamhancy@greeneking.co.uk" TargetMode="External"/><Relationship Id="rId263" Type="http://schemas.openxmlformats.org/officeDocument/2006/relationships/hyperlink" Target="mailto:benfrater@greeneking.co.uk" TargetMode="External"/><Relationship Id="rId470" Type="http://schemas.openxmlformats.org/officeDocument/2006/relationships/hyperlink" Target="mailto:jessicagreen@greeneking.co.uk" TargetMode="External"/><Relationship Id="rId929" Type="http://schemas.openxmlformats.org/officeDocument/2006/relationships/hyperlink" Target="mailto:tombrown@greeneking.co.uk" TargetMode="External"/><Relationship Id="rId1114" Type="http://schemas.openxmlformats.org/officeDocument/2006/relationships/hyperlink" Target="mailto:liamhancy@greeneking.co.uk" TargetMode="External"/><Relationship Id="rId58" Type="http://schemas.openxmlformats.org/officeDocument/2006/relationships/hyperlink" Target="mailto:liamhancy@greeneking.co.uk" TargetMode="External"/><Relationship Id="rId123" Type="http://schemas.openxmlformats.org/officeDocument/2006/relationships/hyperlink" Target="mailto:jessicagreen@greeneking.co.uk" TargetMode="External"/><Relationship Id="rId330" Type="http://schemas.openxmlformats.org/officeDocument/2006/relationships/hyperlink" Target="mailto:liamhancy@greeneking.co.uk" TargetMode="External"/><Relationship Id="rId568" Type="http://schemas.openxmlformats.org/officeDocument/2006/relationships/hyperlink" Target="mailto:liamhancy@greeneking.co.uk" TargetMode="External"/><Relationship Id="rId775" Type="http://schemas.openxmlformats.org/officeDocument/2006/relationships/hyperlink" Target="mailto:liamhancy@greeneking.co.uk" TargetMode="External"/><Relationship Id="rId982" Type="http://schemas.openxmlformats.org/officeDocument/2006/relationships/hyperlink" Target="mailto:liamhancy@greeneking.co.uk" TargetMode="External"/><Relationship Id="rId428" Type="http://schemas.openxmlformats.org/officeDocument/2006/relationships/hyperlink" Target="mailto:jessicagreen@greeneking.co.uk" TargetMode="External"/><Relationship Id="rId635" Type="http://schemas.openxmlformats.org/officeDocument/2006/relationships/hyperlink" Target="mailto:jessicagreen@greeneking.co.uk" TargetMode="External"/><Relationship Id="rId842" Type="http://schemas.openxmlformats.org/officeDocument/2006/relationships/hyperlink" Target="mailto:tombrown@greeneking.co.uk" TargetMode="External"/><Relationship Id="rId1058" Type="http://schemas.openxmlformats.org/officeDocument/2006/relationships/hyperlink" Target="mailto:liamhancy@greeneking.co.uk" TargetMode="External"/><Relationship Id="rId274" Type="http://schemas.openxmlformats.org/officeDocument/2006/relationships/hyperlink" Target="mailto:kevin.grierson@belhaven.co.uk" TargetMode="External"/><Relationship Id="rId481" Type="http://schemas.openxmlformats.org/officeDocument/2006/relationships/hyperlink" Target="mailto:liamhancy@greeneking.co.uk" TargetMode="External"/><Relationship Id="rId702" Type="http://schemas.openxmlformats.org/officeDocument/2006/relationships/hyperlink" Target="mailto:liamhancy@greeneking.co.uk" TargetMode="External"/><Relationship Id="rId1125" Type="http://schemas.openxmlformats.org/officeDocument/2006/relationships/hyperlink" Target="mailto:liamhancy@greeneking.co.uk" TargetMode="External"/><Relationship Id="rId69" Type="http://schemas.openxmlformats.org/officeDocument/2006/relationships/hyperlink" Target="mailto:jessicagreen@greeneking.co.uk" TargetMode="External"/><Relationship Id="rId134" Type="http://schemas.openxmlformats.org/officeDocument/2006/relationships/hyperlink" Target="mailto:tombrown@greeneking.co.uk" TargetMode="External"/><Relationship Id="rId579" Type="http://schemas.openxmlformats.org/officeDocument/2006/relationships/hyperlink" Target="mailto:jessicagreen@greeneking.co.uk" TargetMode="External"/><Relationship Id="rId786" Type="http://schemas.openxmlformats.org/officeDocument/2006/relationships/hyperlink" Target="mailto:liamhancy@greeneking.co.uk" TargetMode="External"/><Relationship Id="rId993" Type="http://schemas.openxmlformats.org/officeDocument/2006/relationships/hyperlink" Target="mailto:liamhancy@greeneking.co.uk" TargetMode="External"/><Relationship Id="rId341" Type="http://schemas.openxmlformats.org/officeDocument/2006/relationships/hyperlink" Target="mailto:jessicagreen@greeneking.co.uk" TargetMode="External"/><Relationship Id="rId439" Type="http://schemas.openxmlformats.org/officeDocument/2006/relationships/hyperlink" Target="mailto:liamhancy@greeneking.co.uk" TargetMode="External"/><Relationship Id="rId646" Type="http://schemas.openxmlformats.org/officeDocument/2006/relationships/hyperlink" Target="mailto:liamhancy@greeneking.co.uk" TargetMode="External"/><Relationship Id="rId1069" Type="http://schemas.openxmlformats.org/officeDocument/2006/relationships/hyperlink" Target="mailto:liamhancy@greeneking.co.uk" TargetMode="External"/><Relationship Id="rId201" Type="http://schemas.openxmlformats.org/officeDocument/2006/relationships/hyperlink" Target="mailto:liamhancy@greeneking.co.uk" TargetMode="External"/><Relationship Id="rId285" Type="http://schemas.openxmlformats.org/officeDocument/2006/relationships/hyperlink" Target="mailto:benfrater@greeneking.co.uk" TargetMode="External"/><Relationship Id="rId506" Type="http://schemas.openxmlformats.org/officeDocument/2006/relationships/hyperlink" Target="mailto:liamhancy@greeneking.co.uk" TargetMode="External"/><Relationship Id="rId853" Type="http://schemas.openxmlformats.org/officeDocument/2006/relationships/hyperlink" Target="mailto:tombrown@greeneking.co.uk" TargetMode="External"/><Relationship Id="rId492" Type="http://schemas.openxmlformats.org/officeDocument/2006/relationships/hyperlink" Target="mailto:jessicagreen@greeneking.co.uk" TargetMode="External"/><Relationship Id="rId713" Type="http://schemas.openxmlformats.org/officeDocument/2006/relationships/hyperlink" Target="mailto:liamhancy@greeneking.co.uk" TargetMode="External"/><Relationship Id="rId797" Type="http://schemas.openxmlformats.org/officeDocument/2006/relationships/hyperlink" Target="mailto:liamhancy@greeneking.co.uk" TargetMode="External"/><Relationship Id="rId920" Type="http://schemas.openxmlformats.org/officeDocument/2006/relationships/hyperlink" Target="mailto:tombrown@greeneking.co.uk" TargetMode="External"/><Relationship Id="rId145" Type="http://schemas.openxmlformats.org/officeDocument/2006/relationships/hyperlink" Target="mailto:liamhancy@greeneking.co.uk" TargetMode="External"/><Relationship Id="rId352" Type="http://schemas.openxmlformats.org/officeDocument/2006/relationships/hyperlink" Target="mailto:TomBrindley@greeneking.co.uk" TargetMode="External"/><Relationship Id="rId212" Type="http://schemas.openxmlformats.org/officeDocument/2006/relationships/hyperlink" Target="mailto:liamhancy@greeneking.co.uk" TargetMode="External"/><Relationship Id="rId657" Type="http://schemas.openxmlformats.org/officeDocument/2006/relationships/hyperlink" Target="mailto:liamhancy@greeneking.co.uk" TargetMode="External"/><Relationship Id="rId864" Type="http://schemas.openxmlformats.org/officeDocument/2006/relationships/hyperlink" Target="mailto:tombrown@greeneking.co.uk" TargetMode="External"/><Relationship Id="rId296" Type="http://schemas.openxmlformats.org/officeDocument/2006/relationships/hyperlink" Target="mailto:kevin.grierson@belhaven.co.uk" TargetMode="External"/><Relationship Id="rId517" Type="http://schemas.openxmlformats.org/officeDocument/2006/relationships/hyperlink" Target="mailto:jessicagreen@greeneking.co.uk" TargetMode="External"/><Relationship Id="rId724" Type="http://schemas.openxmlformats.org/officeDocument/2006/relationships/hyperlink" Target="mailto:liamhancy@greeneking.co.uk" TargetMode="External"/><Relationship Id="rId931" Type="http://schemas.openxmlformats.org/officeDocument/2006/relationships/hyperlink" Target="mailto:Adamreditt@greeneking.co.uk" TargetMode="External"/><Relationship Id="rId60" Type="http://schemas.openxmlformats.org/officeDocument/2006/relationships/hyperlink" Target="mailto:liamhancy@greeneking.co.uk" TargetMode="External"/><Relationship Id="rId156" Type="http://schemas.openxmlformats.org/officeDocument/2006/relationships/hyperlink" Target="mailto:liamhancy@greeneking.co.uk" TargetMode="External"/><Relationship Id="rId363" Type="http://schemas.openxmlformats.org/officeDocument/2006/relationships/hyperlink" Target="mailto:liamhancy@greeneking.co.uk" TargetMode="External"/><Relationship Id="rId570" Type="http://schemas.openxmlformats.org/officeDocument/2006/relationships/hyperlink" Target="mailto:liamhancy@greeneking.co.uk" TargetMode="External"/><Relationship Id="rId1007" Type="http://schemas.openxmlformats.org/officeDocument/2006/relationships/hyperlink" Target="mailto:liamhancy@greeneking.co.uk" TargetMode="External"/><Relationship Id="rId223" Type="http://schemas.openxmlformats.org/officeDocument/2006/relationships/hyperlink" Target="mailto:liamhancy@greeneking.co.uk" TargetMode="External"/><Relationship Id="rId430" Type="http://schemas.openxmlformats.org/officeDocument/2006/relationships/hyperlink" Target="mailto:jessicagreen@greeneking.co.uk" TargetMode="External"/><Relationship Id="rId668" Type="http://schemas.openxmlformats.org/officeDocument/2006/relationships/hyperlink" Target="mailto:liamhancy@greeneking.co.uk" TargetMode="External"/><Relationship Id="rId875" Type="http://schemas.openxmlformats.org/officeDocument/2006/relationships/hyperlink" Target="mailto:tombrown@greeneking.co.uk" TargetMode="External"/><Relationship Id="rId1060" Type="http://schemas.openxmlformats.org/officeDocument/2006/relationships/hyperlink" Target="mailto:liamhancy@greeneking.co.uk" TargetMode="External"/><Relationship Id="rId18" Type="http://schemas.openxmlformats.org/officeDocument/2006/relationships/hyperlink" Target="mailto:liamhancy@greeneking.co.uk" TargetMode="External"/><Relationship Id="rId528" Type="http://schemas.openxmlformats.org/officeDocument/2006/relationships/hyperlink" Target="mailto:liamhancy@greeneking.co.uk" TargetMode="External"/><Relationship Id="rId735" Type="http://schemas.openxmlformats.org/officeDocument/2006/relationships/hyperlink" Target="mailto:liamhancy@greeneking.co.uk" TargetMode="External"/><Relationship Id="rId942" Type="http://schemas.openxmlformats.org/officeDocument/2006/relationships/hyperlink" Target="mailto:liamhancy@greeneking.co.uk" TargetMode="External"/><Relationship Id="rId167" Type="http://schemas.openxmlformats.org/officeDocument/2006/relationships/hyperlink" Target="mailto:liamhancy@greeneking.co.uk" TargetMode="External"/><Relationship Id="rId374" Type="http://schemas.openxmlformats.org/officeDocument/2006/relationships/hyperlink" Target="mailto:liamhancy@greeneking.co.uk" TargetMode="External"/><Relationship Id="rId581" Type="http://schemas.openxmlformats.org/officeDocument/2006/relationships/hyperlink" Target="mailto:jessicagreen@greeneking.co.uk" TargetMode="External"/><Relationship Id="rId1018" Type="http://schemas.openxmlformats.org/officeDocument/2006/relationships/hyperlink" Target="mailto:liamhancy@greeneking.co.uk" TargetMode="External"/><Relationship Id="rId71" Type="http://schemas.openxmlformats.org/officeDocument/2006/relationships/hyperlink" Target="mailto:tombrown@greeneking.co.uk" TargetMode="External"/><Relationship Id="rId234" Type="http://schemas.openxmlformats.org/officeDocument/2006/relationships/hyperlink" Target="mailto:liamhancy@greeneking.co.uk" TargetMode="External"/><Relationship Id="rId679" Type="http://schemas.openxmlformats.org/officeDocument/2006/relationships/hyperlink" Target="mailto:liamhancy@greeneking.co.uk" TargetMode="External"/><Relationship Id="rId802" Type="http://schemas.openxmlformats.org/officeDocument/2006/relationships/hyperlink" Target="mailto:liamhancy@greeneking.co.uk" TargetMode="External"/><Relationship Id="rId886" Type="http://schemas.openxmlformats.org/officeDocument/2006/relationships/hyperlink" Target="mailto:liamhancy@greeneking.co.uk" TargetMode="External"/><Relationship Id="rId2" Type="http://schemas.openxmlformats.org/officeDocument/2006/relationships/hyperlink" Target="mailto:liamhancy@greeneking.co.uk" TargetMode="External"/><Relationship Id="rId29" Type="http://schemas.openxmlformats.org/officeDocument/2006/relationships/hyperlink" Target="mailto:liamhancy@greeneking.co.uk" TargetMode="External"/><Relationship Id="rId441" Type="http://schemas.openxmlformats.org/officeDocument/2006/relationships/hyperlink" Target="mailto:liamhancy@greeneking.co.uk" TargetMode="External"/><Relationship Id="rId539" Type="http://schemas.openxmlformats.org/officeDocument/2006/relationships/hyperlink" Target="mailto:jessicagreen@greeneking.co.uk" TargetMode="External"/><Relationship Id="rId746" Type="http://schemas.openxmlformats.org/officeDocument/2006/relationships/hyperlink" Target="mailto:kevin.grierson@belhaven.co.uk" TargetMode="External"/><Relationship Id="rId1071" Type="http://schemas.openxmlformats.org/officeDocument/2006/relationships/hyperlink" Target="mailto:liamhancy@greeneking.co.uk" TargetMode="External"/><Relationship Id="rId178" Type="http://schemas.openxmlformats.org/officeDocument/2006/relationships/hyperlink" Target="mailto:liamhancy@greeneking.co.uk" TargetMode="External"/><Relationship Id="rId301" Type="http://schemas.openxmlformats.org/officeDocument/2006/relationships/hyperlink" Target="mailto:benfrater@greeneking.co.uk" TargetMode="External"/><Relationship Id="rId953" Type="http://schemas.openxmlformats.org/officeDocument/2006/relationships/hyperlink" Target="mailto:liamhancy@greeneking.co.uk" TargetMode="External"/><Relationship Id="rId1029" Type="http://schemas.openxmlformats.org/officeDocument/2006/relationships/hyperlink" Target="mailto:liamhancy@greeneking.co.uk" TargetMode="External"/><Relationship Id="rId82" Type="http://schemas.openxmlformats.org/officeDocument/2006/relationships/hyperlink" Target="mailto:tombrown@greeneking.co.uk" TargetMode="External"/><Relationship Id="rId385" Type="http://schemas.openxmlformats.org/officeDocument/2006/relationships/hyperlink" Target="mailto:jessicagreen@greeneking.co.uk" TargetMode="External"/><Relationship Id="rId592" Type="http://schemas.openxmlformats.org/officeDocument/2006/relationships/hyperlink" Target="mailto:liamhancy@greeneking.co.uk" TargetMode="External"/><Relationship Id="rId606" Type="http://schemas.openxmlformats.org/officeDocument/2006/relationships/hyperlink" Target="mailto:liamhancy@greeneking.co.uk" TargetMode="External"/><Relationship Id="rId813" Type="http://schemas.openxmlformats.org/officeDocument/2006/relationships/hyperlink" Target="mailto:liamhancy@greeneking.co.uk" TargetMode="External"/><Relationship Id="rId245" Type="http://schemas.openxmlformats.org/officeDocument/2006/relationships/hyperlink" Target="mailto:jessicagreen@greeneking.co.uk" TargetMode="External"/><Relationship Id="rId452" Type="http://schemas.openxmlformats.org/officeDocument/2006/relationships/hyperlink" Target="mailto:jessicagreen@greeneking.co.uk" TargetMode="External"/><Relationship Id="rId897" Type="http://schemas.openxmlformats.org/officeDocument/2006/relationships/hyperlink" Target="mailto:liamhancy@greeneking.co.uk" TargetMode="External"/><Relationship Id="rId1082" Type="http://schemas.openxmlformats.org/officeDocument/2006/relationships/hyperlink" Target="mailto:liamhancy@greeneking.co.uk" TargetMode="External"/><Relationship Id="rId105" Type="http://schemas.openxmlformats.org/officeDocument/2006/relationships/hyperlink" Target="mailto:jessicagreen@greeneking.co.uk" TargetMode="External"/><Relationship Id="rId312" Type="http://schemas.openxmlformats.org/officeDocument/2006/relationships/hyperlink" Target="mailto:kevin.grierson@belhaven.co.uk" TargetMode="External"/><Relationship Id="rId757" Type="http://schemas.openxmlformats.org/officeDocument/2006/relationships/hyperlink" Target="mailto:liamhancy@greeneking.co.uk" TargetMode="External"/><Relationship Id="rId964" Type="http://schemas.openxmlformats.org/officeDocument/2006/relationships/hyperlink" Target="mailto:liamhancy@greeneking.co.uk" TargetMode="External"/><Relationship Id="rId93" Type="http://schemas.openxmlformats.org/officeDocument/2006/relationships/hyperlink" Target="mailto:jessicagreen@greeneking.co.uk" TargetMode="External"/><Relationship Id="rId189" Type="http://schemas.openxmlformats.org/officeDocument/2006/relationships/hyperlink" Target="mailto:liamhancy@greeneking.co.uk" TargetMode="External"/><Relationship Id="rId396" Type="http://schemas.openxmlformats.org/officeDocument/2006/relationships/hyperlink" Target="mailto:tombrown@greeneking.co.uk" TargetMode="External"/><Relationship Id="rId617" Type="http://schemas.openxmlformats.org/officeDocument/2006/relationships/hyperlink" Target="mailto:jessicagreen@greeneking.co.uk" TargetMode="External"/><Relationship Id="rId824" Type="http://schemas.openxmlformats.org/officeDocument/2006/relationships/hyperlink" Target="mailto:liamhancy@greeneking.co.uk" TargetMode="External"/><Relationship Id="rId256" Type="http://schemas.openxmlformats.org/officeDocument/2006/relationships/hyperlink" Target="mailto:kevin.grierson@belhaven.co.uk" TargetMode="External"/><Relationship Id="rId463" Type="http://schemas.openxmlformats.org/officeDocument/2006/relationships/hyperlink" Target="mailto:liamhancy@greeneking.co.uk" TargetMode="External"/><Relationship Id="rId670" Type="http://schemas.openxmlformats.org/officeDocument/2006/relationships/hyperlink" Target="mailto:liamhancy@greeneking.co.uk" TargetMode="External"/><Relationship Id="rId1093" Type="http://schemas.openxmlformats.org/officeDocument/2006/relationships/hyperlink" Target="mailto:liamhancy@greeneking.co.uk" TargetMode="External"/><Relationship Id="rId1107" Type="http://schemas.openxmlformats.org/officeDocument/2006/relationships/hyperlink" Target="mailto:liamhancy@greeneking.co.uk" TargetMode="External"/><Relationship Id="rId116" Type="http://schemas.openxmlformats.org/officeDocument/2006/relationships/hyperlink" Target="mailto:liamhancy@greeneking.co.uk" TargetMode="External"/><Relationship Id="rId323" Type="http://schemas.openxmlformats.org/officeDocument/2006/relationships/hyperlink" Target="mailto:benfrater@greeneking.co.uk" TargetMode="External"/><Relationship Id="rId530" Type="http://schemas.openxmlformats.org/officeDocument/2006/relationships/hyperlink" Target="mailto:liamhancy@greeneking.co.uk" TargetMode="External"/><Relationship Id="rId768" Type="http://schemas.openxmlformats.org/officeDocument/2006/relationships/hyperlink" Target="mailto:liamhancy@greeneking.co.uk" TargetMode="External"/><Relationship Id="rId975" Type="http://schemas.openxmlformats.org/officeDocument/2006/relationships/hyperlink" Target="mailto:liamhancy@greeneking.co.uk" TargetMode="External"/><Relationship Id="rId20" Type="http://schemas.openxmlformats.org/officeDocument/2006/relationships/hyperlink" Target="mailto:liamhancy@greeneking.co.uk" TargetMode="External"/><Relationship Id="rId628" Type="http://schemas.openxmlformats.org/officeDocument/2006/relationships/hyperlink" Target="mailto:liamhancy@greeneking.co.uk" TargetMode="External"/><Relationship Id="rId835" Type="http://schemas.openxmlformats.org/officeDocument/2006/relationships/hyperlink" Target="mailto:liamhancy@greeneking.co.uk" TargetMode="External"/><Relationship Id="rId267" Type="http://schemas.openxmlformats.org/officeDocument/2006/relationships/hyperlink" Target="mailto:benfrater@greeneking.co.uk" TargetMode="External"/><Relationship Id="rId474" Type="http://schemas.openxmlformats.org/officeDocument/2006/relationships/hyperlink" Target="mailto:jessicagreen@greeneking.co.uk" TargetMode="External"/><Relationship Id="rId1020" Type="http://schemas.openxmlformats.org/officeDocument/2006/relationships/hyperlink" Target="mailto:liamhancy@greeneking.co.uk" TargetMode="External"/><Relationship Id="rId1118" Type="http://schemas.openxmlformats.org/officeDocument/2006/relationships/hyperlink" Target="mailto:liamhancy@greeneking.co.uk" TargetMode="External"/><Relationship Id="rId127" Type="http://schemas.openxmlformats.org/officeDocument/2006/relationships/hyperlink" Target="mailto:jessicagreen@greeneking.co.uk" TargetMode="External"/><Relationship Id="rId681" Type="http://schemas.openxmlformats.org/officeDocument/2006/relationships/hyperlink" Target="mailto:liamhancy@greeneking.co.uk" TargetMode="External"/><Relationship Id="rId779" Type="http://schemas.openxmlformats.org/officeDocument/2006/relationships/hyperlink" Target="mailto:liamhancy@greeneking.co.uk" TargetMode="External"/><Relationship Id="rId902" Type="http://schemas.openxmlformats.org/officeDocument/2006/relationships/hyperlink" Target="mailto:liamhancy@greeneking.co.uk" TargetMode="External"/><Relationship Id="rId986" Type="http://schemas.openxmlformats.org/officeDocument/2006/relationships/hyperlink" Target="mailto:liamhancy@greeneking.co.uk" TargetMode="External"/><Relationship Id="rId31" Type="http://schemas.openxmlformats.org/officeDocument/2006/relationships/hyperlink" Target="mailto:liamhancy@greeneking.co.uk" TargetMode="External"/><Relationship Id="rId334" Type="http://schemas.openxmlformats.org/officeDocument/2006/relationships/hyperlink" Target="mailto:liamhancy@greeneking.co.uk" TargetMode="External"/><Relationship Id="rId541" Type="http://schemas.openxmlformats.org/officeDocument/2006/relationships/hyperlink" Target="mailto:jessicagreen@greeneking.co.uk" TargetMode="External"/><Relationship Id="rId639" Type="http://schemas.openxmlformats.org/officeDocument/2006/relationships/hyperlink" Target="mailto:jessicagreen@greeneking.co.uk" TargetMode="External"/><Relationship Id="rId180" Type="http://schemas.openxmlformats.org/officeDocument/2006/relationships/hyperlink" Target="mailto:liamhancy@greeneking.co.uk" TargetMode="External"/><Relationship Id="rId278" Type="http://schemas.openxmlformats.org/officeDocument/2006/relationships/hyperlink" Target="mailto:kevin.grierson@belhaven.co.uk" TargetMode="External"/><Relationship Id="rId401" Type="http://schemas.openxmlformats.org/officeDocument/2006/relationships/hyperlink" Target="mailto:tombrown@greeneking.co.uk" TargetMode="External"/><Relationship Id="rId846" Type="http://schemas.openxmlformats.org/officeDocument/2006/relationships/hyperlink" Target="mailto:Adamreditt@greeneking.co.uk" TargetMode="External"/><Relationship Id="rId1031" Type="http://schemas.openxmlformats.org/officeDocument/2006/relationships/hyperlink" Target="mailto:liamhancy@greeneking.co.uk" TargetMode="External"/><Relationship Id="rId1129" Type="http://schemas.openxmlformats.org/officeDocument/2006/relationships/hyperlink" Target="mailto:liamhancy@greeneking.co.uk" TargetMode="External"/><Relationship Id="rId485" Type="http://schemas.openxmlformats.org/officeDocument/2006/relationships/hyperlink" Target="mailto:liamhancy@greeneking.co.uk" TargetMode="External"/><Relationship Id="rId692" Type="http://schemas.openxmlformats.org/officeDocument/2006/relationships/hyperlink" Target="mailto:liamhancy@greeneking.co.uk" TargetMode="External"/><Relationship Id="rId706" Type="http://schemas.openxmlformats.org/officeDocument/2006/relationships/hyperlink" Target="mailto:liamhancy@greeneking.co.uk" TargetMode="External"/><Relationship Id="rId913" Type="http://schemas.openxmlformats.org/officeDocument/2006/relationships/hyperlink" Target="mailto:liamhancy@greeneking.co.uk" TargetMode="External"/><Relationship Id="rId42" Type="http://schemas.openxmlformats.org/officeDocument/2006/relationships/hyperlink" Target="mailto:liamhancy@greeneking.co.uk" TargetMode="External"/><Relationship Id="rId138" Type="http://schemas.openxmlformats.org/officeDocument/2006/relationships/hyperlink" Target="mailto:liamhancy@greeneking.co.uk" TargetMode="External"/><Relationship Id="rId345" Type="http://schemas.openxmlformats.org/officeDocument/2006/relationships/hyperlink" Target="mailto:jessicagreen@greeneking.co.uk" TargetMode="External"/><Relationship Id="rId552" Type="http://schemas.openxmlformats.org/officeDocument/2006/relationships/hyperlink" Target="mailto:liamhancy@greeneking.co.uk" TargetMode="External"/><Relationship Id="rId997" Type="http://schemas.openxmlformats.org/officeDocument/2006/relationships/hyperlink" Target="mailto:liamhancy@greeneking.co.uk" TargetMode="External"/><Relationship Id="rId191" Type="http://schemas.openxmlformats.org/officeDocument/2006/relationships/hyperlink" Target="mailto:liamhancy@greeneking.co.uk" TargetMode="External"/><Relationship Id="rId205" Type="http://schemas.openxmlformats.org/officeDocument/2006/relationships/hyperlink" Target="mailto:liamhancy@greeneking.co.uk" TargetMode="External"/><Relationship Id="rId412" Type="http://schemas.openxmlformats.org/officeDocument/2006/relationships/hyperlink" Target="mailto:tombrown@greeneking.co.uk" TargetMode="External"/><Relationship Id="rId857" Type="http://schemas.openxmlformats.org/officeDocument/2006/relationships/hyperlink" Target="mailto:tombrown@greeneking.co.uk" TargetMode="External"/><Relationship Id="rId1042" Type="http://schemas.openxmlformats.org/officeDocument/2006/relationships/hyperlink" Target="mailto:liamhancy@greeneking.co.uk" TargetMode="External"/><Relationship Id="rId289" Type="http://schemas.openxmlformats.org/officeDocument/2006/relationships/hyperlink" Target="mailto:benfrater@greeneking.co.uk" TargetMode="External"/><Relationship Id="rId496" Type="http://schemas.openxmlformats.org/officeDocument/2006/relationships/hyperlink" Target="mailto:jessicagreen@greeneking.co.uk" TargetMode="External"/><Relationship Id="rId717" Type="http://schemas.openxmlformats.org/officeDocument/2006/relationships/hyperlink" Target="mailto:liamhancy@greeneking.co.uk" TargetMode="External"/><Relationship Id="rId924" Type="http://schemas.openxmlformats.org/officeDocument/2006/relationships/hyperlink" Target="mailto:Adamreditt@greeneking.co.uk" TargetMode="External"/><Relationship Id="rId53" Type="http://schemas.openxmlformats.org/officeDocument/2006/relationships/hyperlink" Target="mailto:jessicagreen@greeneking.co.uk" TargetMode="External"/><Relationship Id="rId149" Type="http://schemas.openxmlformats.org/officeDocument/2006/relationships/hyperlink" Target="mailto:liamhancy@greeneking.co.uk" TargetMode="External"/><Relationship Id="rId356" Type="http://schemas.openxmlformats.org/officeDocument/2006/relationships/hyperlink" Target="mailto:liamhancy@greeneking.co.uk" TargetMode="External"/><Relationship Id="rId563" Type="http://schemas.openxmlformats.org/officeDocument/2006/relationships/hyperlink" Target="mailto:jessicagreen@greeneking.co.uk" TargetMode="External"/><Relationship Id="rId770" Type="http://schemas.openxmlformats.org/officeDocument/2006/relationships/hyperlink" Target="mailto:liamhancy@greeneking.co.uk" TargetMode="External"/><Relationship Id="rId216" Type="http://schemas.openxmlformats.org/officeDocument/2006/relationships/hyperlink" Target="mailto:liamhancy@greeneking.co.uk" TargetMode="External"/><Relationship Id="rId423" Type="http://schemas.openxmlformats.org/officeDocument/2006/relationships/hyperlink" Target="mailto:liamhancy@greeneking.co.uk" TargetMode="External"/><Relationship Id="rId868" Type="http://schemas.openxmlformats.org/officeDocument/2006/relationships/hyperlink" Target="mailto:tombrown@greeneking.co.uk" TargetMode="External"/><Relationship Id="rId1053" Type="http://schemas.openxmlformats.org/officeDocument/2006/relationships/hyperlink" Target="mailto:liamhancy@greeneking.co.uk" TargetMode="External"/><Relationship Id="rId630" Type="http://schemas.openxmlformats.org/officeDocument/2006/relationships/hyperlink" Target="mailto:liamhancy@greeneking.co.uk" TargetMode="External"/><Relationship Id="rId728" Type="http://schemas.openxmlformats.org/officeDocument/2006/relationships/hyperlink" Target="mailto:liamhancy@greeneking.co.uk" TargetMode="External"/><Relationship Id="rId935" Type="http://schemas.openxmlformats.org/officeDocument/2006/relationships/hyperlink" Target="mailto:tombrown@greeneking.co.uk" TargetMode="External"/><Relationship Id="rId64" Type="http://schemas.openxmlformats.org/officeDocument/2006/relationships/hyperlink" Target="mailto:liamhancy@greeneking.co.uk" TargetMode="External"/><Relationship Id="rId367" Type="http://schemas.openxmlformats.org/officeDocument/2006/relationships/hyperlink" Target="mailto:liamhancy@greeneking.co.uk" TargetMode="External"/><Relationship Id="rId574" Type="http://schemas.openxmlformats.org/officeDocument/2006/relationships/hyperlink" Target="mailto:liamhancy@greeneking.co.uk" TargetMode="External"/><Relationship Id="rId1120" Type="http://schemas.openxmlformats.org/officeDocument/2006/relationships/hyperlink" Target="mailto:liamhancy@greeneking.co.uk" TargetMode="External"/><Relationship Id="rId227" Type="http://schemas.openxmlformats.org/officeDocument/2006/relationships/hyperlink" Target="mailto:liamhancy@greeneking.co.uk" TargetMode="External"/><Relationship Id="rId781" Type="http://schemas.openxmlformats.org/officeDocument/2006/relationships/hyperlink" Target="mailto:liamhancy@greeneking.co.uk" TargetMode="External"/><Relationship Id="rId879" Type="http://schemas.openxmlformats.org/officeDocument/2006/relationships/hyperlink" Target="mailto:tombrown@greeneking.co.uk" TargetMode="External"/><Relationship Id="rId434" Type="http://schemas.openxmlformats.org/officeDocument/2006/relationships/hyperlink" Target="mailto:jessicagreen@greeneking.co.uk" TargetMode="External"/><Relationship Id="rId641" Type="http://schemas.openxmlformats.org/officeDocument/2006/relationships/hyperlink" Target="mailto:jessicagreen@greeneking.co.uk" TargetMode="External"/><Relationship Id="rId739" Type="http://schemas.openxmlformats.org/officeDocument/2006/relationships/hyperlink" Target="mailto:benfrater@greeneking.co.uk" TargetMode="External"/><Relationship Id="rId1064" Type="http://schemas.openxmlformats.org/officeDocument/2006/relationships/hyperlink" Target="mailto:liamhancy@greeneking.co.uk" TargetMode="External"/><Relationship Id="rId280" Type="http://schemas.openxmlformats.org/officeDocument/2006/relationships/hyperlink" Target="mailto:kevin.grierson@belhaven.co.uk" TargetMode="External"/><Relationship Id="rId501" Type="http://schemas.openxmlformats.org/officeDocument/2006/relationships/hyperlink" Target="mailto:liamhancy@greeneking.co.uk" TargetMode="External"/><Relationship Id="rId946" Type="http://schemas.openxmlformats.org/officeDocument/2006/relationships/hyperlink" Target="mailto:liamhancy@greeneking.co.uk" TargetMode="External"/><Relationship Id="rId1131" Type="http://schemas.openxmlformats.org/officeDocument/2006/relationships/hyperlink" Target="mailto:liamhancy@greeneking.co.uk" TargetMode="External"/><Relationship Id="rId75" Type="http://schemas.openxmlformats.org/officeDocument/2006/relationships/hyperlink" Target="mailto:tombrown@greeneking.co.uk" TargetMode="External"/><Relationship Id="rId140" Type="http://schemas.openxmlformats.org/officeDocument/2006/relationships/hyperlink" Target="mailto:jessicagreen@greeneking.co.uk" TargetMode="External"/><Relationship Id="rId378" Type="http://schemas.openxmlformats.org/officeDocument/2006/relationships/hyperlink" Target="mailto:liamhancy@greeneking.co.uk" TargetMode="External"/><Relationship Id="rId585" Type="http://schemas.openxmlformats.org/officeDocument/2006/relationships/hyperlink" Target="mailto:jessicagreen@greeneking.co.uk" TargetMode="External"/><Relationship Id="rId792" Type="http://schemas.openxmlformats.org/officeDocument/2006/relationships/hyperlink" Target="mailto:liamhancy@greeneking.co.uk" TargetMode="External"/><Relationship Id="rId806" Type="http://schemas.openxmlformats.org/officeDocument/2006/relationships/hyperlink" Target="mailto:liamhancy@greeneking.co.uk" TargetMode="External"/><Relationship Id="rId6" Type="http://schemas.openxmlformats.org/officeDocument/2006/relationships/hyperlink" Target="mailto:liamhancy@greeneking.co.uk" TargetMode="External"/><Relationship Id="rId238" Type="http://schemas.openxmlformats.org/officeDocument/2006/relationships/hyperlink" Target="mailto:liamhancy@greeneking.co.uk" TargetMode="External"/><Relationship Id="rId445" Type="http://schemas.openxmlformats.org/officeDocument/2006/relationships/hyperlink" Target="mailto:liamhancy@greeneking.co.uk" TargetMode="External"/><Relationship Id="rId652" Type="http://schemas.openxmlformats.org/officeDocument/2006/relationships/hyperlink" Target="mailto:liamhancy@greeneking.co.uk" TargetMode="External"/><Relationship Id="rId1075" Type="http://schemas.openxmlformats.org/officeDocument/2006/relationships/hyperlink" Target="mailto:liamhancy@greeneking.co.uk" TargetMode="External"/><Relationship Id="rId291" Type="http://schemas.openxmlformats.org/officeDocument/2006/relationships/hyperlink" Target="mailto:benfrater@greeneking.co.uk" TargetMode="External"/><Relationship Id="rId305" Type="http://schemas.openxmlformats.org/officeDocument/2006/relationships/hyperlink" Target="mailto:benfrater@greeneking.co.uk" TargetMode="External"/><Relationship Id="rId512" Type="http://schemas.openxmlformats.org/officeDocument/2006/relationships/hyperlink" Target="mailto:liamhancy@greeneking.co.uk" TargetMode="External"/><Relationship Id="rId957" Type="http://schemas.openxmlformats.org/officeDocument/2006/relationships/hyperlink" Target="mailto:liamhancy@greeneking.co.uk" TargetMode="External"/><Relationship Id="rId86" Type="http://schemas.openxmlformats.org/officeDocument/2006/relationships/hyperlink" Target="mailto:liamhancy@greeneking.co.uk" TargetMode="External"/><Relationship Id="rId151" Type="http://schemas.openxmlformats.org/officeDocument/2006/relationships/hyperlink" Target="mailto:liamhancy@greeneking.co.uk" TargetMode="External"/><Relationship Id="rId389" Type="http://schemas.openxmlformats.org/officeDocument/2006/relationships/hyperlink" Target="mailto:tombrown@greeneking.co.uk" TargetMode="External"/><Relationship Id="rId596" Type="http://schemas.openxmlformats.org/officeDocument/2006/relationships/hyperlink" Target="mailto:liamhancy@greeneking.co.uk" TargetMode="External"/><Relationship Id="rId817" Type="http://schemas.openxmlformats.org/officeDocument/2006/relationships/hyperlink" Target="mailto:liamhancy@greeneking.co.uk" TargetMode="External"/><Relationship Id="rId1002" Type="http://schemas.openxmlformats.org/officeDocument/2006/relationships/hyperlink" Target="mailto:liamhancy@greeneking.co.uk" TargetMode="External"/><Relationship Id="rId249" Type="http://schemas.openxmlformats.org/officeDocument/2006/relationships/hyperlink" Target="mailto:jessicagreen@greeneking.co.uk" TargetMode="External"/><Relationship Id="rId456" Type="http://schemas.openxmlformats.org/officeDocument/2006/relationships/hyperlink" Target="mailto:jessicagreen@greeneking.co.uk" TargetMode="External"/><Relationship Id="rId663" Type="http://schemas.openxmlformats.org/officeDocument/2006/relationships/hyperlink" Target="mailto:liamhancy@greeneking.co.uk" TargetMode="External"/><Relationship Id="rId870" Type="http://schemas.openxmlformats.org/officeDocument/2006/relationships/hyperlink" Target="mailto:tombrown@greeneking.co.uk" TargetMode="External"/><Relationship Id="rId1086" Type="http://schemas.openxmlformats.org/officeDocument/2006/relationships/hyperlink" Target="mailto:liamhancy@greeneking.co.uk" TargetMode="External"/><Relationship Id="rId13" Type="http://schemas.openxmlformats.org/officeDocument/2006/relationships/hyperlink" Target="mailto:jessicagreen@greeneking.co.uk" TargetMode="External"/><Relationship Id="rId109" Type="http://schemas.openxmlformats.org/officeDocument/2006/relationships/hyperlink" Target="mailto:jessicagreen@greeneking.co.uk" TargetMode="External"/><Relationship Id="rId316" Type="http://schemas.openxmlformats.org/officeDocument/2006/relationships/hyperlink" Target="mailto:kevin.grierson@belhaven.co.uk" TargetMode="External"/><Relationship Id="rId523" Type="http://schemas.openxmlformats.org/officeDocument/2006/relationships/hyperlink" Target="mailto:jessicagreen@greeneking.co.uk" TargetMode="External"/><Relationship Id="rId968" Type="http://schemas.openxmlformats.org/officeDocument/2006/relationships/hyperlink" Target="mailto:liamhancy@greeneking.co.uk" TargetMode="External"/><Relationship Id="rId97" Type="http://schemas.openxmlformats.org/officeDocument/2006/relationships/hyperlink" Target="mailto:jessicagreen@greeneking.co.uk" TargetMode="External"/><Relationship Id="rId730" Type="http://schemas.openxmlformats.org/officeDocument/2006/relationships/hyperlink" Target="mailto:liamhancy@greeneking.co.uk" TargetMode="External"/><Relationship Id="rId828" Type="http://schemas.openxmlformats.org/officeDocument/2006/relationships/hyperlink" Target="mailto:liamhancy@greeneking.co.uk" TargetMode="External"/><Relationship Id="rId1013" Type="http://schemas.openxmlformats.org/officeDocument/2006/relationships/hyperlink" Target="mailto:liamhancy@greeneking.co.uk" TargetMode="External"/><Relationship Id="rId162" Type="http://schemas.openxmlformats.org/officeDocument/2006/relationships/hyperlink" Target="mailto:liamhancy@greeneking.co.uk" TargetMode="External"/><Relationship Id="rId467" Type="http://schemas.openxmlformats.org/officeDocument/2006/relationships/hyperlink" Target="mailto:liamhancy@greeneking.co.uk" TargetMode="External"/><Relationship Id="rId1097" Type="http://schemas.openxmlformats.org/officeDocument/2006/relationships/hyperlink" Target="mailto:liamhancy@greeneking.co.uk" TargetMode="External"/><Relationship Id="rId674" Type="http://schemas.openxmlformats.org/officeDocument/2006/relationships/hyperlink" Target="mailto:liamhancy@greeneking.co.uk" TargetMode="External"/><Relationship Id="rId881" Type="http://schemas.openxmlformats.org/officeDocument/2006/relationships/hyperlink" Target="mailto:tombrown@greeneking.co.uk" TargetMode="External"/><Relationship Id="rId979" Type="http://schemas.openxmlformats.org/officeDocument/2006/relationships/hyperlink" Target="mailto:liamhancy@greeneking.co.uk" TargetMode="External"/><Relationship Id="rId24" Type="http://schemas.openxmlformats.org/officeDocument/2006/relationships/hyperlink" Target="mailto:liamhancy@greeneking.co.uk" TargetMode="External"/><Relationship Id="rId327" Type="http://schemas.openxmlformats.org/officeDocument/2006/relationships/hyperlink" Target="mailto:benfrater@greeneking.co.uk" TargetMode="External"/><Relationship Id="rId534" Type="http://schemas.openxmlformats.org/officeDocument/2006/relationships/hyperlink" Target="mailto:liamhancy@greeneking.co.uk" TargetMode="External"/><Relationship Id="rId741" Type="http://schemas.openxmlformats.org/officeDocument/2006/relationships/hyperlink" Target="mailto:benfrater@greeneking.co.uk" TargetMode="External"/><Relationship Id="rId839" Type="http://schemas.openxmlformats.org/officeDocument/2006/relationships/hyperlink" Target="mailto:liamhancy@greeneking.co.uk" TargetMode="External"/><Relationship Id="rId173" Type="http://schemas.openxmlformats.org/officeDocument/2006/relationships/hyperlink" Target="mailto:liamhancy@greeneking.co.uk" TargetMode="External"/><Relationship Id="rId380" Type="http://schemas.openxmlformats.org/officeDocument/2006/relationships/hyperlink" Target="mailto:liamhancy@greeneking.co.uk" TargetMode="External"/><Relationship Id="rId601" Type="http://schemas.openxmlformats.org/officeDocument/2006/relationships/hyperlink" Target="mailto:jessicagreen@greeneking.co.uk" TargetMode="External"/><Relationship Id="rId1024" Type="http://schemas.openxmlformats.org/officeDocument/2006/relationships/hyperlink" Target="mailto:liamhancy@greeneking.co.uk" TargetMode="External"/><Relationship Id="rId240" Type="http://schemas.openxmlformats.org/officeDocument/2006/relationships/hyperlink" Target="mailto:liamhancy@greeneking.co.uk" TargetMode="External"/><Relationship Id="rId478" Type="http://schemas.openxmlformats.org/officeDocument/2006/relationships/hyperlink" Target="mailto:jessicagreen@greeneking.co.uk" TargetMode="External"/><Relationship Id="rId685" Type="http://schemas.openxmlformats.org/officeDocument/2006/relationships/hyperlink" Target="mailto:jessicagreen@greeneking.co.uk" TargetMode="External"/><Relationship Id="rId892" Type="http://schemas.openxmlformats.org/officeDocument/2006/relationships/hyperlink" Target="mailto:liamhancy@greeneking.co.uk" TargetMode="External"/><Relationship Id="rId906" Type="http://schemas.openxmlformats.org/officeDocument/2006/relationships/hyperlink" Target="mailto:tombrown@greeneking.co.uk" TargetMode="External"/><Relationship Id="rId35" Type="http://schemas.openxmlformats.org/officeDocument/2006/relationships/hyperlink" Target="mailto:liamhancy@greeneking.co.uk" TargetMode="External"/><Relationship Id="rId100" Type="http://schemas.openxmlformats.org/officeDocument/2006/relationships/hyperlink" Target="mailto:liamhancy@greeneking.co.uk" TargetMode="External"/><Relationship Id="rId338" Type="http://schemas.openxmlformats.org/officeDocument/2006/relationships/hyperlink" Target="mailto:liamhancy@greeneking.co.uk" TargetMode="External"/><Relationship Id="rId545" Type="http://schemas.openxmlformats.org/officeDocument/2006/relationships/hyperlink" Target="mailto:jessicagreen@greeneking.co.uk" TargetMode="External"/><Relationship Id="rId752" Type="http://schemas.openxmlformats.org/officeDocument/2006/relationships/hyperlink" Target="mailto:liamhancy@greeneking.co.uk" TargetMode="External"/><Relationship Id="rId184" Type="http://schemas.openxmlformats.org/officeDocument/2006/relationships/hyperlink" Target="mailto:liamhancy@greeneking.co.uk" TargetMode="External"/><Relationship Id="rId391" Type="http://schemas.openxmlformats.org/officeDocument/2006/relationships/hyperlink" Target="mailto:tombrown@greeneking.co.uk" TargetMode="External"/><Relationship Id="rId405" Type="http://schemas.openxmlformats.org/officeDocument/2006/relationships/hyperlink" Target="mailto:Adamreditt@greeneking.co.uk" TargetMode="External"/><Relationship Id="rId612" Type="http://schemas.openxmlformats.org/officeDocument/2006/relationships/hyperlink" Target="mailto:liamhancy@greeneking.co.uk" TargetMode="External"/><Relationship Id="rId1035" Type="http://schemas.openxmlformats.org/officeDocument/2006/relationships/hyperlink" Target="mailto:liamhancy@greeneking.co.uk" TargetMode="External"/><Relationship Id="rId251" Type="http://schemas.openxmlformats.org/officeDocument/2006/relationships/hyperlink" Target="mailto:benfrater@greeneking.co.uk" TargetMode="External"/><Relationship Id="rId489" Type="http://schemas.openxmlformats.org/officeDocument/2006/relationships/hyperlink" Target="mailto:liamhancy@greeneking.co.uk" TargetMode="External"/><Relationship Id="rId696" Type="http://schemas.openxmlformats.org/officeDocument/2006/relationships/hyperlink" Target="mailto:liamhancy@greeneking.co.uk" TargetMode="External"/><Relationship Id="rId917" Type="http://schemas.openxmlformats.org/officeDocument/2006/relationships/hyperlink" Target="mailto:tombrown@greeneking.co.uk" TargetMode="External"/><Relationship Id="rId1102" Type="http://schemas.openxmlformats.org/officeDocument/2006/relationships/hyperlink" Target="mailto:liamhancy@greeneking.co.uk" TargetMode="External"/><Relationship Id="rId46" Type="http://schemas.openxmlformats.org/officeDocument/2006/relationships/hyperlink" Target="mailto:liamhancy@greeneking.co.uk" TargetMode="External"/><Relationship Id="rId349" Type="http://schemas.openxmlformats.org/officeDocument/2006/relationships/hyperlink" Target="mailto:liamhancy@greeneking.co.uk" TargetMode="External"/><Relationship Id="rId556" Type="http://schemas.openxmlformats.org/officeDocument/2006/relationships/hyperlink" Target="mailto:liamhancy@greeneking.co.uk" TargetMode="External"/><Relationship Id="rId763" Type="http://schemas.openxmlformats.org/officeDocument/2006/relationships/hyperlink" Target="mailto:liamhancy@greeneking.co.uk" TargetMode="External"/><Relationship Id="rId111" Type="http://schemas.openxmlformats.org/officeDocument/2006/relationships/hyperlink" Target="mailto:jessicagreen@greeneking.co.uk" TargetMode="External"/><Relationship Id="rId195" Type="http://schemas.openxmlformats.org/officeDocument/2006/relationships/hyperlink" Target="mailto:liamhancy@greeneking.co.uk" TargetMode="External"/><Relationship Id="rId209" Type="http://schemas.openxmlformats.org/officeDocument/2006/relationships/hyperlink" Target="mailto:liamhancy@greeneking.co.uk" TargetMode="External"/><Relationship Id="rId416" Type="http://schemas.openxmlformats.org/officeDocument/2006/relationships/hyperlink" Target="mailto:tombrown@greeneking.co.uk" TargetMode="External"/><Relationship Id="rId970" Type="http://schemas.openxmlformats.org/officeDocument/2006/relationships/hyperlink" Target="mailto:liamhancy@greeneking.co.uk" TargetMode="External"/><Relationship Id="rId1046" Type="http://schemas.openxmlformats.org/officeDocument/2006/relationships/hyperlink" Target="mailto:liamhancy@greeneking.co.uk" TargetMode="External"/><Relationship Id="rId623" Type="http://schemas.openxmlformats.org/officeDocument/2006/relationships/hyperlink" Target="mailto:jessicagreen@greeneking.co.uk" TargetMode="External"/><Relationship Id="rId830" Type="http://schemas.openxmlformats.org/officeDocument/2006/relationships/hyperlink" Target="mailto:liamhancy@greeneking.co.uk" TargetMode="External"/><Relationship Id="rId928" Type="http://schemas.openxmlformats.org/officeDocument/2006/relationships/hyperlink" Target="mailto:tombrown@greeneking.co.uk" TargetMode="External"/><Relationship Id="rId57" Type="http://schemas.openxmlformats.org/officeDocument/2006/relationships/hyperlink" Target="mailto:jessicagreen@greeneking.co.uk" TargetMode="External"/><Relationship Id="rId262" Type="http://schemas.openxmlformats.org/officeDocument/2006/relationships/hyperlink" Target="mailto:kevin.grierson@belhaven.co.uk" TargetMode="External"/><Relationship Id="rId567" Type="http://schemas.openxmlformats.org/officeDocument/2006/relationships/hyperlink" Target="mailto:jessicagreen@greeneking.co.uk" TargetMode="External"/><Relationship Id="rId1113" Type="http://schemas.openxmlformats.org/officeDocument/2006/relationships/hyperlink" Target="mailto:liamhancy@greeneking.co.uk" TargetMode="External"/><Relationship Id="rId122" Type="http://schemas.openxmlformats.org/officeDocument/2006/relationships/hyperlink" Target="mailto:liamhancy@greeneking.co.uk" TargetMode="External"/><Relationship Id="rId774" Type="http://schemas.openxmlformats.org/officeDocument/2006/relationships/hyperlink" Target="mailto:liamhancy@greeneking.co.uk" TargetMode="External"/><Relationship Id="rId981" Type="http://schemas.openxmlformats.org/officeDocument/2006/relationships/hyperlink" Target="mailto:liamhancy@greeneking.co.uk" TargetMode="External"/><Relationship Id="rId1057" Type="http://schemas.openxmlformats.org/officeDocument/2006/relationships/hyperlink" Target="mailto:liamhancy@greeneking.co.uk" TargetMode="External"/><Relationship Id="rId427" Type="http://schemas.openxmlformats.org/officeDocument/2006/relationships/hyperlink" Target="mailto:liamhancy@greeneking.co.uk" TargetMode="External"/><Relationship Id="rId634" Type="http://schemas.openxmlformats.org/officeDocument/2006/relationships/hyperlink" Target="mailto:liamhancy@greeneking.co.uk" TargetMode="External"/><Relationship Id="rId841" Type="http://schemas.openxmlformats.org/officeDocument/2006/relationships/hyperlink" Target="mailto:tombrown@greeneking.co.uk" TargetMode="External"/><Relationship Id="rId273" Type="http://schemas.openxmlformats.org/officeDocument/2006/relationships/hyperlink" Target="mailto:benfrater@greeneking.co.uk" TargetMode="External"/><Relationship Id="rId480" Type="http://schemas.openxmlformats.org/officeDocument/2006/relationships/hyperlink" Target="mailto:jessicagreen@greeneking.co.uk" TargetMode="External"/><Relationship Id="rId701" Type="http://schemas.openxmlformats.org/officeDocument/2006/relationships/hyperlink" Target="mailto:jessicagreen@greeneking.co.uk" TargetMode="External"/><Relationship Id="rId939" Type="http://schemas.openxmlformats.org/officeDocument/2006/relationships/hyperlink" Target="mailto:liamhancy@greeneking.co.uk" TargetMode="External"/><Relationship Id="rId1124" Type="http://schemas.openxmlformats.org/officeDocument/2006/relationships/hyperlink" Target="mailto:liamhancy@greeneking.co.uk" TargetMode="External"/><Relationship Id="rId68" Type="http://schemas.openxmlformats.org/officeDocument/2006/relationships/hyperlink" Target="mailto:liamhancy@greeneking.co.uk" TargetMode="External"/><Relationship Id="rId133" Type="http://schemas.openxmlformats.org/officeDocument/2006/relationships/hyperlink" Target="mailto:tombrown@greeneking.co.uk" TargetMode="External"/><Relationship Id="rId340" Type="http://schemas.openxmlformats.org/officeDocument/2006/relationships/hyperlink" Target="mailto:liamhancy@greeneking.co.uk" TargetMode="External"/><Relationship Id="rId578" Type="http://schemas.openxmlformats.org/officeDocument/2006/relationships/hyperlink" Target="mailto:liamhancy@greeneking.co.uk" TargetMode="External"/><Relationship Id="rId785" Type="http://schemas.openxmlformats.org/officeDocument/2006/relationships/hyperlink" Target="mailto:liamhancy@greeneking.co.uk" TargetMode="External"/><Relationship Id="rId992" Type="http://schemas.openxmlformats.org/officeDocument/2006/relationships/hyperlink" Target="mailto:liamhancy@greeneking.co.uk" TargetMode="External"/><Relationship Id="rId200" Type="http://schemas.openxmlformats.org/officeDocument/2006/relationships/hyperlink" Target="mailto:liamhancy@greeneking.co.uk" TargetMode="External"/><Relationship Id="rId438" Type="http://schemas.openxmlformats.org/officeDocument/2006/relationships/hyperlink" Target="mailto:jessicagreen@greeneking.co.uk" TargetMode="External"/><Relationship Id="rId645" Type="http://schemas.openxmlformats.org/officeDocument/2006/relationships/hyperlink" Target="mailto:liamhancy@greeneking.co.uk" TargetMode="External"/><Relationship Id="rId852" Type="http://schemas.openxmlformats.org/officeDocument/2006/relationships/hyperlink" Target="mailto:Adamreditt@greeneking.co.uk" TargetMode="External"/><Relationship Id="rId1068" Type="http://schemas.openxmlformats.org/officeDocument/2006/relationships/hyperlink" Target="mailto:liamhancy@greeneking.co.uk" TargetMode="External"/><Relationship Id="rId284" Type="http://schemas.openxmlformats.org/officeDocument/2006/relationships/hyperlink" Target="mailto:kevin.grierson@belhaven.co.uk" TargetMode="External"/><Relationship Id="rId491" Type="http://schemas.openxmlformats.org/officeDocument/2006/relationships/hyperlink" Target="mailto:liamhancy@greeneking.co.uk" TargetMode="External"/><Relationship Id="rId505" Type="http://schemas.openxmlformats.org/officeDocument/2006/relationships/hyperlink" Target="mailto:liamhancy@greeneking.co.uk" TargetMode="External"/><Relationship Id="rId712" Type="http://schemas.openxmlformats.org/officeDocument/2006/relationships/hyperlink" Target="mailto:liamhancy@greeneking.co.uk" TargetMode="External"/><Relationship Id="rId79" Type="http://schemas.openxmlformats.org/officeDocument/2006/relationships/hyperlink" Target="mailto:tombrown@greeneking.co.uk" TargetMode="External"/><Relationship Id="rId144" Type="http://schemas.openxmlformats.org/officeDocument/2006/relationships/hyperlink" Target="mailto:jessicagreen@greeneking.co.uk" TargetMode="External"/><Relationship Id="rId589" Type="http://schemas.openxmlformats.org/officeDocument/2006/relationships/hyperlink" Target="mailto:jessicagreen@greeneking.co.uk" TargetMode="External"/><Relationship Id="rId796" Type="http://schemas.openxmlformats.org/officeDocument/2006/relationships/hyperlink" Target="mailto:liamhancy@greeneking.co.uk" TargetMode="External"/><Relationship Id="rId351" Type="http://schemas.openxmlformats.org/officeDocument/2006/relationships/hyperlink" Target="mailto:liamhancy@greeneking.co.uk" TargetMode="External"/><Relationship Id="rId449" Type="http://schemas.openxmlformats.org/officeDocument/2006/relationships/hyperlink" Target="mailto:liamhancy@greeneking.co.uk" TargetMode="External"/><Relationship Id="rId656" Type="http://schemas.openxmlformats.org/officeDocument/2006/relationships/hyperlink" Target="mailto:liamhancy@greeneking.co.uk" TargetMode="External"/><Relationship Id="rId863" Type="http://schemas.openxmlformats.org/officeDocument/2006/relationships/hyperlink" Target="mailto:tombrown@greeneking.co.uk" TargetMode="External"/><Relationship Id="rId1079" Type="http://schemas.openxmlformats.org/officeDocument/2006/relationships/hyperlink" Target="mailto:liamhancy@greeneking.co.uk" TargetMode="External"/><Relationship Id="rId211" Type="http://schemas.openxmlformats.org/officeDocument/2006/relationships/hyperlink" Target="mailto:liamhancy@greeneking.co.uk" TargetMode="External"/><Relationship Id="rId295" Type="http://schemas.openxmlformats.org/officeDocument/2006/relationships/hyperlink" Target="mailto:benfrater@greeneking.co.uk" TargetMode="External"/><Relationship Id="rId309" Type="http://schemas.openxmlformats.org/officeDocument/2006/relationships/hyperlink" Target="mailto:benfrater@greeneking.co.uk" TargetMode="External"/><Relationship Id="rId516" Type="http://schemas.openxmlformats.org/officeDocument/2006/relationships/hyperlink" Target="mailto:liamhancy@greeneking.co.uk" TargetMode="External"/><Relationship Id="rId723" Type="http://schemas.openxmlformats.org/officeDocument/2006/relationships/hyperlink" Target="mailto:liamhancy@greeneking.co.uk" TargetMode="External"/><Relationship Id="rId930" Type="http://schemas.openxmlformats.org/officeDocument/2006/relationships/hyperlink" Target="mailto:tombrown@greeneking.co.uk" TargetMode="External"/><Relationship Id="rId1006" Type="http://schemas.openxmlformats.org/officeDocument/2006/relationships/hyperlink" Target="mailto:liamhancy@greeneking.co.uk" TargetMode="External"/><Relationship Id="rId155" Type="http://schemas.openxmlformats.org/officeDocument/2006/relationships/hyperlink" Target="mailto:liamhancy@greeneking.co.uk" TargetMode="External"/><Relationship Id="rId362" Type="http://schemas.openxmlformats.org/officeDocument/2006/relationships/hyperlink" Target="mailto:liamhancy@greeneking.co.uk" TargetMode="External"/><Relationship Id="rId222" Type="http://schemas.openxmlformats.org/officeDocument/2006/relationships/hyperlink" Target="mailto:liamhancy@greeneking.co.uk" TargetMode="External"/><Relationship Id="rId667" Type="http://schemas.openxmlformats.org/officeDocument/2006/relationships/hyperlink" Target="mailto:liamhancy@greeneking.co.uk" TargetMode="External"/><Relationship Id="rId874" Type="http://schemas.openxmlformats.org/officeDocument/2006/relationships/hyperlink" Target="mailto:tombrown@greeneking.co.uk" TargetMode="External"/><Relationship Id="rId17" Type="http://schemas.openxmlformats.org/officeDocument/2006/relationships/hyperlink" Target="mailto:jessicagreen@greeneking.co.uk" TargetMode="External"/><Relationship Id="rId527" Type="http://schemas.openxmlformats.org/officeDocument/2006/relationships/hyperlink" Target="mailto:jessicagreen@greeneking.co.uk" TargetMode="External"/><Relationship Id="rId734" Type="http://schemas.openxmlformats.org/officeDocument/2006/relationships/hyperlink" Target="mailto:liamhancy@greeneking.co.uk" TargetMode="External"/><Relationship Id="rId941" Type="http://schemas.openxmlformats.org/officeDocument/2006/relationships/hyperlink" Target="mailto:liamhancy@greeneking.co.uk" TargetMode="External"/><Relationship Id="rId70" Type="http://schemas.openxmlformats.org/officeDocument/2006/relationships/hyperlink" Target="mailto:liamhancy@greeneking.co.uk" TargetMode="External"/><Relationship Id="rId166" Type="http://schemas.openxmlformats.org/officeDocument/2006/relationships/hyperlink" Target="mailto:liamhancy@greeneking.co.uk" TargetMode="External"/><Relationship Id="rId373" Type="http://schemas.openxmlformats.org/officeDocument/2006/relationships/hyperlink" Target="mailto:jessicagreen@greeneking.co.uk" TargetMode="External"/><Relationship Id="rId580" Type="http://schemas.openxmlformats.org/officeDocument/2006/relationships/hyperlink" Target="mailto:liamhancy@greeneking.co.uk" TargetMode="External"/><Relationship Id="rId801" Type="http://schemas.openxmlformats.org/officeDocument/2006/relationships/hyperlink" Target="mailto:liamhancy@greeneking.co.uk" TargetMode="External"/><Relationship Id="rId1017" Type="http://schemas.openxmlformats.org/officeDocument/2006/relationships/hyperlink" Target="mailto:liamhancy@greeneking.co.uk" TargetMode="External"/><Relationship Id="rId1" Type="http://schemas.openxmlformats.org/officeDocument/2006/relationships/hyperlink" Target="mailto:jessicagreen@greeneking.co.uk" TargetMode="External"/><Relationship Id="rId233" Type="http://schemas.openxmlformats.org/officeDocument/2006/relationships/hyperlink" Target="mailto:liamhancy@greeneking.co.uk" TargetMode="External"/><Relationship Id="rId440" Type="http://schemas.openxmlformats.org/officeDocument/2006/relationships/hyperlink" Target="mailto:jessicagreen@greeneking.co.uk" TargetMode="External"/><Relationship Id="rId678" Type="http://schemas.openxmlformats.org/officeDocument/2006/relationships/hyperlink" Target="mailto:liamhancy@greeneking.co.uk" TargetMode="External"/><Relationship Id="rId885" Type="http://schemas.openxmlformats.org/officeDocument/2006/relationships/hyperlink" Target="mailto:liamhancy@greeneking.co.uk" TargetMode="External"/><Relationship Id="rId1070" Type="http://schemas.openxmlformats.org/officeDocument/2006/relationships/hyperlink" Target="mailto:liamhancy@greeneking.co.uk" TargetMode="External"/><Relationship Id="rId28" Type="http://schemas.openxmlformats.org/officeDocument/2006/relationships/hyperlink" Target="mailto:liamhancy@greeneking.co.uk" TargetMode="External"/><Relationship Id="rId300" Type="http://schemas.openxmlformats.org/officeDocument/2006/relationships/hyperlink" Target="mailto:kevin.grierson@belhaven.co.uk" TargetMode="External"/><Relationship Id="rId538" Type="http://schemas.openxmlformats.org/officeDocument/2006/relationships/hyperlink" Target="mailto:liamhancy@greeneking.co.uk" TargetMode="External"/><Relationship Id="rId745" Type="http://schemas.openxmlformats.org/officeDocument/2006/relationships/hyperlink" Target="mailto:benfrater@greeneking.co.uk" TargetMode="External"/><Relationship Id="rId952" Type="http://schemas.openxmlformats.org/officeDocument/2006/relationships/hyperlink" Target="mailto:liamhancy@greeneking.co.uk" TargetMode="External"/><Relationship Id="rId81" Type="http://schemas.openxmlformats.org/officeDocument/2006/relationships/hyperlink" Target="mailto:tombrown@greeneking.co.uk" TargetMode="External"/><Relationship Id="rId177" Type="http://schemas.openxmlformats.org/officeDocument/2006/relationships/hyperlink" Target="mailto:liamhancy@greeneking.co.uk" TargetMode="External"/><Relationship Id="rId384" Type="http://schemas.openxmlformats.org/officeDocument/2006/relationships/hyperlink" Target="mailto:liamhancy@greeneking.co.uk" TargetMode="External"/><Relationship Id="rId591" Type="http://schemas.openxmlformats.org/officeDocument/2006/relationships/hyperlink" Target="mailto:jessicagreen@greeneking.co.uk" TargetMode="External"/><Relationship Id="rId605" Type="http://schemas.openxmlformats.org/officeDocument/2006/relationships/hyperlink" Target="mailto:jessicagreen@greeneking.co.uk" TargetMode="External"/><Relationship Id="rId812" Type="http://schemas.openxmlformats.org/officeDocument/2006/relationships/hyperlink" Target="mailto:liamhancy@greeneking.co.uk" TargetMode="External"/><Relationship Id="rId1028" Type="http://schemas.openxmlformats.org/officeDocument/2006/relationships/hyperlink" Target="mailto:liamhancy@greeneking.co.uk" TargetMode="External"/><Relationship Id="rId244" Type="http://schemas.openxmlformats.org/officeDocument/2006/relationships/hyperlink" Target="mailto:liamhancy@greeneking.co.uk" TargetMode="External"/><Relationship Id="rId689" Type="http://schemas.openxmlformats.org/officeDocument/2006/relationships/hyperlink" Target="mailto:jessicagreen@greeneking.co.uk" TargetMode="External"/><Relationship Id="rId896" Type="http://schemas.openxmlformats.org/officeDocument/2006/relationships/hyperlink" Target="mailto:liamhancy@greeneking.co.uk" TargetMode="External"/><Relationship Id="rId1081" Type="http://schemas.openxmlformats.org/officeDocument/2006/relationships/hyperlink" Target="mailto:liamhancy@greeneking.co.uk" TargetMode="External"/><Relationship Id="rId39" Type="http://schemas.openxmlformats.org/officeDocument/2006/relationships/hyperlink" Target="mailto:liamhancy@greeneking.co.uk" TargetMode="External"/><Relationship Id="rId451" Type="http://schemas.openxmlformats.org/officeDocument/2006/relationships/hyperlink" Target="mailto:liamhancy@greeneking.co.uk" TargetMode="External"/><Relationship Id="rId549" Type="http://schemas.openxmlformats.org/officeDocument/2006/relationships/hyperlink" Target="mailto:jessicagreen@greeneking.co.uk" TargetMode="External"/><Relationship Id="rId756" Type="http://schemas.openxmlformats.org/officeDocument/2006/relationships/hyperlink" Target="mailto:liamhancy@greeneking.co.uk" TargetMode="External"/><Relationship Id="rId104" Type="http://schemas.openxmlformats.org/officeDocument/2006/relationships/hyperlink" Target="mailto:liamhancy@greeneking.co.uk" TargetMode="External"/><Relationship Id="rId188" Type="http://schemas.openxmlformats.org/officeDocument/2006/relationships/hyperlink" Target="mailto:liamhancy@greeneking.co.uk" TargetMode="External"/><Relationship Id="rId311" Type="http://schemas.openxmlformats.org/officeDocument/2006/relationships/hyperlink" Target="mailto:benfrater@greeneking.co.uk" TargetMode="External"/><Relationship Id="rId395" Type="http://schemas.openxmlformats.org/officeDocument/2006/relationships/hyperlink" Target="mailto:tombrown@greeneking.co.uk" TargetMode="External"/><Relationship Id="rId409" Type="http://schemas.openxmlformats.org/officeDocument/2006/relationships/hyperlink" Target="mailto:tombrown@greeneking.co.uk" TargetMode="External"/><Relationship Id="rId963" Type="http://schemas.openxmlformats.org/officeDocument/2006/relationships/hyperlink" Target="mailto:liamhancy@greeneking.co.uk" TargetMode="External"/><Relationship Id="rId1039" Type="http://schemas.openxmlformats.org/officeDocument/2006/relationships/hyperlink" Target="mailto:liamhancy@greeneking.co.uk" TargetMode="External"/><Relationship Id="rId92" Type="http://schemas.openxmlformats.org/officeDocument/2006/relationships/hyperlink" Target="mailto:liamhancy@greeneking.co.uk" TargetMode="External"/><Relationship Id="rId616" Type="http://schemas.openxmlformats.org/officeDocument/2006/relationships/hyperlink" Target="mailto:liamhancy@greeneking.co.uk" TargetMode="External"/><Relationship Id="rId823" Type="http://schemas.openxmlformats.org/officeDocument/2006/relationships/hyperlink" Target="mailto:liamhancy@greeneking.co.uk" TargetMode="External"/><Relationship Id="rId255" Type="http://schemas.openxmlformats.org/officeDocument/2006/relationships/hyperlink" Target="mailto:benfrater@greeneking.co.uk" TargetMode="External"/><Relationship Id="rId462" Type="http://schemas.openxmlformats.org/officeDocument/2006/relationships/hyperlink" Target="mailto:jessicagreen@greeneking.co.uk" TargetMode="External"/><Relationship Id="rId1092" Type="http://schemas.openxmlformats.org/officeDocument/2006/relationships/hyperlink" Target="mailto:liamhancy@greeneking.co.uk" TargetMode="External"/><Relationship Id="rId1106" Type="http://schemas.openxmlformats.org/officeDocument/2006/relationships/hyperlink" Target="mailto:liamhancy@greeneking.co.uk" TargetMode="External"/><Relationship Id="rId115" Type="http://schemas.openxmlformats.org/officeDocument/2006/relationships/hyperlink" Target="mailto:jessicagreen@greeneking.co.uk" TargetMode="External"/><Relationship Id="rId322" Type="http://schemas.openxmlformats.org/officeDocument/2006/relationships/hyperlink" Target="mailto:kevin.grierson@belhaven.co.uk" TargetMode="External"/><Relationship Id="rId767" Type="http://schemas.openxmlformats.org/officeDocument/2006/relationships/hyperlink" Target="mailto:liamhancy@greeneking.co.uk" TargetMode="External"/><Relationship Id="rId974" Type="http://schemas.openxmlformats.org/officeDocument/2006/relationships/hyperlink" Target="mailto:liamhancy@greeneking.co.uk" TargetMode="External"/><Relationship Id="rId199" Type="http://schemas.openxmlformats.org/officeDocument/2006/relationships/hyperlink" Target="mailto:liamhancy@greeneking.co.uk" TargetMode="External"/><Relationship Id="rId627" Type="http://schemas.openxmlformats.org/officeDocument/2006/relationships/hyperlink" Target="mailto:jessicagreen@greeneking.co.uk" TargetMode="External"/><Relationship Id="rId834" Type="http://schemas.openxmlformats.org/officeDocument/2006/relationships/hyperlink" Target="mailto:liamhancy@greeneking.co.uk" TargetMode="External"/><Relationship Id="rId266" Type="http://schemas.openxmlformats.org/officeDocument/2006/relationships/hyperlink" Target="mailto:kevin.grierson@belhaven.co.uk" TargetMode="External"/><Relationship Id="rId473" Type="http://schemas.openxmlformats.org/officeDocument/2006/relationships/hyperlink" Target="mailto:liamhancy@greeneking.co.uk" TargetMode="External"/><Relationship Id="rId680" Type="http://schemas.openxmlformats.org/officeDocument/2006/relationships/hyperlink" Target="mailto:liamhancy@greeneking.co.uk" TargetMode="External"/><Relationship Id="rId901" Type="http://schemas.openxmlformats.org/officeDocument/2006/relationships/hyperlink" Target="mailto:tombrown@greeneking.co.uk" TargetMode="External"/><Relationship Id="rId1117" Type="http://schemas.openxmlformats.org/officeDocument/2006/relationships/hyperlink" Target="mailto:liamhancy@greeneking.co.uk" TargetMode="External"/><Relationship Id="rId30" Type="http://schemas.openxmlformats.org/officeDocument/2006/relationships/hyperlink" Target="mailto:liamhancy@greeneking.co.uk" TargetMode="External"/><Relationship Id="rId126" Type="http://schemas.openxmlformats.org/officeDocument/2006/relationships/hyperlink" Target="mailto:liamhancy@greeneking.co.uk" TargetMode="External"/><Relationship Id="rId333" Type="http://schemas.openxmlformats.org/officeDocument/2006/relationships/hyperlink" Target="mailto:jessicagreen@greeneking.co.uk" TargetMode="External"/><Relationship Id="rId540" Type="http://schemas.openxmlformats.org/officeDocument/2006/relationships/hyperlink" Target="mailto:liamhancy@greeneking.co.uk" TargetMode="External"/><Relationship Id="rId778" Type="http://schemas.openxmlformats.org/officeDocument/2006/relationships/hyperlink" Target="mailto:liamhancy@greeneking.co.uk" TargetMode="External"/><Relationship Id="rId985" Type="http://schemas.openxmlformats.org/officeDocument/2006/relationships/hyperlink" Target="mailto:liamhancy@greeneking.co.uk" TargetMode="External"/><Relationship Id="rId638" Type="http://schemas.openxmlformats.org/officeDocument/2006/relationships/hyperlink" Target="mailto:liamhancy@greeneking.co.uk" TargetMode="External"/><Relationship Id="rId845" Type="http://schemas.openxmlformats.org/officeDocument/2006/relationships/hyperlink" Target="mailto:tombrown@greeneking.co.uk" TargetMode="External"/><Relationship Id="rId1030" Type="http://schemas.openxmlformats.org/officeDocument/2006/relationships/hyperlink" Target="mailto:liamhancy@greeneking.co.uk" TargetMode="External"/><Relationship Id="rId277" Type="http://schemas.openxmlformats.org/officeDocument/2006/relationships/hyperlink" Target="mailto:benfrater@greeneking.co.uk" TargetMode="External"/><Relationship Id="rId400" Type="http://schemas.openxmlformats.org/officeDocument/2006/relationships/hyperlink" Target="mailto:tombrown@greeneking.co.uk" TargetMode="External"/><Relationship Id="rId484" Type="http://schemas.openxmlformats.org/officeDocument/2006/relationships/hyperlink" Target="mailto:jessicagreen@greeneking.co.uk" TargetMode="External"/><Relationship Id="rId705" Type="http://schemas.openxmlformats.org/officeDocument/2006/relationships/hyperlink" Target="mailto:liamhancy@greeneking.co.uk" TargetMode="External"/><Relationship Id="rId1128" Type="http://schemas.openxmlformats.org/officeDocument/2006/relationships/hyperlink" Target="mailto:liamhancy@greeneking.co.uk" TargetMode="External"/><Relationship Id="rId137" Type="http://schemas.openxmlformats.org/officeDocument/2006/relationships/hyperlink" Target="mailto:jessicagreen@greeneking.co.uk" TargetMode="External"/><Relationship Id="rId344" Type="http://schemas.openxmlformats.org/officeDocument/2006/relationships/hyperlink" Target="mailto:liamhancy@greeneking.co.uk" TargetMode="External"/><Relationship Id="rId691" Type="http://schemas.openxmlformats.org/officeDocument/2006/relationships/hyperlink" Target="mailto:jessicagreen@greeneking.co.uk" TargetMode="External"/><Relationship Id="rId789" Type="http://schemas.openxmlformats.org/officeDocument/2006/relationships/hyperlink" Target="mailto:liamhancy@greeneking.co.uk" TargetMode="External"/><Relationship Id="rId912" Type="http://schemas.openxmlformats.org/officeDocument/2006/relationships/hyperlink" Target="mailto:liamhancy@greeneking.co.uk" TargetMode="External"/><Relationship Id="rId996" Type="http://schemas.openxmlformats.org/officeDocument/2006/relationships/hyperlink" Target="mailto:liamhancy@greeneking.co.uk" TargetMode="External"/><Relationship Id="rId41" Type="http://schemas.openxmlformats.org/officeDocument/2006/relationships/hyperlink" Target="mailto:liamhancy@greeneking.co.uk" TargetMode="External"/><Relationship Id="rId551" Type="http://schemas.openxmlformats.org/officeDocument/2006/relationships/hyperlink" Target="mailto:jessicagreen@greeneking.co.uk" TargetMode="External"/><Relationship Id="rId649" Type="http://schemas.openxmlformats.org/officeDocument/2006/relationships/hyperlink" Target="mailto:liamhancy@greeneking.co.uk" TargetMode="External"/><Relationship Id="rId856" Type="http://schemas.openxmlformats.org/officeDocument/2006/relationships/hyperlink" Target="mailto:Adamreditt@greeneking.co.uk" TargetMode="External"/><Relationship Id="rId190" Type="http://schemas.openxmlformats.org/officeDocument/2006/relationships/hyperlink" Target="mailto:liamhancy@greeneking.co.uk" TargetMode="External"/><Relationship Id="rId204" Type="http://schemas.openxmlformats.org/officeDocument/2006/relationships/hyperlink" Target="mailto:liamhancy@greeneking.co.uk" TargetMode="External"/><Relationship Id="rId288" Type="http://schemas.openxmlformats.org/officeDocument/2006/relationships/hyperlink" Target="mailto:kevin.grierson@belhaven.co.uk" TargetMode="External"/><Relationship Id="rId411" Type="http://schemas.openxmlformats.org/officeDocument/2006/relationships/hyperlink" Target="mailto:tombrown@greeneking.co.uk" TargetMode="External"/><Relationship Id="rId509" Type="http://schemas.openxmlformats.org/officeDocument/2006/relationships/hyperlink" Target="mailto:jessicagreen@greeneking.co.uk" TargetMode="External"/><Relationship Id="rId1041" Type="http://schemas.openxmlformats.org/officeDocument/2006/relationships/hyperlink" Target="mailto:liamhancy@greeneking.co.uk" TargetMode="External"/><Relationship Id="rId495" Type="http://schemas.openxmlformats.org/officeDocument/2006/relationships/hyperlink" Target="mailto:liamhancy@greeneking.co.uk" TargetMode="External"/><Relationship Id="rId716" Type="http://schemas.openxmlformats.org/officeDocument/2006/relationships/hyperlink" Target="mailto:liamhancy@greeneking.co.uk" TargetMode="External"/><Relationship Id="rId923" Type="http://schemas.openxmlformats.org/officeDocument/2006/relationships/hyperlink" Target="mailto:tombrown@greeneking.co.uk" TargetMode="External"/><Relationship Id="rId52" Type="http://schemas.openxmlformats.org/officeDocument/2006/relationships/hyperlink" Target="mailto:liamhancy@greeneking.co.uk" TargetMode="External"/><Relationship Id="rId148" Type="http://schemas.openxmlformats.org/officeDocument/2006/relationships/hyperlink" Target="mailto:jessicagreen@greeneking.co.uk" TargetMode="External"/><Relationship Id="rId355" Type="http://schemas.openxmlformats.org/officeDocument/2006/relationships/hyperlink" Target="mailto:liamhancy@greeneking.co.uk" TargetMode="External"/><Relationship Id="rId562" Type="http://schemas.openxmlformats.org/officeDocument/2006/relationships/hyperlink" Target="mailto:liamhancy@greeneking.co.uk" TargetMode="External"/><Relationship Id="rId215" Type="http://schemas.openxmlformats.org/officeDocument/2006/relationships/hyperlink" Target="mailto:liamhancy@greeneking.co.uk" TargetMode="External"/><Relationship Id="rId422" Type="http://schemas.openxmlformats.org/officeDocument/2006/relationships/hyperlink" Target="mailto:jessicagreen@greeneking.co.uk" TargetMode="External"/><Relationship Id="rId867" Type="http://schemas.openxmlformats.org/officeDocument/2006/relationships/hyperlink" Target="mailto:tombrown@greeneking.co.uk" TargetMode="External"/><Relationship Id="rId1052" Type="http://schemas.openxmlformats.org/officeDocument/2006/relationships/hyperlink" Target="mailto:liamhancy@greeneking.co.uk" TargetMode="External"/><Relationship Id="rId299" Type="http://schemas.openxmlformats.org/officeDocument/2006/relationships/hyperlink" Target="mailto:benfrater@greeneking.co.uk" TargetMode="External"/><Relationship Id="rId727" Type="http://schemas.openxmlformats.org/officeDocument/2006/relationships/hyperlink" Target="mailto:liamhancy@greeneking.co.uk" TargetMode="External"/><Relationship Id="rId934" Type="http://schemas.openxmlformats.org/officeDocument/2006/relationships/hyperlink" Target="mailto:tombrown@greeneking.co.uk" TargetMode="External"/><Relationship Id="rId63" Type="http://schemas.openxmlformats.org/officeDocument/2006/relationships/hyperlink" Target="mailto:jessicagreen@greeneking.co.uk" TargetMode="External"/><Relationship Id="rId159" Type="http://schemas.openxmlformats.org/officeDocument/2006/relationships/hyperlink" Target="mailto:liamhancy@greeneking.co.uk" TargetMode="External"/><Relationship Id="rId366" Type="http://schemas.openxmlformats.org/officeDocument/2006/relationships/hyperlink" Target="mailto:liamhancy@greeneking.co.uk" TargetMode="External"/><Relationship Id="rId573" Type="http://schemas.openxmlformats.org/officeDocument/2006/relationships/hyperlink" Target="mailto:jessicagreen@greeneking.co.uk" TargetMode="External"/><Relationship Id="rId780" Type="http://schemas.openxmlformats.org/officeDocument/2006/relationships/hyperlink" Target="mailto:liamhancy@greeneking.co.uk" TargetMode="External"/><Relationship Id="rId226" Type="http://schemas.openxmlformats.org/officeDocument/2006/relationships/hyperlink" Target="mailto:liamhancy@greeneking.co.uk" TargetMode="External"/><Relationship Id="rId433" Type="http://schemas.openxmlformats.org/officeDocument/2006/relationships/hyperlink" Target="mailto:liamhancy@greeneking.co.uk" TargetMode="External"/><Relationship Id="rId878" Type="http://schemas.openxmlformats.org/officeDocument/2006/relationships/hyperlink" Target="mailto:tombrown@greeneking.co.uk" TargetMode="External"/><Relationship Id="rId1063" Type="http://schemas.openxmlformats.org/officeDocument/2006/relationships/hyperlink" Target="mailto:liamhancy@greeneking.co.uk" TargetMode="External"/><Relationship Id="rId640" Type="http://schemas.openxmlformats.org/officeDocument/2006/relationships/hyperlink" Target="mailto:liamhancy@greeneking.co.uk" TargetMode="External"/><Relationship Id="rId738" Type="http://schemas.openxmlformats.org/officeDocument/2006/relationships/hyperlink" Target="mailto:liamhancy@greeneking.co.uk" TargetMode="External"/><Relationship Id="rId945" Type="http://schemas.openxmlformats.org/officeDocument/2006/relationships/hyperlink" Target="mailto:liamhancy@greeneking.co.uk" TargetMode="External"/><Relationship Id="rId74" Type="http://schemas.openxmlformats.org/officeDocument/2006/relationships/hyperlink" Target="mailto:tombrown@greeneking.co.uk" TargetMode="External"/><Relationship Id="rId377" Type="http://schemas.openxmlformats.org/officeDocument/2006/relationships/hyperlink" Target="mailto:jessicagreen@greeneking.co.uk" TargetMode="External"/><Relationship Id="rId500" Type="http://schemas.openxmlformats.org/officeDocument/2006/relationships/hyperlink" Target="mailto:jessicagreen@greeneking.co.uk" TargetMode="External"/><Relationship Id="rId584" Type="http://schemas.openxmlformats.org/officeDocument/2006/relationships/hyperlink" Target="mailto:liamhancy@greeneking.co.uk" TargetMode="External"/><Relationship Id="rId805" Type="http://schemas.openxmlformats.org/officeDocument/2006/relationships/hyperlink" Target="mailto:liamhancy@greeneking.co.uk" TargetMode="External"/><Relationship Id="rId1130" Type="http://schemas.openxmlformats.org/officeDocument/2006/relationships/hyperlink" Target="mailto:liamhancy@greeneking.co.uk" TargetMode="External"/><Relationship Id="rId5" Type="http://schemas.openxmlformats.org/officeDocument/2006/relationships/hyperlink" Target="mailto:jessicagreen@greeneking.co.uk" TargetMode="External"/><Relationship Id="rId237" Type="http://schemas.openxmlformats.org/officeDocument/2006/relationships/hyperlink" Target="mailto:jessicagreen@greeneking.co.uk" TargetMode="External"/><Relationship Id="rId791" Type="http://schemas.openxmlformats.org/officeDocument/2006/relationships/hyperlink" Target="mailto:liamhancy@greeneking.co.uk" TargetMode="External"/><Relationship Id="rId889" Type="http://schemas.openxmlformats.org/officeDocument/2006/relationships/hyperlink" Target="mailto:liamhancy@greeneking.co.uk" TargetMode="External"/><Relationship Id="rId1074" Type="http://schemas.openxmlformats.org/officeDocument/2006/relationships/hyperlink" Target="mailto:liamhancy@greeneking.co.uk" TargetMode="External"/><Relationship Id="rId444" Type="http://schemas.openxmlformats.org/officeDocument/2006/relationships/hyperlink" Target="mailto:jessicagreen@greeneking.co.uk" TargetMode="External"/><Relationship Id="rId651" Type="http://schemas.openxmlformats.org/officeDocument/2006/relationships/hyperlink" Target="mailto:liamhancy@greeneking.co.uk" TargetMode="External"/><Relationship Id="rId749" Type="http://schemas.openxmlformats.org/officeDocument/2006/relationships/hyperlink" Target="mailto:liamhancy@greeneking.co.uk" TargetMode="External"/><Relationship Id="rId290" Type="http://schemas.openxmlformats.org/officeDocument/2006/relationships/hyperlink" Target="mailto:kevin.grierson@belhaven.co.uk" TargetMode="External"/><Relationship Id="rId304" Type="http://schemas.openxmlformats.org/officeDocument/2006/relationships/hyperlink" Target="mailto:kevin.grierson@belhaven.co.uk" TargetMode="External"/><Relationship Id="rId388" Type="http://schemas.openxmlformats.org/officeDocument/2006/relationships/hyperlink" Target="mailto:tombrown@greeneking.co.uk" TargetMode="External"/><Relationship Id="rId511" Type="http://schemas.openxmlformats.org/officeDocument/2006/relationships/hyperlink" Target="mailto:jessicagreen@greeneking.co.uk" TargetMode="External"/><Relationship Id="rId609" Type="http://schemas.openxmlformats.org/officeDocument/2006/relationships/hyperlink" Target="mailto:jessicagreen@greeneking.co.uk" TargetMode="External"/><Relationship Id="rId956" Type="http://schemas.openxmlformats.org/officeDocument/2006/relationships/hyperlink" Target="mailto:liamhancy@greeneking.co.uk" TargetMode="External"/><Relationship Id="rId85" Type="http://schemas.openxmlformats.org/officeDocument/2006/relationships/hyperlink" Target="mailto:jessicagreen@greeneking.co.uk" TargetMode="External"/><Relationship Id="rId150" Type="http://schemas.openxmlformats.org/officeDocument/2006/relationships/hyperlink" Target="mailto:jessicagreen@greeneking.co.uk" TargetMode="External"/><Relationship Id="rId595" Type="http://schemas.openxmlformats.org/officeDocument/2006/relationships/hyperlink" Target="mailto:jessicagreen@greeneking.co.uk" TargetMode="External"/><Relationship Id="rId816" Type="http://schemas.openxmlformats.org/officeDocument/2006/relationships/hyperlink" Target="mailto:liamhancy@greeneking.co.uk" TargetMode="External"/><Relationship Id="rId1001" Type="http://schemas.openxmlformats.org/officeDocument/2006/relationships/hyperlink" Target="mailto:liamhancy@greeneking.co.uk" TargetMode="External"/><Relationship Id="rId248" Type="http://schemas.openxmlformats.org/officeDocument/2006/relationships/hyperlink" Target="mailto:liamhancy@greeneking.co.uk" TargetMode="External"/><Relationship Id="rId455" Type="http://schemas.openxmlformats.org/officeDocument/2006/relationships/hyperlink" Target="mailto:liamhancy@greeneking.co.uk" TargetMode="External"/><Relationship Id="rId662" Type="http://schemas.openxmlformats.org/officeDocument/2006/relationships/hyperlink" Target="mailto:liamhancy@greeneking.co.uk" TargetMode="External"/><Relationship Id="rId1085" Type="http://schemas.openxmlformats.org/officeDocument/2006/relationships/hyperlink" Target="mailto:liamhancy@greeneking.co.uk" TargetMode="External"/><Relationship Id="rId12" Type="http://schemas.openxmlformats.org/officeDocument/2006/relationships/hyperlink" Target="mailto:liamhancy@greeneking.co.uk" TargetMode="External"/><Relationship Id="rId108" Type="http://schemas.openxmlformats.org/officeDocument/2006/relationships/hyperlink" Target="mailto:liamhancy@greeneking.co.uk" TargetMode="External"/><Relationship Id="rId315" Type="http://schemas.openxmlformats.org/officeDocument/2006/relationships/hyperlink" Target="mailto:benfrater@greeneking.co.uk" TargetMode="External"/><Relationship Id="rId522" Type="http://schemas.openxmlformats.org/officeDocument/2006/relationships/hyperlink" Target="mailto:liamhancy@greeneking.co.uk" TargetMode="External"/><Relationship Id="rId967" Type="http://schemas.openxmlformats.org/officeDocument/2006/relationships/hyperlink" Target="mailto:liamhancy@greeneking.co.uk" TargetMode="External"/><Relationship Id="rId96" Type="http://schemas.openxmlformats.org/officeDocument/2006/relationships/hyperlink" Target="mailto:liamhancy@greeneking.co.uk" TargetMode="External"/><Relationship Id="rId161" Type="http://schemas.openxmlformats.org/officeDocument/2006/relationships/hyperlink" Target="mailto:liamhancy@greeneking.co.uk" TargetMode="External"/><Relationship Id="rId399" Type="http://schemas.openxmlformats.org/officeDocument/2006/relationships/hyperlink" Target="mailto:tombrown@greeneking.co.uk" TargetMode="External"/><Relationship Id="rId827" Type="http://schemas.openxmlformats.org/officeDocument/2006/relationships/hyperlink" Target="mailto:liamhancy@greeneking.co.uk" TargetMode="External"/><Relationship Id="rId1012" Type="http://schemas.openxmlformats.org/officeDocument/2006/relationships/hyperlink" Target="mailto:liamhancy@greeneking.co.uk" TargetMode="External"/><Relationship Id="rId259" Type="http://schemas.openxmlformats.org/officeDocument/2006/relationships/hyperlink" Target="mailto:benfrater@greeneking.co.uk" TargetMode="External"/><Relationship Id="rId466" Type="http://schemas.openxmlformats.org/officeDocument/2006/relationships/hyperlink" Target="mailto:jessicagreen@greeneking.co.uk" TargetMode="External"/><Relationship Id="rId673" Type="http://schemas.openxmlformats.org/officeDocument/2006/relationships/hyperlink" Target="mailto:liamhancy@greeneking.co.uk" TargetMode="External"/><Relationship Id="rId880" Type="http://schemas.openxmlformats.org/officeDocument/2006/relationships/hyperlink" Target="mailto:tombrown@greeneking.co.uk" TargetMode="External"/><Relationship Id="rId1096" Type="http://schemas.openxmlformats.org/officeDocument/2006/relationships/hyperlink" Target="mailto:liamhancy@greeneking.co.uk" TargetMode="External"/><Relationship Id="rId23" Type="http://schemas.openxmlformats.org/officeDocument/2006/relationships/hyperlink" Target="mailto:jessicagreen@greeneking.co.uk" TargetMode="External"/><Relationship Id="rId119" Type="http://schemas.openxmlformats.org/officeDocument/2006/relationships/hyperlink" Target="mailto:jessicagreen@greeneking.co.uk" TargetMode="External"/><Relationship Id="rId326" Type="http://schemas.openxmlformats.org/officeDocument/2006/relationships/hyperlink" Target="mailto:kevin.grierson@belhaven.co.uk" TargetMode="External"/><Relationship Id="rId533" Type="http://schemas.openxmlformats.org/officeDocument/2006/relationships/hyperlink" Target="mailto:jessicagreen@greeneking.co.uk" TargetMode="External"/><Relationship Id="rId978" Type="http://schemas.openxmlformats.org/officeDocument/2006/relationships/hyperlink" Target="mailto:liamhancy@greeneking.co.uk" TargetMode="External"/><Relationship Id="rId740" Type="http://schemas.openxmlformats.org/officeDocument/2006/relationships/hyperlink" Target="mailto:kevin.grierson@belhaven.co.uk" TargetMode="External"/><Relationship Id="rId838" Type="http://schemas.openxmlformats.org/officeDocument/2006/relationships/hyperlink" Target="mailto:liamhancy@greeneking.co.uk" TargetMode="External"/><Relationship Id="rId1023" Type="http://schemas.openxmlformats.org/officeDocument/2006/relationships/hyperlink" Target="mailto:liamhancy@greeneking.co.uk" TargetMode="External"/><Relationship Id="rId172" Type="http://schemas.openxmlformats.org/officeDocument/2006/relationships/hyperlink" Target="mailto:liamhancy@greeneking.co.uk" TargetMode="External"/><Relationship Id="rId477" Type="http://schemas.openxmlformats.org/officeDocument/2006/relationships/hyperlink" Target="mailto:liamhancy@greeneking.co.uk" TargetMode="External"/><Relationship Id="rId600" Type="http://schemas.openxmlformats.org/officeDocument/2006/relationships/hyperlink" Target="mailto:liamhancy@greeneking.co.uk" TargetMode="External"/><Relationship Id="rId684" Type="http://schemas.openxmlformats.org/officeDocument/2006/relationships/hyperlink" Target="mailto:liamhancy@greeneking.co.uk" TargetMode="External"/><Relationship Id="rId337" Type="http://schemas.openxmlformats.org/officeDocument/2006/relationships/hyperlink" Target="mailto:jessicagreen@greeneking.co.uk" TargetMode="External"/><Relationship Id="rId891" Type="http://schemas.openxmlformats.org/officeDocument/2006/relationships/hyperlink" Target="mailto:liamhancy@greeneking.co.uk" TargetMode="External"/><Relationship Id="rId905" Type="http://schemas.openxmlformats.org/officeDocument/2006/relationships/hyperlink" Target="mailto:tombrown@greeneking.co.uk" TargetMode="External"/><Relationship Id="rId989" Type="http://schemas.openxmlformats.org/officeDocument/2006/relationships/hyperlink" Target="mailto:liamhancy@greeneking.co.uk" TargetMode="External"/><Relationship Id="rId34" Type="http://schemas.openxmlformats.org/officeDocument/2006/relationships/hyperlink" Target="mailto:liamhancy@greeneking.co.uk" TargetMode="External"/><Relationship Id="rId544" Type="http://schemas.openxmlformats.org/officeDocument/2006/relationships/hyperlink" Target="mailto:liamhancy@greeneking.co.uk" TargetMode="External"/><Relationship Id="rId751" Type="http://schemas.openxmlformats.org/officeDocument/2006/relationships/hyperlink" Target="mailto:liamhancy@greeneking.co.uk" TargetMode="External"/><Relationship Id="rId849" Type="http://schemas.openxmlformats.org/officeDocument/2006/relationships/hyperlink" Target="mailto:tombrown@greeneking.co.uk" TargetMode="External"/><Relationship Id="rId183" Type="http://schemas.openxmlformats.org/officeDocument/2006/relationships/hyperlink" Target="mailto:liamhancy@greeneking.co.uk" TargetMode="External"/><Relationship Id="rId390" Type="http://schemas.openxmlformats.org/officeDocument/2006/relationships/hyperlink" Target="mailto:tombrown@greeneking.co.uk" TargetMode="External"/><Relationship Id="rId404" Type="http://schemas.openxmlformats.org/officeDocument/2006/relationships/hyperlink" Target="mailto:tombrown@greeneking.co.uk" TargetMode="External"/><Relationship Id="rId611" Type="http://schemas.openxmlformats.org/officeDocument/2006/relationships/hyperlink" Target="mailto:jessicagreen@greeneking.co.uk" TargetMode="External"/><Relationship Id="rId1034" Type="http://schemas.openxmlformats.org/officeDocument/2006/relationships/hyperlink" Target="mailto:liamhancy@greeneking.co.uk" TargetMode="External"/><Relationship Id="rId250" Type="http://schemas.openxmlformats.org/officeDocument/2006/relationships/hyperlink" Target="mailto:liamhancy@greeneking.co.uk" TargetMode="External"/><Relationship Id="rId488" Type="http://schemas.openxmlformats.org/officeDocument/2006/relationships/hyperlink" Target="mailto:jessicagreen@greeneking.co.uk" TargetMode="External"/><Relationship Id="rId695" Type="http://schemas.openxmlformats.org/officeDocument/2006/relationships/hyperlink" Target="mailto:jessicagreen@greeneking.co.uk" TargetMode="External"/><Relationship Id="rId709" Type="http://schemas.openxmlformats.org/officeDocument/2006/relationships/hyperlink" Target="mailto:liamhancy@greeneking.co.uk" TargetMode="External"/><Relationship Id="rId916" Type="http://schemas.openxmlformats.org/officeDocument/2006/relationships/hyperlink" Target="mailto:liamhancy@greeneking.co.uk" TargetMode="External"/><Relationship Id="rId1101" Type="http://schemas.openxmlformats.org/officeDocument/2006/relationships/hyperlink" Target="mailto:liamhancy@greeneking.co.uk" TargetMode="External"/><Relationship Id="rId45" Type="http://schemas.openxmlformats.org/officeDocument/2006/relationships/hyperlink" Target="mailto:liamhancy@greeneking.co.uk" TargetMode="External"/><Relationship Id="rId110" Type="http://schemas.openxmlformats.org/officeDocument/2006/relationships/hyperlink" Target="mailto:liamhancy@greeneking.co.uk" TargetMode="External"/><Relationship Id="rId348" Type="http://schemas.openxmlformats.org/officeDocument/2006/relationships/hyperlink" Target="mailto:liamhancy@greeneking.co.uk" TargetMode="External"/><Relationship Id="rId555" Type="http://schemas.openxmlformats.org/officeDocument/2006/relationships/hyperlink" Target="mailto:jessicagreen@greeneking.co.uk" TargetMode="External"/><Relationship Id="rId762" Type="http://schemas.openxmlformats.org/officeDocument/2006/relationships/hyperlink" Target="mailto:liamhancy@greeneking.co.uk" TargetMode="External"/><Relationship Id="rId194" Type="http://schemas.openxmlformats.org/officeDocument/2006/relationships/hyperlink" Target="mailto:liamhancy@greeneking.co.uk" TargetMode="External"/><Relationship Id="rId208" Type="http://schemas.openxmlformats.org/officeDocument/2006/relationships/hyperlink" Target="mailto:liamhancy@greeneking.co.uk" TargetMode="External"/><Relationship Id="rId415" Type="http://schemas.openxmlformats.org/officeDocument/2006/relationships/hyperlink" Target="mailto:tombrown@greeneking.co.uk" TargetMode="External"/><Relationship Id="rId622" Type="http://schemas.openxmlformats.org/officeDocument/2006/relationships/hyperlink" Target="mailto:liamhancy@greeneking.co.uk" TargetMode="External"/><Relationship Id="rId1045" Type="http://schemas.openxmlformats.org/officeDocument/2006/relationships/hyperlink" Target="mailto:liamhancy@greeneking.co.uk" TargetMode="External"/><Relationship Id="rId261" Type="http://schemas.openxmlformats.org/officeDocument/2006/relationships/hyperlink" Target="mailto:benfrater@greeneking.co.uk" TargetMode="External"/><Relationship Id="rId499" Type="http://schemas.openxmlformats.org/officeDocument/2006/relationships/hyperlink" Target="mailto:liamhancy@greeneking.co.uk" TargetMode="External"/><Relationship Id="rId927" Type="http://schemas.openxmlformats.org/officeDocument/2006/relationships/hyperlink" Target="mailto:tombrown@greeneking.co.uk" TargetMode="External"/><Relationship Id="rId1112" Type="http://schemas.openxmlformats.org/officeDocument/2006/relationships/hyperlink" Target="mailto:liamhancy@greeneking.co.uk" TargetMode="External"/><Relationship Id="rId56" Type="http://schemas.openxmlformats.org/officeDocument/2006/relationships/hyperlink" Target="mailto:liamhancy@greeneking.co.uk" TargetMode="External"/><Relationship Id="rId359" Type="http://schemas.openxmlformats.org/officeDocument/2006/relationships/hyperlink" Target="mailto:liamhancy@greeneking.co.uk" TargetMode="External"/><Relationship Id="rId566" Type="http://schemas.openxmlformats.org/officeDocument/2006/relationships/hyperlink" Target="mailto:liamhancy@greeneking.co.uk" TargetMode="External"/><Relationship Id="rId773" Type="http://schemas.openxmlformats.org/officeDocument/2006/relationships/hyperlink" Target="mailto:liamhancy@greeneking.co.uk" TargetMode="External"/><Relationship Id="rId121" Type="http://schemas.openxmlformats.org/officeDocument/2006/relationships/hyperlink" Target="mailto:jessicagreen@greeneking.co.uk" TargetMode="External"/><Relationship Id="rId219" Type="http://schemas.openxmlformats.org/officeDocument/2006/relationships/hyperlink" Target="mailto:liamhancy@greeneking.co.uk" TargetMode="External"/><Relationship Id="rId426" Type="http://schemas.openxmlformats.org/officeDocument/2006/relationships/hyperlink" Target="mailto:jessicagreen@greeneking.co.uk" TargetMode="External"/><Relationship Id="rId633" Type="http://schemas.openxmlformats.org/officeDocument/2006/relationships/hyperlink" Target="mailto:jessicagreen@greeneking.co.uk" TargetMode="External"/><Relationship Id="rId980" Type="http://schemas.openxmlformats.org/officeDocument/2006/relationships/hyperlink" Target="mailto:liamhancy@greeneking.co.uk" TargetMode="External"/><Relationship Id="rId1056" Type="http://schemas.openxmlformats.org/officeDocument/2006/relationships/hyperlink" Target="mailto:liamhancy@greeneking.co.uk" TargetMode="External"/><Relationship Id="rId840" Type="http://schemas.openxmlformats.org/officeDocument/2006/relationships/hyperlink" Target="mailto:tombrown@greeneking.co.uk" TargetMode="External"/><Relationship Id="rId938" Type="http://schemas.openxmlformats.org/officeDocument/2006/relationships/hyperlink" Target="mailto:tombrown@greeneking.co.uk" TargetMode="External"/><Relationship Id="rId67" Type="http://schemas.openxmlformats.org/officeDocument/2006/relationships/hyperlink" Target="mailto:jessicagreen@greeneking.co.uk" TargetMode="External"/><Relationship Id="rId272" Type="http://schemas.openxmlformats.org/officeDocument/2006/relationships/hyperlink" Target="mailto:kevin.grierson@belhaven.co.uk" TargetMode="External"/><Relationship Id="rId577" Type="http://schemas.openxmlformats.org/officeDocument/2006/relationships/hyperlink" Target="mailto:jessicagreen@greeneking.co.uk" TargetMode="External"/><Relationship Id="rId700" Type="http://schemas.openxmlformats.org/officeDocument/2006/relationships/hyperlink" Target="mailto:liamhancy@greeneking.co.uk" TargetMode="External"/><Relationship Id="rId1123" Type="http://schemas.openxmlformats.org/officeDocument/2006/relationships/hyperlink" Target="mailto:liamhancy@greeneking.co.uk" TargetMode="External"/><Relationship Id="rId132" Type="http://schemas.openxmlformats.org/officeDocument/2006/relationships/hyperlink" Target="mailto:liamhancy@greeneking.co.uk" TargetMode="External"/><Relationship Id="rId784" Type="http://schemas.openxmlformats.org/officeDocument/2006/relationships/hyperlink" Target="mailto:liamhancy@greeneking.co.uk" TargetMode="External"/><Relationship Id="rId991" Type="http://schemas.openxmlformats.org/officeDocument/2006/relationships/hyperlink" Target="mailto:liamhancy@greeneking.co.uk" TargetMode="External"/><Relationship Id="rId1067" Type="http://schemas.openxmlformats.org/officeDocument/2006/relationships/hyperlink" Target="mailto:liamhancy@greeneking.co.uk" TargetMode="External"/><Relationship Id="rId437" Type="http://schemas.openxmlformats.org/officeDocument/2006/relationships/hyperlink" Target="mailto:liamhancy@greeneking.co.uk" TargetMode="External"/><Relationship Id="rId644" Type="http://schemas.openxmlformats.org/officeDocument/2006/relationships/hyperlink" Target="mailto:liamhancy@greeneking.co.uk" TargetMode="External"/><Relationship Id="rId851" Type="http://schemas.openxmlformats.org/officeDocument/2006/relationships/hyperlink" Target="mailto:tombrown@greeneking.co.uk" TargetMode="External"/><Relationship Id="rId283" Type="http://schemas.openxmlformats.org/officeDocument/2006/relationships/hyperlink" Target="mailto:benfrater@greeneking.co.uk" TargetMode="External"/><Relationship Id="rId490" Type="http://schemas.openxmlformats.org/officeDocument/2006/relationships/hyperlink" Target="mailto:jessicagreen@greeneking.co.uk" TargetMode="External"/><Relationship Id="rId504" Type="http://schemas.openxmlformats.org/officeDocument/2006/relationships/hyperlink" Target="mailto:liamhancy@greeneking.co.uk" TargetMode="External"/><Relationship Id="rId711" Type="http://schemas.openxmlformats.org/officeDocument/2006/relationships/hyperlink" Target="mailto:liamhancy@greeneking.co.uk" TargetMode="External"/><Relationship Id="rId949" Type="http://schemas.openxmlformats.org/officeDocument/2006/relationships/hyperlink" Target="mailto:liamhancy@greeneking.co.uk" TargetMode="External"/><Relationship Id="rId78" Type="http://schemas.openxmlformats.org/officeDocument/2006/relationships/hyperlink" Target="mailto:tombrown@greeneking.co.uk" TargetMode="External"/><Relationship Id="rId143" Type="http://schemas.openxmlformats.org/officeDocument/2006/relationships/hyperlink" Target="mailto:liamhancy@greeneking.co.uk" TargetMode="External"/><Relationship Id="rId350" Type="http://schemas.openxmlformats.org/officeDocument/2006/relationships/hyperlink" Target="mailto:liamhancy@greeneking.co.uk" TargetMode="External"/><Relationship Id="rId588" Type="http://schemas.openxmlformats.org/officeDocument/2006/relationships/hyperlink" Target="mailto:liamhancy@greeneking.co.uk" TargetMode="External"/><Relationship Id="rId795" Type="http://schemas.openxmlformats.org/officeDocument/2006/relationships/hyperlink" Target="mailto:liamhancy@greeneking.co.uk" TargetMode="External"/><Relationship Id="rId809" Type="http://schemas.openxmlformats.org/officeDocument/2006/relationships/hyperlink" Target="mailto:liamhancy@greeneking.co.uk" TargetMode="External"/><Relationship Id="rId9" Type="http://schemas.openxmlformats.org/officeDocument/2006/relationships/hyperlink" Target="mailto:jessicagreen@greeneking.co.uk" TargetMode="External"/><Relationship Id="rId210" Type="http://schemas.openxmlformats.org/officeDocument/2006/relationships/hyperlink" Target="mailto:liamhancy@greeneking.co.uk" TargetMode="External"/><Relationship Id="rId448" Type="http://schemas.openxmlformats.org/officeDocument/2006/relationships/hyperlink" Target="mailto:jessicagreen@greeneking.co.uk" TargetMode="External"/><Relationship Id="rId655" Type="http://schemas.openxmlformats.org/officeDocument/2006/relationships/hyperlink" Target="mailto:liamhancy@greeneking.co.uk" TargetMode="External"/><Relationship Id="rId862" Type="http://schemas.openxmlformats.org/officeDocument/2006/relationships/hyperlink" Target="mailto:tombrown@greeneking.co.uk" TargetMode="External"/><Relationship Id="rId1078" Type="http://schemas.openxmlformats.org/officeDocument/2006/relationships/hyperlink" Target="mailto:liamhancy@greeneking.co.uk" TargetMode="External"/><Relationship Id="rId294" Type="http://schemas.openxmlformats.org/officeDocument/2006/relationships/hyperlink" Target="mailto:kevin.grierson@belhaven.co.uk" TargetMode="External"/><Relationship Id="rId308" Type="http://schemas.openxmlformats.org/officeDocument/2006/relationships/hyperlink" Target="mailto:kevin.grierson@belhaven.co.uk" TargetMode="External"/><Relationship Id="rId515" Type="http://schemas.openxmlformats.org/officeDocument/2006/relationships/hyperlink" Target="mailto:jessicagreen@greeneking.co.uk" TargetMode="External"/><Relationship Id="rId722" Type="http://schemas.openxmlformats.org/officeDocument/2006/relationships/hyperlink" Target="mailto:liamhancy@greeneking.co.uk" TargetMode="External"/><Relationship Id="rId89" Type="http://schemas.openxmlformats.org/officeDocument/2006/relationships/hyperlink" Target="mailto:jessicagreen@greeneking.co.uk" TargetMode="External"/><Relationship Id="rId154" Type="http://schemas.openxmlformats.org/officeDocument/2006/relationships/hyperlink" Target="mailto:liamhancy@greeneking.co.uk" TargetMode="External"/><Relationship Id="rId361" Type="http://schemas.openxmlformats.org/officeDocument/2006/relationships/hyperlink" Target="mailto:liamhancy@greeneking.co.uk" TargetMode="External"/><Relationship Id="rId599" Type="http://schemas.openxmlformats.org/officeDocument/2006/relationships/hyperlink" Target="mailto:jessicagreen@greeneking.co.uk" TargetMode="External"/><Relationship Id="rId1005" Type="http://schemas.openxmlformats.org/officeDocument/2006/relationships/hyperlink" Target="mailto:liamhancy@greeneking.co.uk" TargetMode="External"/><Relationship Id="rId459" Type="http://schemas.openxmlformats.org/officeDocument/2006/relationships/hyperlink" Target="mailto:liamhancy@greeneking.co.uk" TargetMode="External"/><Relationship Id="rId666" Type="http://schemas.openxmlformats.org/officeDocument/2006/relationships/hyperlink" Target="mailto:liamhancy@greeneking.co.uk" TargetMode="External"/><Relationship Id="rId873" Type="http://schemas.openxmlformats.org/officeDocument/2006/relationships/hyperlink" Target="mailto:tombrown@greeneking.co.uk" TargetMode="External"/><Relationship Id="rId1089" Type="http://schemas.openxmlformats.org/officeDocument/2006/relationships/hyperlink" Target="mailto:liamhancy@greeneking.co.uk" TargetMode="External"/><Relationship Id="rId16" Type="http://schemas.openxmlformats.org/officeDocument/2006/relationships/hyperlink" Target="mailto:liamhancy@greeneking.co.uk" TargetMode="External"/><Relationship Id="rId221" Type="http://schemas.openxmlformats.org/officeDocument/2006/relationships/hyperlink" Target="mailto:liamhancy@greeneking.co.uk" TargetMode="External"/><Relationship Id="rId319" Type="http://schemas.openxmlformats.org/officeDocument/2006/relationships/hyperlink" Target="mailto:benfrater@greeneking.co.uk" TargetMode="External"/><Relationship Id="rId526" Type="http://schemas.openxmlformats.org/officeDocument/2006/relationships/hyperlink" Target="mailto:liamhancy@greeneking.co.uk" TargetMode="External"/><Relationship Id="rId733" Type="http://schemas.openxmlformats.org/officeDocument/2006/relationships/hyperlink" Target="mailto:liamhancy@greeneking.co.uk" TargetMode="External"/><Relationship Id="rId940" Type="http://schemas.openxmlformats.org/officeDocument/2006/relationships/hyperlink" Target="mailto:liamhancy@greeneking.co.uk" TargetMode="External"/><Relationship Id="rId1016" Type="http://schemas.openxmlformats.org/officeDocument/2006/relationships/hyperlink" Target="mailto:liamhancy@greeneking.co.uk" TargetMode="External"/><Relationship Id="rId165" Type="http://schemas.openxmlformats.org/officeDocument/2006/relationships/hyperlink" Target="mailto:liamhancy@greeneking.co.uk" TargetMode="External"/><Relationship Id="rId372" Type="http://schemas.openxmlformats.org/officeDocument/2006/relationships/hyperlink" Target="mailto:liamhancy@greeneking.co.uk" TargetMode="External"/><Relationship Id="rId677" Type="http://schemas.openxmlformats.org/officeDocument/2006/relationships/hyperlink" Target="mailto:liamhancy@greeneking.co.uk" TargetMode="External"/><Relationship Id="rId800" Type="http://schemas.openxmlformats.org/officeDocument/2006/relationships/hyperlink" Target="mailto:liamhancy@greeneking.co.uk" TargetMode="External"/><Relationship Id="rId232" Type="http://schemas.openxmlformats.org/officeDocument/2006/relationships/hyperlink" Target="mailto:liamhancy@greeneking.co.uk" TargetMode="External"/><Relationship Id="rId884" Type="http://schemas.openxmlformats.org/officeDocument/2006/relationships/hyperlink" Target="mailto:tombrown@greeneking.co.uk" TargetMode="External"/><Relationship Id="rId27" Type="http://schemas.openxmlformats.org/officeDocument/2006/relationships/hyperlink" Target="mailto:liamhancy@greeneking.co.uk" TargetMode="External"/><Relationship Id="rId537" Type="http://schemas.openxmlformats.org/officeDocument/2006/relationships/hyperlink" Target="mailto:jessicagreen@greeneking.co.uk" TargetMode="External"/><Relationship Id="rId744" Type="http://schemas.openxmlformats.org/officeDocument/2006/relationships/hyperlink" Target="mailto:kevin.grierson@belhaven.co.uk" TargetMode="External"/><Relationship Id="rId951" Type="http://schemas.openxmlformats.org/officeDocument/2006/relationships/hyperlink" Target="mailto:liamhancy@greeneking.co.uk" TargetMode="External"/><Relationship Id="rId80" Type="http://schemas.openxmlformats.org/officeDocument/2006/relationships/hyperlink" Target="mailto:tombrown@greeneking.co.uk" TargetMode="External"/><Relationship Id="rId176" Type="http://schemas.openxmlformats.org/officeDocument/2006/relationships/hyperlink" Target="mailto:liamhancy@greeneking.co.uk" TargetMode="External"/><Relationship Id="rId383" Type="http://schemas.openxmlformats.org/officeDocument/2006/relationships/hyperlink" Target="mailto:jessicagreen@greeneking.co.uk" TargetMode="External"/><Relationship Id="rId590" Type="http://schemas.openxmlformats.org/officeDocument/2006/relationships/hyperlink" Target="mailto:liamhancy@greeneking.co.uk" TargetMode="External"/><Relationship Id="rId604" Type="http://schemas.openxmlformats.org/officeDocument/2006/relationships/hyperlink" Target="mailto:liamhancy@greeneking.co.uk" TargetMode="External"/><Relationship Id="rId811" Type="http://schemas.openxmlformats.org/officeDocument/2006/relationships/hyperlink" Target="mailto:liamhancy@greeneking.co.uk" TargetMode="External"/><Relationship Id="rId1027" Type="http://schemas.openxmlformats.org/officeDocument/2006/relationships/hyperlink" Target="mailto:liamhancy@greeneking.co.uk" TargetMode="External"/><Relationship Id="rId243" Type="http://schemas.openxmlformats.org/officeDocument/2006/relationships/hyperlink" Target="mailto:jessicagreen@greeneking.co.uk" TargetMode="External"/><Relationship Id="rId450" Type="http://schemas.openxmlformats.org/officeDocument/2006/relationships/hyperlink" Target="mailto:jessicagreen@greeneking.co.uk" TargetMode="External"/><Relationship Id="rId688" Type="http://schemas.openxmlformats.org/officeDocument/2006/relationships/hyperlink" Target="mailto:liamhancy@greeneking.co.uk" TargetMode="External"/><Relationship Id="rId895" Type="http://schemas.openxmlformats.org/officeDocument/2006/relationships/hyperlink" Target="mailto:liamhancy@greeneking.co.uk" TargetMode="External"/><Relationship Id="rId909" Type="http://schemas.openxmlformats.org/officeDocument/2006/relationships/hyperlink" Target="mailto:tombrown@greeneking.co.uk" TargetMode="External"/><Relationship Id="rId1080" Type="http://schemas.openxmlformats.org/officeDocument/2006/relationships/hyperlink" Target="mailto:liamhancy@greeneking.co.uk" TargetMode="External"/><Relationship Id="rId38" Type="http://schemas.openxmlformats.org/officeDocument/2006/relationships/hyperlink" Target="mailto:liamhancy@greeneking.co.uk" TargetMode="External"/><Relationship Id="rId103" Type="http://schemas.openxmlformats.org/officeDocument/2006/relationships/hyperlink" Target="mailto:jessicagreen@greeneking.co.uk" TargetMode="External"/><Relationship Id="rId310" Type="http://schemas.openxmlformats.org/officeDocument/2006/relationships/hyperlink" Target="mailto:kevin.grierson@belhaven.co.uk" TargetMode="External"/><Relationship Id="rId548" Type="http://schemas.openxmlformats.org/officeDocument/2006/relationships/hyperlink" Target="mailto:liamhancy@greeneking.co.uk" TargetMode="External"/><Relationship Id="rId755" Type="http://schemas.openxmlformats.org/officeDocument/2006/relationships/hyperlink" Target="mailto:liamhancy@greeneking.co.uk" TargetMode="External"/><Relationship Id="rId962" Type="http://schemas.openxmlformats.org/officeDocument/2006/relationships/hyperlink" Target="mailto:liamhancy@greeneking.co.uk" TargetMode="External"/><Relationship Id="rId91" Type="http://schemas.openxmlformats.org/officeDocument/2006/relationships/hyperlink" Target="mailto:jessicagreen@greeneking.co.uk" TargetMode="External"/><Relationship Id="rId187" Type="http://schemas.openxmlformats.org/officeDocument/2006/relationships/hyperlink" Target="mailto:liamhancy@greeneking.co.uk" TargetMode="External"/><Relationship Id="rId394" Type="http://schemas.openxmlformats.org/officeDocument/2006/relationships/hyperlink" Target="mailto:tombrown@greeneking.co.uk" TargetMode="External"/><Relationship Id="rId408" Type="http://schemas.openxmlformats.org/officeDocument/2006/relationships/hyperlink" Target="mailto:tombrown@greeneking.co.uk" TargetMode="External"/><Relationship Id="rId615" Type="http://schemas.openxmlformats.org/officeDocument/2006/relationships/hyperlink" Target="mailto:jessicagreen@greeneking.co.uk" TargetMode="External"/><Relationship Id="rId822" Type="http://schemas.openxmlformats.org/officeDocument/2006/relationships/hyperlink" Target="mailto:liamhancy@greeneking.co.uk" TargetMode="External"/><Relationship Id="rId1038" Type="http://schemas.openxmlformats.org/officeDocument/2006/relationships/hyperlink" Target="mailto:liamhancy@greeneking.co.uk" TargetMode="External"/><Relationship Id="rId254" Type="http://schemas.openxmlformats.org/officeDocument/2006/relationships/hyperlink" Target="mailto:kevin.grierson@belhaven.co.uk" TargetMode="External"/><Relationship Id="rId699" Type="http://schemas.openxmlformats.org/officeDocument/2006/relationships/hyperlink" Target="mailto:jessicagreen@greeneking.co.uk" TargetMode="External"/><Relationship Id="rId1091" Type="http://schemas.openxmlformats.org/officeDocument/2006/relationships/hyperlink" Target="mailto:liamhancy@greeneking.co.uk" TargetMode="External"/><Relationship Id="rId1105" Type="http://schemas.openxmlformats.org/officeDocument/2006/relationships/hyperlink" Target="mailto:liamhancy@greeneking.co.uk" TargetMode="External"/><Relationship Id="rId49" Type="http://schemas.openxmlformats.org/officeDocument/2006/relationships/hyperlink" Target="mailto:liamhancy@greeneking.co.uk" TargetMode="External"/><Relationship Id="rId114" Type="http://schemas.openxmlformats.org/officeDocument/2006/relationships/hyperlink" Target="mailto:liamhancy@greeneking.co.uk" TargetMode="External"/><Relationship Id="rId461" Type="http://schemas.openxmlformats.org/officeDocument/2006/relationships/hyperlink" Target="mailto:liamhancy@greeneking.co.uk" TargetMode="External"/><Relationship Id="rId559" Type="http://schemas.openxmlformats.org/officeDocument/2006/relationships/hyperlink" Target="mailto:jessicagreen@greeneking.co.uk" TargetMode="External"/><Relationship Id="rId766" Type="http://schemas.openxmlformats.org/officeDocument/2006/relationships/hyperlink" Target="mailto:liamhancy@greeneking.co.uk" TargetMode="External"/><Relationship Id="rId198" Type="http://schemas.openxmlformats.org/officeDocument/2006/relationships/hyperlink" Target="mailto:liamhancy@greeneking.co.uk" TargetMode="External"/><Relationship Id="rId321" Type="http://schemas.openxmlformats.org/officeDocument/2006/relationships/hyperlink" Target="mailto:benfrater@greeneking.co.uk" TargetMode="External"/><Relationship Id="rId419" Type="http://schemas.openxmlformats.org/officeDocument/2006/relationships/hyperlink" Target="mailto:tombrown@greeneking.co.uk" TargetMode="External"/><Relationship Id="rId626" Type="http://schemas.openxmlformats.org/officeDocument/2006/relationships/hyperlink" Target="mailto:liamhancy@greeneking.co.uk" TargetMode="External"/><Relationship Id="rId973" Type="http://schemas.openxmlformats.org/officeDocument/2006/relationships/hyperlink" Target="mailto:liamhancy@greeneking.co.uk" TargetMode="External"/><Relationship Id="rId1049" Type="http://schemas.openxmlformats.org/officeDocument/2006/relationships/hyperlink" Target="mailto:liamhancy@greeneking.co.uk" TargetMode="External"/><Relationship Id="rId833" Type="http://schemas.openxmlformats.org/officeDocument/2006/relationships/hyperlink" Target="mailto:liamhancy@greeneking.co.uk" TargetMode="External"/><Relationship Id="rId1116" Type="http://schemas.openxmlformats.org/officeDocument/2006/relationships/hyperlink" Target="mailto:liamhancy@greeneking.co.uk" TargetMode="External"/><Relationship Id="rId265" Type="http://schemas.openxmlformats.org/officeDocument/2006/relationships/hyperlink" Target="mailto:benfrater@greeneking.co.uk" TargetMode="External"/><Relationship Id="rId472" Type="http://schemas.openxmlformats.org/officeDocument/2006/relationships/hyperlink" Target="mailto:jessicagreen@greeneking.co.uk" TargetMode="External"/><Relationship Id="rId900" Type="http://schemas.openxmlformats.org/officeDocument/2006/relationships/hyperlink" Target="mailto:liamhancy@greeneking.co.uk" TargetMode="External"/><Relationship Id="rId125" Type="http://schemas.openxmlformats.org/officeDocument/2006/relationships/hyperlink" Target="mailto:jessicagreen@greeneking.co.uk" TargetMode="External"/><Relationship Id="rId332" Type="http://schemas.openxmlformats.org/officeDocument/2006/relationships/hyperlink" Target="mailto:liamhancy@greeneking.co.uk" TargetMode="External"/><Relationship Id="rId777" Type="http://schemas.openxmlformats.org/officeDocument/2006/relationships/hyperlink" Target="mailto:liamhancy@greeneking.co.uk" TargetMode="External"/><Relationship Id="rId984" Type="http://schemas.openxmlformats.org/officeDocument/2006/relationships/hyperlink" Target="mailto:liamhancy@greeneking.co.uk" TargetMode="External"/><Relationship Id="rId637" Type="http://schemas.openxmlformats.org/officeDocument/2006/relationships/hyperlink" Target="mailto:jessicagreen@greeneking.co.uk" TargetMode="External"/><Relationship Id="rId844" Type="http://schemas.openxmlformats.org/officeDocument/2006/relationships/hyperlink" Target="mailto:Adamreditt@greeneking.co.uk" TargetMode="External"/><Relationship Id="rId276" Type="http://schemas.openxmlformats.org/officeDocument/2006/relationships/hyperlink" Target="mailto:kevin.grierson@belhaven.co.uk" TargetMode="External"/><Relationship Id="rId483" Type="http://schemas.openxmlformats.org/officeDocument/2006/relationships/hyperlink" Target="mailto:liamhancy@greeneking.co.uk" TargetMode="External"/><Relationship Id="rId690" Type="http://schemas.openxmlformats.org/officeDocument/2006/relationships/hyperlink" Target="mailto:liamhancy@greeneking.co.uk" TargetMode="External"/><Relationship Id="rId704" Type="http://schemas.openxmlformats.org/officeDocument/2006/relationships/hyperlink" Target="mailto:liamhancy@greeneking.co.uk" TargetMode="External"/><Relationship Id="rId911" Type="http://schemas.openxmlformats.org/officeDocument/2006/relationships/hyperlink" Target="mailto:liamhancy@greeneking.co.uk" TargetMode="External"/><Relationship Id="rId1127" Type="http://schemas.openxmlformats.org/officeDocument/2006/relationships/hyperlink" Target="mailto:liamhancy@greeneking.co.uk" TargetMode="External"/><Relationship Id="rId40" Type="http://schemas.openxmlformats.org/officeDocument/2006/relationships/hyperlink" Target="mailto:liamhancy@greeneking.co.uk" TargetMode="External"/><Relationship Id="rId136" Type="http://schemas.openxmlformats.org/officeDocument/2006/relationships/hyperlink" Target="mailto:liamhancy@greeneking.co.uk" TargetMode="External"/><Relationship Id="rId343" Type="http://schemas.openxmlformats.org/officeDocument/2006/relationships/hyperlink" Target="mailto:jessicagreen@greeneking.co.uk" TargetMode="External"/><Relationship Id="rId550" Type="http://schemas.openxmlformats.org/officeDocument/2006/relationships/hyperlink" Target="mailto:liamhancy@greeneking.co.uk" TargetMode="External"/><Relationship Id="rId788" Type="http://schemas.openxmlformats.org/officeDocument/2006/relationships/hyperlink" Target="mailto:liamhancy@greeneking.co.uk" TargetMode="External"/><Relationship Id="rId995" Type="http://schemas.openxmlformats.org/officeDocument/2006/relationships/hyperlink" Target="mailto:liamhancy@greeneking.co.uk" TargetMode="External"/><Relationship Id="rId203" Type="http://schemas.openxmlformats.org/officeDocument/2006/relationships/hyperlink" Target="mailto:liamhancy@greeneking.co.uk" TargetMode="External"/><Relationship Id="rId648" Type="http://schemas.openxmlformats.org/officeDocument/2006/relationships/hyperlink" Target="mailto:liamhancy@greeneking.co.uk" TargetMode="External"/><Relationship Id="rId855" Type="http://schemas.openxmlformats.org/officeDocument/2006/relationships/hyperlink" Target="mailto:tombrown@greeneking.co.uk" TargetMode="External"/><Relationship Id="rId1040" Type="http://schemas.openxmlformats.org/officeDocument/2006/relationships/hyperlink" Target="mailto:liamhancy@greeneking.co.uk" TargetMode="External"/><Relationship Id="rId287" Type="http://schemas.openxmlformats.org/officeDocument/2006/relationships/hyperlink" Target="mailto:benfrater@greeneking.co.uk" TargetMode="External"/><Relationship Id="rId410" Type="http://schemas.openxmlformats.org/officeDocument/2006/relationships/hyperlink" Target="mailto:tombrown@greeneking.co.uk" TargetMode="External"/><Relationship Id="rId494" Type="http://schemas.openxmlformats.org/officeDocument/2006/relationships/hyperlink" Target="mailto:jessicagreen@greeneking.co.uk" TargetMode="External"/><Relationship Id="rId508" Type="http://schemas.openxmlformats.org/officeDocument/2006/relationships/hyperlink" Target="mailto:liamhancy@greeneking.co.uk" TargetMode="External"/><Relationship Id="rId715" Type="http://schemas.openxmlformats.org/officeDocument/2006/relationships/hyperlink" Target="mailto:liamhancy@greeneking.co.uk" TargetMode="External"/><Relationship Id="rId922" Type="http://schemas.openxmlformats.org/officeDocument/2006/relationships/hyperlink" Target="mailto:tombrown@greeneking.co.uk" TargetMode="External"/><Relationship Id="rId147" Type="http://schemas.openxmlformats.org/officeDocument/2006/relationships/hyperlink" Target="mailto:liamhancy@greeneking.co.uk" TargetMode="External"/><Relationship Id="rId354" Type="http://schemas.openxmlformats.org/officeDocument/2006/relationships/hyperlink" Target="mailto:liamhancy@greeneking.co.uk" TargetMode="External"/><Relationship Id="rId799" Type="http://schemas.openxmlformats.org/officeDocument/2006/relationships/hyperlink" Target="mailto:liamhancy@greeneking.co.uk" TargetMode="External"/><Relationship Id="rId51" Type="http://schemas.openxmlformats.org/officeDocument/2006/relationships/hyperlink" Target="mailto:jessicagreen@greeneking.co.uk" TargetMode="External"/><Relationship Id="rId561" Type="http://schemas.openxmlformats.org/officeDocument/2006/relationships/hyperlink" Target="mailto:jessicagreen@greeneking.co.uk" TargetMode="External"/><Relationship Id="rId659" Type="http://schemas.openxmlformats.org/officeDocument/2006/relationships/hyperlink" Target="mailto:liamhancy@greeneking.co.uk" TargetMode="External"/><Relationship Id="rId866" Type="http://schemas.openxmlformats.org/officeDocument/2006/relationships/hyperlink" Target="mailto:tombrown@greeneking.co.uk" TargetMode="External"/><Relationship Id="rId214" Type="http://schemas.openxmlformats.org/officeDocument/2006/relationships/hyperlink" Target="mailto:liamhancy@greeneking.co.uk" TargetMode="External"/><Relationship Id="rId298" Type="http://schemas.openxmlformats.org/officeDocument/2006/relationships/hyperlink" Target="mailto:kevin.grierson@belhaven.co.uk" TargetMode="External"/><Relationship Id="rId421" Type="http://schemas.openxmlformats.org/officeDocument/2006/relationships/hyperlink" Target="mailto:tombrown@greeneking.co.uk" TargetMode="External"/><Relationship Id="rId519" Type="http://schemas.openxmlformats.org/officeDocument/2006/relationships/hyperlink" Target="mailto:jessicagreen@greeneking.co.uk" TargetMode="External"/><Relationship Id="rId1051" Type="http://schemas.openxmlformats.org/officeDocument/2006/relationships/hyperlink" Target="mailto:liamhancy@greeneking.co.uk" TargetMode="External"/><Relationship Id="rId158" Type="http://schemas.openxmlformats.org/officeDocument/2006/relationships/hyperlink" Target="mailto:liamhancy@greeneking.co.uk" TargetMode="External"/><Relationship Id="rId726" Type="http://schemas.openxmlformats.org/officeDocument/2006/relationships/hyperlink" Target="mailto:liamhancy@greeneking.co.uk" TargetMode="External"/><Relationship Id="rId933" Type="http://schemas.openxmlformats.org/officeDocument/2006/relationships/hyperlink" Target="mailto:tombrown@greeneking.co.uk" TargetMode="External"/><Relationship Id="rId1009" Type="http://schemas.openxmlformats.org/officeDocument/2006/relationships/hyperlink" Target="mailto:liamhancy@greeneking.co.uk" TargetMode="External"/><Relationship Id="rId62" Type="http://schemas.openxmlformats.org/officeDocument/2006/relationships/hyperlink" Target="mailto:liamhancy@greeneking.co.uk" TargetMode="External"/><Relationship Id="rId365" Type="http://schemas.openxmlformats.org/officeDocument/2006/relationships/hyperlink" Target="mailto:liamhancy@greeneking.co.uk" TargetMode="External"/><Relationship Id="rId572" Type="http://schemas.openxmlformats.org/officeDocument/2006/relationships/hyperlink" Target="mailto:liamhancy@greeneking.co.uk" TargetMode="External"/><Relationship Id="rId225" Type="http://schemas.openxmlformats.org/officeDocument/2006/relationships/hyperlink" Target="mailto:liamhancy@greeneking.co.uk" TargetMode="External"/><Relationship Id="rId432" Type="http://schemas.openxmlformats.org/officeDocument/2006/relationships/hyperlink" Target="mailto:jessicagreen@greeneking.co.uk" TargetMode="External"/><Relationship Id="rId877" Type="http://schemas.openxmlformats.org/officeDocument/2006/relationships/hyperlink" Target="mailto:tombrown@greeneking.co.uk" TargetMode="External"/><Relationship Id="rId1062" Type="http://schemas.openxmlformats.org/officeDocument/2006/relationships/hyperlink" Target="mailto:liamhancy@greeneking.co.uk" TargetMode="External"/><Relationship Id="rId737" Type="http://schemas.openxmlformats.org/officeDocument/2006/relationships/hyperlink" Target="mailto:liamhancy@greeneking.co.uk" TargetMode="External"/><Relationship Id="rId944" Type="http://schemas.openxmlformats.org/officeDocument/2006/relationships/hyperlink" Target="mailto:liamhancy@greeneking.co.uk" TargetMode="External"/><Relationship Id="rId73" Type="http://schemas.openxmlformats.org/officeDocument/2006/relationships/hyperlink" Target="mailto:tombrown@greeneking.co.uk" TargetMode="External"/><Relationship Id="rId169" Type="http://schemas.openxmlformats.org/officeDocument/2006/relationships/hyperlink" Target="mailto:liamhancy@greeneking.co.uk" TargetMode="External"/><Relationship Id="rId376" Type="http://schemas.openxmlformats.org/officeDocument/2006/relationships/hyperlink" Target="mailto:liamhancy@greeneking.co.uk" TargetMode="External"/><Relationship Id="rId583" Type="http://schemas.openxmlformats.org/officeDocument/2006/relationships/hyperlink" Target="mailto:jessicagreen@greeneking.co.uk" TargetMode="External"/><Relationship Id="rId790" Type="http://schemas.openxmlformats.org/officeDocument/2006/relationships/hyperlink" Target="mailto:liamhancy@greeneking.co.uk" TargetMode="External"/><Relationship Id="rId804" Type="http://schemas.openxmlformats.org/officeDocument/2006/relationships/hyperlink" Target="mailto:liamhancy@greeneking.co.uk" TargetMode="External"/><Relationship Id="rId4" Type="http://schemas.openxmlformats.org/officeDocument/2006/relationships/hyperlink" Target="mailto:liamhancy@greeneking.co.uk" TargetMode="External"/><Relationship Id="rId236" Type="http://schemas.openxmlformats.org/officeDocument/2006/relationships/hyperlink" Target="mailto:liamhancy@greeneking.co.uk" TargetMode="External"/><Relationship Id="rId443" Type="http://schemas.openxmlformats.org/officeDocument/2006/relationships/hyperlink" Target="mailto:liamhancy@greeneking.co.uk" TargetMode="External"/><Relationship Id="rId650" Type="http://schemas.openxmlformats.org/officeDocument/2006/relationships/hyperlink" Target="mailto:liamhancy@greeneking.co.uk" TargetMode="External"/><Relationship Id="rId888" Type="http://schemas.openxmlformats.org/officeDocument/2006/relationships/hyperlink" Target="mailto:liamhancy@greeneking.co.uk" TargetMode="External"/><Relationship Id="rId1073" Type="http://schemas.openxmlformats.org/officeDocument/2006/relationships/hyperlink" Target="mailto:liamhancy@greeneking.co.uk" TargetMode="External"/><Relationship Id="rId303" Type="http://schemas.openxmlformats.org/officeDocument/2006/relationships/hyperlink" Target="mailto:benfrater@greeneking.co.uk" TargetMode="External"/><Relationship Id="rId748" Type="http://schemas.openxmlformats.org/officeDocument/2006/relationships/hyperlink" Target="mailto:kevin.grierson@belhaven.co.uk" TargetMode="External"/><Relationship Id="rId955" Type="http://schemas.openxmlformats.org/officeDocument/2006/relationships/hyperlink" Target="mailto:liamhancy@greeneking.co.uk" TargetMode="External"/><Relationship Id="rId84" Type="http://schemas.openxmlformats.org/officeDocument/2006/relationships/hyperlink" Target="mailto:tombrown@greeneking.co.uk" TargetMode="External"/><Relationship Id="rId387" Type="http://schemas.openxmlformats.org/officeDocument/2006/relationships/hyperlink" Target="mailto:tombrown@greeneking.co.uk" TargetMode="External"/><Relationship Id="rId510" Type="http://schemas.openxmlformats.org/officeDocument/2006/relationships/hyperlink" Target="mailto:liamhancy@greeneking.co.uk" TargetMode="External"/><Relationship Id="rId594" Type="http://schemas.openxmlformats.org/officeDocument/2006/relationships/hyperlink" Target="mailto:liamhancy@greeneking.co.uk" TargetMode="External"/><Relationship Id="rId608" Type="http://schemas.openxmlformats.org/officeDocument/2006/relationships/hyperlink" Target="mailto:liamhancy@greeneking.co.uk" TargetMode="External"/><Relationship Id="rId815" Type="http://schemas.openxmlformats.org/officeDocument/2006/relationships/hyperlink" Target="mailto:liamhancy@greeneking.co.uk" TargetMode="External"/><Relationship Id="rId247" Type="http://schemas.openxmlformats.org/officeDocument/2006/relationships/hyperlink" Target="mailto:jessicagreen@greeneking.co.uk" TargetMode="External"/><Relationship Id="rId899" Type="http://schemas.openxmlformats.org/officeDocument/2006/relationships/hyperlink" Target="mailto:liamhancy@greeneking.co.uk" TargetMode="External"/><Relationship Id="rId1000" Type="http://schemas.openxmlformats.org/officeDocument/2006/relationships/hyperlink" Target="mailto:liamhancy@greeneking.co.uk" TargetMode="External"/><Relationship Id="rId1084" Type="http://schemas.openxmlformats.org/officeDocument/2006/relationships/hyperlink" Target="mailto:liamhancy@greeneking.co.uk" TargetMode="External"/><Relationship Id="rId107" Type="http://schemas.openxmlformats.org/officeDocument/2006/relationships/hyperlink" Target="mailto:jessicagreen@greeneking.co.uk" TargetMode="External"/><Relationship Id="rId454" Type="http://schemas.openxmlformats.org/officeDocument/2006/relationships/hyperlink" Target="mailto:jessicagreen@greeneking.co.uk" TargetMode="External"/><Relationship Id="rId661" Type="http://schemas.openxmlformats.org/officeDocument/2006/relationships/hyperlink" Target="mailto:liamhancy@greeneking.co.uk" TargetMode="External"/><Relationship Id="rId759" Type="http://schemas.openxmlformats.org/officeDocument/2006/relationships/hyperlink" Target="mailto:liamhancy@greeneking.co.uk" TargetMode="External"/><Relationship Id="rId966" Type="http://schemas.openxmlformats.org/officeDocument/2006/relationships/hyperlink" Target="mailto:liamhancy@greeneking.co.uk" TargetMode="External"/><Relationship Id="rId11" Type="http://schemas.openxmlformats.org/officeDocument/2006/relationships/hyperlink" Target="mailto:jessicagreen@greeneking.co.uk" TargetMode="External"/><Relationship Id="rId314" Type="http://schemas.openxmlformats.org/officeDocument/2006/relationships/hyperlink" Target="mailto:kevin.grierson@belhaven.co.uk" TargetMode="External"/><Relationship Id="rId398" Type="http://schemas.openxmlformats.org/officeDocument/2006/relationships/hyperlink" Target="mailto:tombrown@greeneking.co.uk" TargetMode="External"/><Relationship Id="rId521" Type="http://schemas.openxmlformats.org/officeDocument/2006/relationships/hyperlink" Target="mailto:jessicagreen@greeneking.co.uk" TargetMode="External"/><Relationship Id="rId619" Type="http://schemas.openxmlformats.org/officeDocument/2006/relationships/hyperlink" Target="mailto:jessicagreen@greeneking.co.uk" TargetMode="External"/><Relationship Id="rId95" Type="http://schemas.openxmlformats.org/officeDocument/2006/relationships/hyperlink" Target="mailto:jessicagreen@greeneking.co.uk" TargetMode="External"/><Relationship Id="rId160" Type="http://schemas.openxmlformats.org/officeDocument/2006/relationships/hyperlink" Target="mailto:liamhancy@greeneking.co.uk" TargetMode="External"/><Relationship Id="rId826" Type="http://schemas.openxmlformats.org/officeDocument/2006/relationships/hyperlink" Target="mailto:liamhancy@greeneking.co.uk" TargetMode="External"/><Relationship Id="rId1011" Type="http://schemas.openxmlformats.org/officeDocument/2006/relationships/hyperlink" Target="mailto:liamhancy@greeneking.co.uk" TargetMode="External"/><Relationship Id="rId1109" Type="http://schemas.openxmlformats.org/officeDocument/2006/relationships/hyperlink" Target="mailto:liamhancy@greeneking.co.uk" TargetMode="External"/><Relationship Id="rId258" Type="http://schemas.openxmlformats.org/officeDocument/2006/relationships/hyperlink" Target="mailto:kevin.grierson@belhaven.co.uk" TargetMode="External"/><Relationship Id="rId465" Type="http://schemas.openxmlformats.org/officeDocument/2006/relationships/hyperlink" Target="mailto:liamhancy@greeneking.co.uk" TargetMode="External"/><Relationship Id="rId672" Type="http://schemas.openxmlformats.org/officeDocument/2006/relationships/hyperlink" Target="mailto:liamhancy@greeneking.co.uk" TargetMode="External"/><Relationship Id="rId1095" Type="http://schemas.openxmlformats.org/officeDocument/2006/relationships/hyperlink" Target="mailto:liamhancy@greeneking.co.uk" TargetMode="External"/><Relationship Id="rId22" Type="http://schemas.openxmlformats.org/officeDocument/2006/relationships/hyperlink" Target="mailto:liamhancy@greeneking.co.uk" TargetMode="External"/><Relationship Id="rId118" Type="http://schemas.openxmlformats.org/officeDocument/2006/relationships/hyperlink" Target="mailto:liamhancy@greeneking.co.uk" TargetMode="External"/><Relationship Id="rId325" Type="http://schemas.openxmlformats.org/officeDocument/2006/relationships/hyperlink" Target="mailto:benfrater@greeneking.co.uk" TargetMode="External"/><Relationship Id="rId532" Type="http://schemas.openxmlformats.org/officeDocument/2006/relationships/hyperlink" Target="mailto:liamhancy@greeneking.co.uk" TargetMode="External"/><Relationship Id="rId977" Type="http://schemas.openxmlformats.org/officeDocument/2006/relationships/hyperlink" Target="mailto:liamhancy@greeneking.co.uk" TargetMode="External"/><Relationship Id="rId171" Type="http://schemas.openxmlformats.org/officeDocument/2006/relationships/hyperlink" Target="mailto:liamhancy@greeneking.co.uk" TargetMode="External"/><Relationship Id="rId837" Type="http://schemas.openxmlformats.org/officeDocument/2006/relationships/hyperlink" Target="mailto:liamhancy@greeneking.co.uk" TargetMode="External"/><Relationship Id="rId1022" Type="http://schemas.openxmlformats.org/officeDocument/2006/relationships/hyperlink" Target="mailto:liamhancy@greeneking.co.uk" TargetMode="External"/><Relationship Id="rId269" Type="http://schemas.openxmlformats.org/officeDocument/2006/relationships/hyperlink" Target="mailto:benfrater@greeneking.co.uk" TargetMode="External"/><Relationship Id="rId476" Type="http://schemas.openxmlformats.org/officeDocument/2006/relationships/hyperlink" Target="mailto:jessicagreen@greeneking.co.uk" TargetMode="External"/><Relationship Id="rId683" Type="http://schemas.openxmlformats.org/officeDocument/2006/relationships/hyperlink" Target="mailto:liamhancy@greeneking.co.uk" TargetMode="External"/><Relationship Id="rId890" Type="http://schemas.openxmlformats.org/officeDocument/2006/relationships/hyperlink" Target="mailto:liamhancy@greeneking.co.uk" TargetMode="External"/><Relationship Id="rId904" Type="http://schemas.openxmlformats.org/officeDocument/2006/relationships/hyperlink" Target="mailto:tombrown@greeneking.co.uk" TargetMode="External"/><Relationship Id="rId33" Type="http://schemas.openxmlformats.org/officeDocument/2006/relationships/hyperlink" Target="mailto:liamhancy@greeneking.co.uk" TargetMode="External"/><Relationship Id="rId129" Type="http://schemas.openxmlformats.org/officeDocument/2006/relationships/hyperlink" Target="mailto:jessicagreen@greeneking.co.uk" TargetMode="External"/><Relationship Id="rId336" Type="http://schemas.openxmlformats.org/officeDocument/2006/relationships/hyperlink" Target="mailto:liamhancy@greeneking.co.uk" TargetMode="External"/><Relationship Id="rId543" Type="http://schemas.openxmlformats.org/officeDocument/2006/relationships/hyperlink" Target="mailto:jessicagreen@greeneking.co.uk" TargetMode="External"/><Relationship Id="rId988" Type="http://schemas.openxmlformats.org/officeDocument/2006/relationships/hyperlink" Target="mailto:liamhancy@greeneking.co.uk" TargetMode="External"/><Relationship Id="rId182" Type="http://schemas.openxmlformats.org/officeDocument/2006/relationships/hyperlink" Target="mailto:liamhancy@greeneking.co.uk" TargetMode="External"/><Relationship Id="rId403" Type="http://schemas.openxmlformats.org/officeDocument/2006/relationships/hyperlink" Target="mailto:Adamreditt@greeneking.co.uk" TargetMode="External"/><Relationship Id="rId750" Type="http://schemas.openxmlformats.org/officeDocument/2006/relationships/hyperlink" Target="mailto:liamhancy@greeneking.co.uk" TargetMode="External"/><Relationship Id="rId848" Type="http://schemas.openxmlformats.org/officeDocument/2006/relationships/hyperlink" Target="mailto:Adamreditt@greeneking.co.uk" TargetMode="External"/><Relationship Id="rId1033" Type="http://schemas.openxmlformats.org/officeDocument/2006/relationships/hyperlink" Target="mailto:liamhancy@greeneking.co.uk" TargetMode="External"/><Relationship Id="rId487" Type="http://schemas.openxmlformats.org/officeDocument/2006/relationships/hyperlink" Target="mailto:liamhancy@greeneking.co.uk" TargetMode="External"/><Relationship Id="rId610" Type="http://schemas.openxmlformats.org/officeDocument/2006/relationships/hyperlink" Target="mailto:liamhancy@greeneking.co.uk" TargetMode="External"/><Relationship Id="rId694" Type="http://schemas.openxmlformats.org/officeDocument/2006/relationships/hyperlink" Target="mailto:liamhancy@greeneking.co.uk" TargetMode="External"/><Relationship Id="rId708" Type="http://schemas.openxmlformats.org/officeDocument/2006/relationships/hyperlink" Target="mailto:liamhancy@greeneking.co.uk" TargetMode="External"/><Relationship Id="rId915" Type="http://schemas.openxmlformats.org/officeDocument/2006/relationships/hyperlink" Target="mailto:liamhancy@greeneking.co.uk" TargetMode="External"/><Relationship Id="rId347" Type="http://schemas.openxmlformats.org/officeDocument/2006/relationships/hyperlink" Target="mailto:liamhancy@greeneking.co.uk" TargetMode="External"/><Relationship Id="rId999" Type="http://schemas.openxmlformats.org/officeDocument/2006/relationships/hyperlink" Target="mailto:liamhancy@greeneking.co.uk" TargetMode="External"/><Relationship Id="rId1100" Type="http://schemas.openxmlformats.org/officeDocument/2006/relationships/hyperlink" Target="mailto:liamhancy@greeneking.co.uk" TargetMode="External"/><Relationship Id="rId44" Type="http://schemas.openxmlformats.org/officeDocument/2006/relationships/hyperlink" Target="mailto:liamhancy@greeneking.co.uk" TargetMode="External"/><Relationship Id="rId554" Type="http://schemas.openxmlformats.org/officeDocument/2006/relationships/hyperlink" Target="mailto:liamhancy@greeneking.co.uk" TargetMode="External"/><Relationship Id="rId761" Type="http://schemas.openxmlformats.org/officeDocument/2006/relationships/hyperlink" Target="mailto:liamhancy@greeneking.co.uk" TargetMode="External"/><Relationship Id="rId859" Type="http://schemas.openxmlformats.org/officeDocument/2006/relationships/hyperlink" Target="mailto:tombrown@greeneking.co.uk" TargetMode="External"/><Relationship Id="rId193" Type="http://schemas.openxmlformats.org/officeDocument/2006/relationships/hyperlink" Target="mailto:liamhancy@greeneking.co.uk" TargetMode="External"/><Relationship Id="rId207" Type="http://schemas.openxmlformats.org/officeDocument/2006/relationships/hyperlink" Target="mailto:liamhancy@greeneking.co.uk" TargetMode="External"/><Relationship Id="rId414" Type="http://schemas.openxmlformats.org/officeDocument/2006/relationships/hyperlink" Target="mailto:tombrown@greeneking.co.uk" TargetMode="External"/><Relationship Id="rId498" Type="http://schemas.openxmlformats.org/officeDocument/2006/relationships/hyperlink" Target="mailto:jessicagreen@greeneking.co.uk" TargetMode="External"/><Relationship Id="rId621" Type="http://schemas.openxmlformats.org/officeDocument/2006/relationships/hyperlink" Target="mailto:jessicagreen@greeneking.co.uk" TargetMode="External"/><Relationship Id="rId1044" Type="http://schemas.openxmlformats.org/officeDocument/2006/relationships/hyperlink" Target="mailto:liamhancy@greeneking.co.uk" TargetMode="External"/><Relationship Id="rId260" Type="http://schemas.openxmlformats.org/officeDocument/2006/relationships/hyperlink" Target="mailto:kevin.grierson@belhaven.co.uk" TargetMode="External"/><Relationship Id="rId719" Type="http://schemas.openxmlformats.org/officeDocument/2006/relationships/hyperlink" Target="mailto:liamhancy@greeneking.co.uk" TargetMode="External"/><Relationship Id="rId926" Type="http://schemas.openxmlformats.org/officeDocument/2006/relationships/hyperlink" Target="mailto:Adamreditt@greeneking.co.uk" TargetMode="External"/><Relationship Id="rId1111" Type="http://schemas.openxmlformats.org/officeDocument/2006/relationships/hyperlink" Target="mailto:liamhancy@greeneking.co.uk" TargetMode="External"/><Relationship Id="rId55" Type="http://schemas.openxmlformats.org/officeDocument/2006/relationships/hyperlink" Target="mailto:jessicagreen@greeneking.co.uk" TargetMode="External"/><Relationship Id="rId120" Type="http://schemas.openxmlformats.org/officeDocument/2006/relationships/hyperlink" Target="mailto:liamhancy@greeneking.co.uk" TargetMode="External"/><Relationship Id="rId358" Type="http://schemas.openxmlformats.org/officeDocument/2006/relationships/hyperlink" Target="mailto:liamhancy@greeneking.co.uk" TargetMode="External"/><Relationship Id="rId565" Type="http://schemas.openxmlformats.org/officeDocument/2006/relationships/hyperlink" Target="mailto:jessicagreen@greeneking.co.uk" TargetMode="External"/><Relationship Id="rId772" Type="http://schemas.openxmlformats.org/officeDocument/2006/relationships/hyperlink" Target="mailto:liamhancy@greeneking.co.uk" TargetMode="External"/><Relationship Id="rId218" Type="http://schemas.openxmlformats.org/officeDocument/2006/relationships/hyperlink" Target="mailto:liamhancy@greeneking.co.uk" TargetMode="External"/><Relationship Id="rId425" Type="http://schemas.openxmlformats.org/officeDocument/2006/relationships/hyperlink" Target="mailto:liamhancy@greeneking.co.uk" TargetMode="External"/><Relationship Id="rId632" Type="http://schemas.openxmlformats.org/officeDocument/2006/relationships/hyperlink" Target="mailto:liamhancy@greeneking.co.uk" TargetMode="External"/><Relationship Id="rId1055" Type="http://schemas.openxmlformats.org/officeDocument/2006/relationships/hyperlink" Target="mailto:liamhancy@greeneking.co.uk" TargetMode="External"/><Relationship Id="rId271" Type="http://schemas.openxmlformats.org/officeDocument/2006/relationships/hyperlink" Target="mailto:benfrater@greeneking.co.uk" TargetMode="External"/><Relationship Id="rId937" Type="http://schemas.openxmlformats.org/officeDocument/2006/relationships/hyperlink" Target="mailto:tombrown@greeneking.co.uk" TargetMode="External"/><Relationship Id="rId1122" Type="http://schemas.openxmlformats.org/officeDocument/2006/relationships/hyperlink" Target="mailto:liamhancy@greeneking.co.uk" TargetMode="External"/><Relationship Id="rId66" Type="http://schemas.openxmlformats.org/officeDocument/2006/relationships/hyperlink" Target="mailto:liamhancy@greeneking.co.uk" TargetMode="External"/><Relationship Id="rId131" Type="http://schemas.openxmlformats.org/officeDocument/2006/relationships/hyperlink" Target="mailto:jessicagreen@greeneking.co.uk" TargetMode="External"/><Relationship Id="rId369" Type="http://schemas.openxmlformats.org/officeDocument/2006/relationships/hyperlink" Target="mailto:liamhancy@greeneking.co.uk" TargetMode="External"/><Relationship Id="rId576" Type="http://schemas.openxmlformats.org/officeDocument/2006/relationships/hyperlink" Target="mailto:liamhancy@greeneking.co.uk" TargetMode="External"/><Relationship Id="rId783" Type="http://schemas.openxmlformats.org/officeDocument/2006/relationships/hyperlink" Target="mailto:liamhancy@greeneking.co.uk" TargetMode="External"/><Relationship Id="rId990" Type="http://schemas.openxmlformats.org/officeDocument/2006/relationships/hyperlink" Target="mailto:liamhancy@greeneking.co.uk" TargetMode="External"/><Relationship Id="rId229" Type="http://schemas.openxmlformats.org/officeDocument/2006/relationships/hyperlink" Target="mailto:liamhancy@greeneking.co.uk" TargetMode="External"/><Relationship Id="rId436" Type="http://schemas.openxmlformats.org/officeDocument/2006/relationships/hyperlink" Target="mailto:jessicagreen@greeneking.co.uk" TargetMode="External"/><Relationship Id="rId643" Type="http://schemas.openxmlformats.org/officeDocument/2006/relationships/hyperlink" Target="mailto:liamhancy@greeneking.co.uk" TargetMode="External"/><Relationship Id="rId1066" Type="http://schemas.openxmlformats.org/officeDocument/2006/relationships/hyperlink" Target="mailto:liamhancy@greeneking.co.uk" TargetMode="External"/><Relationship Id="rId850" Type="http://schemas.openxmlformats.org/officeDocument/2006/relationships/hyperlink" Target="mailto:Adamreditt@greeneking.co.uk" TargetMode="External"/><Relationship Id="rId948" Type="http://schemas.openxmlformats.org/officeDocument/2006/relationships/hyperlink" Target="mailto:liamhancy@greeneking.co.uk" TargetMode="External"/><Relationship Id="rId77" Type="http://schemas.openxmlformats.org/officeDocument/2006/relationships/hyperlink" Target="mailto:tombrown@greeneking.co.uk" TargetMode="External"/><Relationship Id="rId282" Type="http://schemas.openxmlformats.org/officeDocument/2006/relationships/hyperlink" Target="mailto:kevin.grierson@belhaven.co.uk" TargetMode="External"/><Relationship Id="rId503" Type="http://schemas.openxmlformats.org/officeDocument/2006/relationships/hyperlink" Target="mailto:liamhancy@greeneking.co.uk" TargetMode="External"/><Relationship Id="rId587" Type="http://schemas.openxmlformats.org/officeDocument/2006/relationships/hyperlink" Target="mailto:jessicagreen@greeneking.co.uk" TargetMode="External"/><Relationship Id="rId710" Type="http://schemas.openxmlformats.org/officeDocument/2006/relationships/hyperlink" Target="mailto:liamhancy@greeneking.co.uk" TargetMode="External"/><Relationship Id="rId808" Type="http://schemas.openxmlformats.org/officeDocument/2006/relationships/hyperlink" Target="mailto:liamhancy@greeneking.co.uk" TargetMode="External"/><Relationship Id="rId8" Type="http://schemas.openxmlformats.org/officeDocument/2006/relationships/hyperlink" Target="mailto:liamhancy@greeneking.co.uk" TargetMode="External"/><Relationship Id="rId142" Type="http://schemas.openxmlformats.org/officeDocument/2006/relationships/hyperlink" Target="mailto:jessicagreen@greeneking.co.uk" TargetMode="External"/><Relationship Id="rId447" Type="http://schemas.openxmlformats.org/officeDocument/2006/relationships/hyperlink" Target="mailto:liamhancy@greeneking.co.uk" TargetMode="External"/><Relationship Id="rId794" Type="http://schemas.openxmlformats.org/officeDocument/2006/relationships/hyperlink" Target="mailto:liamhancy@greeneking.co.uk" TargetMode="External"/><Relationship Id="rId1077" Type="http://schemas.openxmlformats.org/officeDocument/2006/relationships/hyperlink" Target="mailto:liamhancy@greeneking.co.uk" TargetMode="External"/><Relationship Id="rId654" Type="http://schemas.openxmlformats.org/officeDocument/2006/relationships/hyperlink" Target="mailto:liamhancy@greeneking.co.uk" TargetMode="External"/><Relationship Id="rId861" Type="http://schemas.openxmlformats.org/officeDocument/2006/relationships/hyperlink" Target="mailto:tombrown@greeneking.co.uk" TargetMode="External"/><Relationship Id="rId959" Type="http://schemas.openxmlformats.org/officeDocument/2006/relationships/hyperlink" Target="mailto:liamhancy@greeneking.co.uk" TargetMode="External"/><Relationship Id="rId293" Type="http://schemas.openxmlformats.org/officeDocument/2006/relationships/hyperlink" Target="mailto:benfrater@greeneking.co.uk" TargetMode="External"/><Relationship Id="rId307" Type="http://schemas.openxmlformats.org/officeDocument/2006/relationships/hyperlink" Target="mailto:benfrater@greeneking.co.uk" TargetMode="External"/><Relationship Id="rId514" Type="http://schemas.openxmlformats.org/officeDocument/2006/relationships/hyperlink" Target="mailto:liamhancy@greeneking.co.uk" TargetMode="External"/><Relationship Id="rId721" Type="http://schemas.openxmlformats.org/officeDocument/2006/relationships/hyperlink" Target="mailto:liamhancy@greeneking.co.uk" TargetMode="External"/><Relationship Id="rId88" Type="http://schemas.openxmlformats.org/officeDocument/2006/relationships/hyperlink" Target="mailto:liamhancy@greeneking.co.uk" TargetMode="External"/><Relationship Id="rId153" Type="http://schemas.openxmlformats.org/officeDocument/2006/relationships/hyperlink" Target="mailto:liamhancy@greeneking.co.uk" TargetMode="External"/><Relationship Id="rId360" Type="http://schemas.openxmlformats.org/officeDocument/2006/relationships/hyperlink" Target="mailto:liamhancy@greeneking.co.uk" TargetMode="External"/><Relationship Id="rId598" Type="http://schemas.openxmlformats.org/officeDocument/2006/relationships/hyperlink" Target="mailto:liamhancy@greeneking.co.uk" TargetMode="External"/><Relationship Id="rId819" Type="http://schemas.openxmlformats.org/officeDocument/2006/relationships/hyperlink" Target="mailto:liamhancy@greeneking.co.uk" TargetMode="External"/><Relationship Id="rId1004" Type="http://schemas.openxmlformats.org/officeDocument/2006/relationships/hyperlink" Target="mailto:liamhancy@greeneking.co.uk" TargetMode="External"/><Relationship Id="rId220" Type="http://schemas.openxmlformats.org/officeDocument/2006/relationships/hyperlink" Target="mailto:liamhancy@greeneking.co.uk" TargetMode="External"/><Relationship Id="rId458" Type="http://schemas.openxmlformats.org/officeDocument/2006/relationships/hyperlink" Target="mailto:jessicagreen@greeneking.co.uk" TargetMode="External"/><Relationship Id="rId665" Type="http://schemas.openxmlformats.org/officeDocument/2006/relationships/hyperlink" Target="mailto:liamhancy@greeneking.co.uk" TargetMode="External"/><Relationship Id="rId872" Type="http://schemas.openxmlformats.org/officeDocument/2006/relationships/hyperlink" Target="mailto:tombrown@greeneking.co.uk" TargetMode="External"/><Relationship Id="rId1088" Type="http://schemas.openxmlformats.org/officeDocument/2006/relationships/hyperlink" Target="mailto:liamhancy@greeneking.co.uk" TargetMode="External"/><Relationship Id="rId15" Type="http://schemas.openxmlformats.org/officeDocument/2006/relationships/hyperlink" Target="mailto:jessicagreen@greeneking.co.uk" TargetMode="External"/><Relationship Id="rId318" Type="http://schemas.openxmlformats.org/officeDocument/2006/relationships/hyperlink" Target="mailto:kevin.grierson@belhaven.co.uk" TargetMode="External"/><Relationship Id="rId525" Type="http://schemas.openxmlformats.org/officeDocument/2006/relationships/hyperlink" Target="mailto:jessicagreen@greeneking.co.uk" TargetMode="External"/><Relationship Id="rId732" Type="http://schemas.openxmlformats.org/officeDocument/2006/relationships/hyperlink" Target="mailto:liamhancy@greeneking.co.uk" TargetMode="External"/><Relationship Id="rId99" Type="http://schemas.openxmlformats.org/officeDocument/2006/relationships/hyperlink" Target="mailto:jessicagreen@greeneking.co.uk" TargetMode="External"/><Relationship Id="rId164" Type="http://schemas.openxmlformats.org/officeDocument/2006/relationships/hyperlink" Target="mailto:liamhancy@greeneking.co.uk" TargetMode="External"/><Relationship Id="rId371" Type="http://schemas.openxmlformats.org/officeDocument/2006/relationships/hyperlink" Target="mailto:liamhancy@greeneking.co.uk" TargetMode="External"/><Relationship Id="rId1015" Type="http://schemas.openxmlformats.org/officeDocument/2006/relationships/hyperlink" Target="mailto:liamhancy@greeneking.co.uk" TargetMode="External"/><Relationship Id="rId469" Type="http://schemas.openxmlformats.org/officeDocument/2006/relationships/hyperlink" Target="mailto:liamhancy@greeneking.co.uk" TargetMode="External"/><Relationship Id="rId676" Type="http://schemas.openxmlformats.org/officeDocument/2006/relationships/hyperlink" Target="mailto:liamhancy@greeneking.co.uk" TargetMode="External"/><Relationship Id="rId883" Type="http://schemas.openxmlformats.org/officeDocument/2006/relationships/hyperlink" Target="mailto:Adamreditt@greeneking.co.uk" TargetMode="External"/><Relationship Id="rId1099" Type="http://schemas.openxmlformats.org/officeDocument/2006/relationships/hyperlink" Target="mailto:liamhancy@greeneking.co.uk" TargetMode="External"/><Relationship Id="rId26" Type="http://schemas.openxmlformats.org/officeDocument/2006/relationships/hyperlink" Target="mailto:liamhancy@greeneking.co.uk" TargetMode="External"/><Relationship Id="rId231" Type="http://schemas.openxmlformats.org/officeDocument/2006/relationships/hyperlink" Target="mailto:liamhancy@greeneking.co.uk" TargetMode="External"/><Relationship Id="rId329" Type="http://schemas.openxmlformats.org/officeDocument/2006/relationships/hyperlink" Target="mailto:jessicagreen@greeneking.co.uk" TargetMode="External"/><Relationship Id="rId536" Type="http://schemas.openxmlformats.org/officeDocument/2006/relationships/hyperlink" Target="mailto:liamhancy@greeneking.co.uk" TargetMode="External"/><Relationship Id="rId175" Type="http://schemas.openxmlformats.org/officeDocument/2006/relationships/hyperlink" Target="mailto:liamhancy@greeneking.co.uk" TargetMode="External"/><Relationship Id="rId743" Type="http://schemas.openxmlformats.org/officeDocument/2006/relationships/hyperlink" Target="mailto:benfrater@greeneking.co.uk" TargetMode="External"/><Relationship Id="rId950" Type="http://schemas.openxmlformats.org/officeDocument/2006/relationships/hyperlink" Target="mailto:liamhancy@greeneking.co.uk" TargetMode="External"/><Relationship Id="rId1026" Type="http://schemas.openxmlformats.org/officeDocument/2006/relationships/hyperlink" Target="mailto:liamhancy@greeneking.co.uk" TargetMode="External"/><Relationship Id="rId382" Type="http://schemas.openxmlformats.org/officeDocument/2006/relationships/hyperlink" Target="mailto:liamhancy@greeneking.co.uk" TargetMode="External"/><Relationship Id="rId603" Type="http://schemas.openxmlformats.org/officeDocument/2006/relationships/hyperlink" Target="mailto:jessicagreen@greeneking.co.uk" TargetMode="External"/><Relationship Id="rId687" Type="http://schemas.openxmlformats.org/officeDocument/2006/relationships/hyperlink" Target="mailto:jessicagreen@greeneking.co.uk" TargetMode="External"/><Relationship Id="rId810" Type="http://schemas.openxmlformats.org/officeDocument/2006/relationships/hyperlink" Target="mailto:liamhancy@greeneking.co.uk" TargetMode="External"/><Relationship Id="rId908" Type="http://schemas.openxmlformats.org/officeDocument/2006/relationships/hyperlink" Target="mailto:tombrown@greeneking.co.uk" TargetMode="External"/><Relationship Id="rId242" Type="http://schemas.openxmlformats.org/officeDocument/2006/relationships/hyperlink" Target="mailto:liamhancy@greeneking.co.uk" TargetMode="External"/><Relationship Id="rId894" Type="http://schemas.openxmlformats.org/officeDocument/2006/relationships/hyperlink" Target="mailto:liamhancy@greeneking.co.uk" TargetMode="External"/><Relationship Id="rId37" Type="http://schemas.openxmlformats.org/officeDocument/2006/relationships/hyperlink" Target="mailto:liamhancy@greeneking.co.uk" TargetMode="External"/><Relationship Id="rId102" Type="http://schemas.openxmlformats.org/officeDocument/2006/relationships/hyperlink" Target="mailto:liamhancy@greeneking.co.uk" TargetMode="External"/><Relationship Id="rId547" Type="http://schemas.openxmlformats.org/officeDocument/2006/relationships/hyperlink" Target="mailto:jessicagreen@greeneking.co.uk" TargetMode="External"/><Relationship Id="rId754" Type="http://schemas.openxmlformats.org/officeDocument/2006/relationships/hyperlink" Target="mailto:liamhancy@greeneking.co.uk" TargetMode="External"/><Relationship Id="rId961" Type="http://schemas.openxmlformats.org/officeDocument/2006/relationships/hyperlink" Target="mailto:liamhancy@greeneking.co.uk" TargetMode="External"/><Relationship Id="rId90" Type="http://schemas.openxmlformats.org/officeDocument/2006/relationships/hyperlink" Target="mailto:liamhancy@greeneking.co.uk" TargetMode="External"/><Relationship Id="rId186" Type="http://schemas.openxmlformats.org/officeDocument/2006/relationships/hyperlink" Target="mailto:liamhancy@greeneking.co.uk" TargetMode="External"/><Relationship Id="rId393" Type="http://schemas.openxmlformats.org/officeDocument/2006/relationships/hyperlink" Target="mailto:tombrown@greeneking.co.uk" TargetMode="External"/><Relationship Id="rId407" Type="http://schemas.openxmlformats.org/officeDocument/2006/relationships/hyperlink" Target="mailto:tombrown@greeneking.co.uk" TargetMode="External"/><Relationship Id="rId614" Type="http://schemas.openxmlformats.org/officeDocument/2006/relationships/hyperlink" Target="mailto:liamhancy@greeneking.co.uk" TargetMode="External"/><Relationship Id="rId821" Type="http://schemas.openxmlformats.org/officeDocument/2006/relationships/hyperlink" Target="mailto:liamhancy@greeneking.co.uk" TargetMode="External"/><Relationship Id="rId1037" Type="http://schemas.openxmlformats.org/officeDocument/2006/relationships/hyperlink" Target="mailto:liamhancy@greeneking.co.uk" TargetMode="External"/><Relationship Id="rId253" Type="http://schemas.openxmlformats.org/officeDocument/2006/relationships/hyperlink" Target="mailto:benfrater@greeneking.co.uk" TargetMode="External"/><Relationship Id="rId460" Type="http://schemas.openxmlformats.org/officeDocument/2006/relationships/hyperlink" Target="mailto:jessicagreen@greeneking.co.uk" TargetMode="External"/><Relationship Id="rId698" Type="http://schemas.openxmlformats.org/officeDocument/2006/relationships/hyperlink" Target="mailto:liamhancy@greeneking.co.uk" TargetMode="External"/><Relationship Id="rId919" Type="http://schemas.openxmlformats.org/officeDocument/2006/relationships/hyperlink" Target="mailto:tombrown@greeneking.co.uk" TargetMode="External"/><Relationship Id="rId1090" Type="http://schemas.openxmlformats.org/officeDocument/2006/relationships/hyperlink" Target="mailto:liamhancy@greeneking.co.uk" TargetMode="External"/><Relationship Id="rId1104" Type="http://schemas.openxmlformats.org/officeDocument/2006/relationships/hyperlink" Target="mailto:liamhancy@greeneking.co.uk" TargetMode="External"/><Relationship Id="rId48" Type="http://schemas.openxmlformats.org/officeDocument/2006/relationships/hyperlink" Target="mailto:liamhancy@greeneking.co.uk" TargetMode="External"/><Relationship Id="rId113" Type="http://schemas.openxmlformats.org/officeDocument/2006/relationships/hyperlink" Target="mailto:jessicagreen@greeneking.co.uk" TargetMode="External"/><Relationship Id="rId320" Type="http://schemas.openxmlformats.org/officeDocument/2006/relationships/hyperlink" Target="mailto:kevin.grierson@belhaven.co.uk" TargetMode="External"/><Relationship Id="rId558" Type="http://schemas.openxmlformats.org/officeDocument/2006/relationships/hyperlink" Target="mailto:liamhancy@greeneking.co.uk" TargetMode="External"/><Relationship Id="rId765" Type="http://schemas.openxmlformats.org/officeDocument/2006/relationships/hyperlink" Target="mailto:liamhancy@greeneking.co.uk" TargetMode="External"/><Relationship Id="rId972" Type="http://schemas.openxmlformats.org/officeDocument/2006/relationships/hyperlink" Target="mailto:liamhancy@greeneking.co.uk" TargetMode="External"/><Relationship Id="rId197" Type="http://schemas.openxmlformats.org/officeDocument/2006/relationships/hyperlink" Target="mailto:liamhancy@greeneking.co.uk" TargetMode="External"/><Relationship Id="rId418" Type="http://schemas.openxmlformats.org/officeDocument/2006/relationships/hyperlink" Target="mailto:tombrown@greeneking.co.uk" TargetMode="External"/><Relationship Id="rId625" Type="http://schemas.openxmlformats.org/officeDocument/2006/relationships/hyperlink" Target="mailto:jessicagreen@greeneking.co.uk" TargetMode="External"/><Relationship Id="rId832" Type="http://schemas.openxmlformats.org/officeDocument/2006/relationships/hyperlink" Target="mailto:liamhancy@greeneking.co.uk" TargetMode="External"/><Relationship Id="rId1048" Type="http://schemas.openxmlformats.org/officeDocument/2006/relationships/hyperlink" Target="mailto:liamhancy@greeneking.co.uk" TargetMode="External"/><Relationship Id="rId264" Type="http://schemas.openxmlformats.org/officeDocument/2006/relationships/hyperlink" Target="mailto:kevin.grierson@belhaven.co.uk" TargetMode="External"/><Relationship Id="rId471" Type="http://schemas.openxmlformats.org/officeDocument/2006/relationships/hyperlink" Target="mailto:liamhancy@greeneking.co.uk" TargetMode="External"/><Relationship Id="rId1115" Type="http://schemas.openxmlformats.org/officeDocument/2006/relationships/hyperlink" Target="mailto:liamhancy@greeneking.co.uk" TargetMode="External"/><Relationship Id="rId59" Type="http://schemas.openxmlformats.org/officeDocument/2006/relationships/hyperlink" Target="mailto:jessicagreen@greeneking.co.uk" TargetMode="External"/><Relationship Id="rId124" Type="http://schemas.openxmlformats.org/officeDocument/2006/relationships/hyperlink" Target="mailto:liamhancy@greeneking.co.uk" TargetMode="External"/><Relationship Id="rId569" Type="http://schemas.openxmlformats.org/officeDocument/2006/relationships/hyperlink" Target="mailto:jessicagreen@greeneking.co.uk" TargetMode="External"/><Relationship Id="rId776" Type="http://schemas.openxmlformats.org/officeDocument/2006/relationships/hyperlink" Target="mailto:liamhancy@greeneking.co.uk" TargetMode="External"/><Relationship Id="rId983" Type="http://schemas.openxmlformats.org/officeDocument/2006/relationships/hyperlink" Target="mailto:liamhancy@greeneking.co.uk" TargetMode="External"/><Relationship Id="rId331" Type="http://schemas.openxmlformats.org/officeDocument/2006/relationships/hyperlink" Target="mailto:jessicagreen@greeneking.co.uk" TargetMode="External"/><Relationship Id="rId429" Type="http://schemas.openxmlformats.org/officeDocument/2006/relationships/hyperlink" Target="mailto:liamhancy@greeneking.co.uk" TargetMode="External"/><Relationship Id="rId636" Type="http://schemas.openxmlformats.org/officeDocument/2006/relationships/hyperlink" Target="mailto:liamhancy@greeneking.co.uk" TargetMode="External"/><Relationship Id="rId1059" Type="http://schemas.openxmlformats.org/officeDocument/2006/relationships/hyperlink" Target="mailto:liamhancy@greeneking.co.uk" TargetMode="External"/><Relationship Id="rId843" Type="http://schemas.openxmlformats.org/officeDocument/2006/relationships/hyperlink" Target="mailto:tombrown@greeneking.co.uk" TargetMode="External"/><Relationship Id="rId1126" Type="http://schemas.openxmlformats.org/officeDocument/2006/relationships/hyperlink" Target="mailto:liamhancy@greeneking.co.uk" TargetMode="External"/><Relationship Id="rId275" Type="http://schemas.openxmlformats.org/officeDocument/2006/relationships/hyperlink" Target="mailto:benfrater@greeneking.co.uk" TargetMode="External"/><Relationship Id="rId482" Type="http://schemas.openxmlformats.org/officeDocument/2006/relationships/hyperlink" Target="mailto:jessicagreen@greeneking.co.uk" TargetMode="External"/><Relationship Id="rId703" Type="http://schemas.openxmlformats.org/officeDocument/2006/relationships/hyperlink" Target="mailto:jessicagreen@greeneking.co.uk" TargetMode="External"/><Relationship Id="rId910" Type="http://schemas.openxmlformats.org/officeDocument/2006/relationships/hyperlink" Target="mailto:tombrown@greeneking.co.uk" TargetMode="External"/><Relationship Id="rId135" Type="http://schemas.openxmlformats.org/officeDocument/2006/relationships/hyperlink" Target="mailto:jessicagreen@greeneking.co.uk" TargetMode="External"/><Relationship Id="rId342" Type="http://schemas.openxmlformats.org/officeDocument/2006/relationships/hyperlink" Target="mailto:liamhancy@greeneking.co.uk" TargetMode="External"/><Relationship Id="rId787" Type="http://schemas.openxmlformats.org/officeDocument/2006/relationships/hyperlink" Target="mailto:liamhancy@greeneking.co.uk" TargetMode="External"/><Relationship Id="rId994" Type="http://schemas.openxmlformats.org/officeDocument/2006/relationships/hyperlink" Target="mailto:liamhancy@greeneking.co.uk" TargetMode="External"/><Relationship Id="rId202" Type="http://schemas.openxmlformats.org/officeDocument/2006/relationships/hyperlink" Target="mailto:liamhancy@greeneking.co.uk" TargetMode="External"/><Relationship Id="rId647" Type="http://schemas.openxmlformats.org/officeDocument/2006/relationships/hyperlink" Target="mailto:liamhancy@greeneking.co.uk" TargetMode="External"/><Relationship Id="rId854" Type="http://schemas.openxmlformats.org/officeDocument/2006/relationships/hyperlink" Target="mailto:Adamreditt@greeneking.co.uk" TargetMode="External"/><Relationship Id="rId286" Type="http://schemas.openxmlformats.org/officeDocument/2006/relationships/hyperlink" Target="mailto:kevin.grierson@belhaven.co.uk" TargetMode="External"/><Relationship Id="rId493" Type="http://schemas.openxmlformats.org/officeDocument/2006/relationships/hyperlink" Target="mailto:liamhancy@greeneking.co.uk" TargetMode="External"/><Relationship Id="rId507" Type="http://schemas.openxmlformats.org/officeDocument/2006/relationships/hyperlink" Target="mailto:liamhancy@greeneking.co.uk" TargetMode="External"/><Relationship Id="rId714" Type="http://schemas.openxmlformats.org/officeDocument/2006/relationships/hyperlink" Target="mailto:liamhancy@greeneking.co.uk" TargetMode="External"/><Relationship Id="rId921" Type="http://schemas.openxmlformats.org/officeDocument/2006/relationships/hyperlink" Target="mailto:tombrown@greeneking.co.uk" TargetMode="External"/><Relationship Id="rId50" Type="http://schemas.openxmlformats.org/officeDocument/2006/relationships/hyperlink" Target="mailto:liamhancy@greeneking.co.uk" TargetMode="External"/><Relationship Id="rId146" Type="http://schemas.openxmlformats.org/officeDocument/2006/relationships/hyperlink" Target="mailto:jessicagreen@greeneking.co.uk" TargetMode="External"/><Relationship Id="rId353" Type="http://schemas.openxmlformats.org/officeDocument/2006/relationships/hyperlink" Target="mailto:liamhancy@greeneking.co.uk" TargetMode="External"/><Relationship Id="rId560" Type="http://schemas.openxmlformats.org/officeDocument/2006/relationships/hyperlink" Target="mailto:liamhancy@greeneking.co.uk" TargetMode="External"/><Relationship Id="rId798" Type="http://schemas.openxmlformats.org/officeDocument/2006/relationships/hyperlink" Target="mailto:liamhancy@greeneking.co.uk" TargetMode="External"/><Relationship Id="rId213" Type="http://schemas.openxmlformats.org/officeDocument/2006/relationships/hyperlink" Target="mailto:liamhancy@greeneking.co.uk" TargetMode="External"/><Relationship Id="rId420" Type="http://schemas.openxmlformats.org/officeDocument/2006/relationships/hyperlink" Target="mailto:tombrown@greeneking.co.uk" TargetMode="External"/><Relationship Id="rId658" Type="http://schemas.openxmlformats.org/officeDocument/2006/relationships/hyperlink" Target="mailto:liamhancy@greeneking.co.uk" TargetMode="External"/><Relationship Id="rId865" Type="http://schemas.openxmlformats.org/officeDocument/2006/relationships/hyperlink" Target="mailto:tombrown@greeneking.co.uk" TargetMode="External"/><Relationship Id="rId1050" Type="http://schemas.openxmlformats.org/officeDocument/2006/relationships/hyperlink" Target="mailto:liamhancy@greeneking.co.uk" TargetMode="External"/><Relationship Id="rId297" Type="http://schemas.openxmlformats.org/officeDocument/2006/relationships/hyperlink" Target="mailto:benfrater@greeneking.co.uk" TargetMode="External"/><Relationship Id="rId518" Type="http://schemas.openxmlformats.org/officeDocument/2006/relationships/hyperlink" Target="mailto:liamhancy@greeneking.co.uk" TargetMode="External"/><Relationship Id="rId725" Type="http://schemas.openxmlformats.org/officeDocument/2006/relationships/hyperlink" Target="mailto:liamhancy@greeneking.co.uk" TargetMode="External"/><Relationship Id="rId932" Type="http://schemas.openxmlformats.org/officeDocument/2006/relationships/hyperlink" Target="mailto:tombrown@greeneking.co.uk" TargetMode="External"/><Relationship Id="rId157" Type="http://schemas.openxmlformats.org/officeDocument/2006/relationships/hyperlink" Target="mailto:liamhancy@greeneking.co.uk" TargetMode="External"/><Relationship Id="rId364" Type="http://schemas.openxmlformats.org/officeDocument/2006/relationships/hyperlink" Target="mailto:liamhancy@greeneking.co.uk" TargetMode="External"/><Relationship Id="rId1008" Type="http://schemas.openxmlformats.org/officeDocument/2006/relationships/hyperlink" Target="mailto:liamhancy@greeneking.co.uk" TargetMode="External"/><Relationship Id="rId61" Type="http://schemas.openxmlformats.org/officeDocument/2006/relationships/hyperlink" Target="mailto:jessicagreen@greeneking.co.uk" TargetMode="External"/><Relationship Id="rId571" Type="http://schemas.openxmlformats.org/officeDocument/2006/relationships/hyperlink" Target="mailto:jessicagreen@greeneking.co.uk" TargetMode="External"/><Relationship Id="rId669" Type="http://schemas.openxmlformats.org/officeDocument/2006/relationships/hyperlink" Target="mailto:liamhancy@greeneking.co.uk" TargetMode="External"/><Relationship Id="rId876" Type="http://schemas.openxmlformats.org/officeDocument/2006/relationships/hyperlink" Target="mailto:tombrown@greeneking.co.uk" TargetMode="External"/><Relationship Id="rId19" Type="http://schemas.openxmlformats.org/officeDocument/2006/relationships/hyperlink" Target="mailto:jessicagreen@greeneking.co.uk" TargetMode="External"/><Relationship Id="rId224" Type="http://schemas.openxmlformats.org/officeDocument/2006/relationships/hyperlink" Target="mailto:liamhancy@greeneking.co.uk" TargetMode="External"/><Relationship Id="rId431" Type="http://schemas.openxmlformats.org/officeDocument/2006/relationships/hyperlink" Target="mailto:liamhancy@greeneking.co.uk" TargetMode="External"/><Relationship Id="rId529" Type="http://schemas.openxmlformats.org/officeDocument/2006/relationships/hyperlink" Target="mailto:jessicagreen@greeneking.co.uk" TargetMode="External"/><Relationship Id="rId736" Type="http://schemas.openxmlformats.org/officeDocument/2006/relationships/hyperlink" Target="mailto:liamhancy@greeneking.co.uk" TargetMode="External"/><Relationship Id="rId1061" Type="http://schemas.openxmlformats.org/officeDocument/2006/relationships/hyperlink" Target="mailto:liamhancy@greeneking.co.uk" TargetMode="External"/><Relationship Id="rId168" Type="http://schemas.openxmlformats.org/officeDocument/2006/relationships/hyperlink" Target="mailto:liamhancy@greeneking.co.uk" TargetMode="External"/><Relationship Id="rId943" Type="http://schemas.openxmlformats.org/officeDocument/2006/relationships/hyperlink" Target="mailto:liamhancy@greeneking.co.uk" TargetMode="External"/><Relationship Id="rId1019" Type="http://schemas.openxmlformats.org/officeDocument/2006/relationships/hyperlink" Target="mailto:liamhancy@greeneking.co.uk" TargetMode="External"/><Relationship Id="rId72" Type="http://schemas.openxmlformats.org/officeDocument/2006/relationships/hyperlink" Target="mailto:tombrown@greeneking.co.uk" TargetMode="External"/><Relationship Id="rId375" Type="http://schemas.openxmlformats.org/officeDocument/2006/relationships/hyperlink" Target="mailto:jessicagreen@greeneking.co.uk" TargetMode="External"/><Relationship Id="rId582" Type="http://schemas.openxmlformats.org/officeDocument/2006/relationships/hyperlink" Target="mailto:liamhancy@greeneking.co.uk" TargetMode="External"/><Relationship Id="rId803" Type="http://schemas.openxmlformats.org/officeDocument/2006/relationships/hyperlink" Target="mailto:liamhancy@greeneking.co.uk" TargetMode="External"/><Relationship Id="rId3" Type="http://schemas.openxmlformats.org/officeDocument/2006/relationships/hyperlink" Target="mailto:jessicagreen@greeneking.co.uk" TargetMode="External"/><Relationship Id="rId235" Type="http://schemas.openxmlformats.org/officeDocument/2006/relationships/hyperlink" Target="mailto:jessicagreen@greeneking.co.uk" TargetMode="External"/><Relationship Id="rId442" Type="http://schemas.openxmlformats.org/officeDocument/2006/relationships/hyperlink" Target="mailto:jessicagreen@greeneking.co.uk" TargetMode="External"/><Relationship Id="rId887" Type="http://schemas.openxmlformats.org/officeDocument/2006/relationships/hyperlink" Target="mailto:liamhancy@greeneking.co.uk" TargetMode="External"/><Relationship Id="rId1072" Type="http://schemas.openxmlformats.org/officeDocument/2006/relationships/hyperlink" Target="mailto:liamhancy@greeneking.co.uk" TargetMode="External"/><Relationship Id="rId302" Type="http://schemas.openxmlformats.org/officeDocument/2006/relationships/hyperlink" Target="mailto:kevin.grierson@belhaven.co.uk" TargetMode="External"/><Relationship Id="rId747" Type="http://schemas.openxmlformats.org/officeDocument/2006/relationships/hyperlink" Target="mailto:benfrater@greeneking.co.uk" TargetMode="External"/><Relationship Id="rId954" Type="http://schemas.openxmlformats.org/officeDocument/2006/relationships/hyperlink" Target="mailto:liamhancy@greeneking.co.uk" TargetMode="External"/><Relationship Id="rId83" Type="http://schemas.openxmlformats.org/officeDocument/2006/relationships/hyperlink" Target="mailto:tombrown@greeneking.co.uk" TargetMode="External"/><Relationship Id="rId179" Type="http://schemas.openxmlformats.org/officeDocument/2006/relationships/hyperlink" Target="mailto:liamhancy@greeneking.co.uk" TargetMode="External"/><Relationship Id="rId386" Type="http://schemas.openxmlformats.org/officeDocument/2006/relationships/hyperlink" Target="mailto:liamhancy@greeneking.co.uk" TargetMode="External"/><Relationship Id="rId593" Type="http://schemas.openxmlformats.org/officeDocument/2006/relationships/hyperlink" Target="mailto:jessicagreen@greeneking.co.uk" TargetMode="External"/><Relationship Id="rId607" Type="http://schemas.openxmlformats.org/officeDocument/2006/relationships/hyperlink" Target="mailto:jessicagreen@greeneking.co.uk" TargetMode="External"/><Relationship Id="rId814" Type="http://schemas.openxmlformats.org/officeDocument/2006/relationships/hyperlink" Target="mailto:liamhancy@greeneking.co.uk" TargetMode="External"/><Relationship Id="rId246" Type="http://schemas.openxmlformats.org/officeDocument/2006/relationships/hyperlink" Target="mailto:liamhancy@greeneking.co.uk" TargetMode="External"/><Relationship Id="rId453" Type="http://schemas.openxmlformats.org/officeDocument/2006/relationships/hyperlink" Target="mailto:liamhancy@greeneking.co.uk" TargetMode="External"/><Relationship Id="rId660" Type="http://schemas.openxmlformats.org/officeDocument/2006/relationships/hyperlink" Target="mailto:liamhancy@greeneking.co.uk" TargetMode="External"/><Relationship Id="rId898" Type="http://schemas.openxmlformats.org/officeDocument/2006/relationships/hyperlink" Target="mailto:liamhancy@greeneking.co.uk" TargetMode="External"/><Relationship Id="rId1083" Type="http://schemas.openxmlformats.org/officeDocument/2006/relationships/hyperlink" Target="mailto:liamhancy@greeneking.co.uk" TargetMode="External"/><Relationship Id="rId106" Type="http://schemas.openxmlformats.org/officeDocument/2006/relationships/hyperlink" Target="mailto:liamhancy@greeneking.co.uk" TargetMode="External"/><Relationship Id="rId313" Type="http://schemas.openxmlformats.org/officeDocument/2006/relationships/hyperlink" Target="mailto:benfrater@greeneking.co.uk" TargetMode="External"/><Relationship Id="rId758" Type="http://schemas.openxmlformats.org/officeDocument/2006/relationships/hyperlink" Target="mailto:liamhancy@greeneking.co.uk" TargetMode="External"/><Relationship Id="rId965" Type="http://schemas.openxmlformats.org/officeDocument/2006/relationships/hyperlink" Target="mailto:liamhancy@greeneking.co.uk" TargetMode="External"/><Relationship Id="rId10" Type="http://schemas.openxmlformats.org/officeDocument/2006/relationships/hyperlink" Target="mailto:liamhancy@greeneking.co.uk" TargetMode="External"/><Relationship Id="rId94" Type="http://schemas.openxmlformats.org/officeDocument/2006/relationships/hyperlink" Target="mailto:liamhancy@greeneking.co.uk" TargetMode="External"/><Relationship Id="rId397" Type="http://schemas.openxmlformats.org/officeDocument/2006/relationships/hyperlink" Target="mailto:tombrown@greeneking.co.uk" TargetMode="External"/><Relationship Id="rId520" Type="http://schemas.openxmlformats.org/officeDocument/2006/relationships/hyperlink" Target="mailto:liamhancy@greeneking.co.uk" TargetMode="External"/><Relationship Id="rId618" Type="http://schemas.openxmlformats.org/officeDocument/2006/relationships/hyperlink" Target="mailto:liamhancy@greeneking.co.uk" TargetMode="External"/><Relationship Id="rId825" Type="http://schemas.openxmlformats.org/officeDocument/2006/relationships/hyperlink" Target="mailto:liamhancy@greeneking.co.uk" TargetMode="External"/><Relationship Id="rId257" Type="http://schemas.openxmlformats.org/officeDocument/2006/relationships/hyperlink" Target="mailto:benfrater@greeneking.co.uk" TargetMode="External"/><Relationship Id="rId464" Type="http://schemas.openxmlformats.org/officeDocument/2006/relationships/hyperlink" Target="mailto:jessicagreen@greeneking.co.uk" TargetMode="External"/><Relationship Id="rId1010" Type="http://schemas.openxmlformats.org/officeDocument/2006/relationships/hyperlink" Target="mailto:liamhancy@greeneking.co.uk" TargetMode="External"/><Relationship Id="rId1094" Type="http://schemas.openxmlformats.org/officeDocument/2006/relationships/hyperlink" Target="mailto:liamhancy@greeneking.co.uk" TargetMode="External"/><Relationship Id="rId1108" Type="http://schemas.openxmlformats.org/officeDocument/2006/relationships/hyperlink" Target="mailto:liamhancy@greeneking.co.uk" TargetMode="External"/><Relationship Id="rId117" Type="http://schemas.openxmlformats.org/officeDocument/2006/relationships/hyperlink" Target="mailto:jessicagreen@greeneking.co.uk" TargetMode="External"/><Relationship Id="rId671" Type="http://schemas.openxmlformats.org/officeDocument/2006/relationships/hyperlink" Target="mailto:liamhancy@greeneking.co.uk" TargetMode="External"/><Relationship Id="rId769" Type="http://schemas.openxmlformats.org/officeDocument/2006/relationships/hyperlink" Target="mailto:liamhancy@greeneking.co.uk" TargetMode="External"/><Relationship Id="rId976" Type="http://schemas.openxmlformats.org/officeDocument/2006/relationships/hyperlink" Target="mailto:liamhancy@greeneking.co.uk" TargetMode="External"/><Relationship Id="rId324" Type="http://schemas.openxmlformats.org/officeDocument/2006/relationships/hyperlink" Target="mailto:kevin.grierson@belhaven.co.uk" TargetMode="External"/><Relationship Id="rId531" Type="http://schemas.openxmlformats.org/officeDocument/2006/relationships/hyperlink" Target="mailto:jessicagreen@greeneking.co.uk" TargetMode="External"/><Relationship Id="rId629" Type="http://schemas.openxmlformats.org/officeDocument/2006/relationships/hyperlink" Target="mailto:jessicagreen@greeneking.co.uk" TargetMode="External"/><Relationship Id="rId836" Type="http://schemas.openxmlformats.org/officeDocument/2006/relationships/hyperlink" Target="mailto:liamhancy@greeneking.co.uk" TargetMode="External"/><Relationship Id="rId1021" Type="http://schemas.openxmlformats.org/officeDocument/2006/relationships/hyperlink" Target="mailto:liamhancy@greeneking.co.uk" TargetMode="External"/><Relationship Id="rId1119" Type="http://schemas.openxmlformats.org/officeDocument/2006/relationships/hyperlink" Target="mailto:liamhancy@greeneking.co.uk" TargetMode="External"/><Relationship Id="rId903" Type="http://schemas.openxmlformats.org/officeDocument/2006/relationships/hyperlink" Target="mailto:liamhancy@greeneking.co.uk" TargetMode="External"/><Relationship Id="rId32" Type="http://schemas.openxmlformats.org/officeDocument/2006/relationships/hyperlink" Target="mailto:liamhancy@greeneking.co.uk" TargetMode="External"/><Relationship Id="rId181" Type="http://schemas.openxmlformats.org/officeDocument/2006/relationships/hyperlink" Target="mailto:liamhancy@greeneking.co.uk" TargetMode="External"/><Relationship Id="rId279" Type="http://schemas.openxmlformats.org/officeDocument/2006/relationships/hyperlink" Target="mailto:benfrater@greeneking.co.uk" TargetMode="External"/><Relationship Id="rId486" Type="http://schemas.openxmlformats.org/officeDocument/2006/relationships/hyperlink" Target="mailto:jessicagreen@greeneking.co.uk" TargetMode="External"/><Relationship Id="rId693" Type="http://schemas.openxmlformats.org/officeDocument/2006/relationships/hyperlink" Target="mailto:jessicagreen@greeneking.co.uk" TargetMode="External"/><Relationship Id="rId139" Type="http://schemas.openxmlformats.org/officeDocument/2006/relationships/hyperlink" Target="mailto:liamhancy@greeneking.co.uk" TargetMode="External"/><Relationship Id="rId346" Type="http://schemas.openxmlformats.org/officeDocument/2006/relationships/hyperlink" Target="mailto:liamhancy@greeneking.co.uk" TargetMode="External"/><Relationship Id="rId553" Type="http://schemas.openxmlformats.org/officeDocument/2006/relationships/hyperlink" Target="mailto:jessicagreen@greeneking.co.uk" TargetMode="External"/><Relationship Id="rId760" Type="http://schemas.openxmlformats.org/officeDocument/2006/relationships/hyperlink" Target="mailto:liamhancy@greeneking.co.uk" TargetMode="External"/><Relationship Id="rId998" Type="http://schemas.openxmlformats.org/officeDocument/2006/relationships/hyperlink" Target="mailto:liamhancy@greeneking.co.uk" TargetMode="External"/><Relationship Id="rId206" Type="http://schemas.openxmlformats.org/officeDocument/2006/relationships/hyperlink" Target="mailto:liamhancy@greeneking.co.uk" TargetMode="External"/><Relationship Id="rId413" Type="http://schemas.openxmlformats.org/officeDocument/2006/relationships/hyperlink" Target="mailto:tombrown@greeneking.co.uk" TargetMode="External"/><Relationship Id="rId858" Type="http://schemas.openxmlformats.org/officeDocument/2006/relationships/hyperlink" Target="mailto:Adamreditt@greeneking.co.uk" TargetMode="External"/><Relationship Id="rId1043" Type="http://schemas.openxmlformats.org/officeDocument/2006/relationships/hyperlink" Target="mailto:liamhancy@greeneking.co.uk" TargetMode="External"/><Relationship Id="rId620" Type="http://schemas.openxmlformats.org/officeDocument/2006/relationships/hyperlink" Target="mailto:liamhancy@greeneking.co.uk" TargetMode="External"/><Relationship Id="rId718" Type="http://schemas.openxmlformats.org/officeDocument/2006/relationships/hyperlink" Target="mailto:liamhancy@greeneking.co.uk" TargetMode="External"/><Relationship Id="rId925" Type="http://schemas.openxmlformats.org/officeDocument/2006/relationships/hyperlink" Target="mailto:tombrown@greeneking.co.uk" TargetMode="External"/><Relationship Id="rId1110" Type="http://schemas.openxmlformats.org/officeDocument/2006/relationships/hyperlink" Target="mailto:liamhancy@greeneking.co.uk" TargetMode="External"/><Relationship Id="rId54" Type="http://schemas.openxmlformats.org/officeDocument/2006/relationships/hyperlink" Target="mailto:liamhancy@greeneking.co.uk" TargetMode="External"/><Relationship Id="rId270" Type="http://schemas.openxmlformats.org/officeDocument/2006/relationships/hyperlink" Target="mailto:kevin.grierson@belhaven.co.uk" TargetMode="External"/><Relationship Id="rId130" Type="http://schemas.openxmlformats.org/officeDocument/2006/relationships/hyperlink" Target="mailto:liamhancy@greeneking.co.uk" TargetMode="External"/><Relationship Id="rId368" Type="http://schemas.openxmlformats.org/officeDocument/2006/relationships/hyperlink" Target="mailto:liamhancy@greeneking.co.uk" TargetMode="External"/><Relationship Id="rId575" Type="http://schemas.openxmlformats.org/officeDocument/2006/relationships/hyperlink" Target="mailto:jessicagreen@greeneking.co.uk" TargetMode="External"/><Relationship Id="rId782" Type="http://schemas.openxmlformats.org/officeDocument/2006/relationships/hyperlink" Target="mailto:liamhancy@greeneking.co.uk" TargetMode="External"/><Relationship Id="rId228" Type="http://schemas.openxmlformats.org/officeDocument/2006/relationships/hyperlink" Target="mailto:liamhancy@greeneking.co.uk" TargetMode="External"/><Relationship Id="rId435" Type="http://schemas.openxmlformats.org/officeDocument/2006/relationships/hyperlink" Target="mailto:liamhancy@greeneking.co.uk" TargetMode="External"/><Relationship Id="rId642" Type="http://schemas.openxmlformats.org/officeDocument/2006/relationships/hyperlink" Target="mailto:liamhancy@greeneking.co.uk" TargetMode="External"/><Relationship Id="rId1065" Type="http://schemas.openxmlformats.org/officeDocument/2006/relationships/hyperlink" Target="mailto:liamhancy@greeneking.co.uk" TargetMode="External"/><Relationship Id="rId502" Type="http://schemas.openxmlformats.org/officeDocument/2006/relationships/hyperlink" Target="mailto:liamhancy@greeneking.co.uk" TargetMode="External"/><Relationship Id="rId947" Type="http://schemas.openxmlformats.org/officeDocument/2006/relationships/hyperlink" Target="mailto:liamhancy@greeneking.co.uk" TargetMode="External"/><Relationship Id="rId1132" Type="http://schemas.openxmlformats.org/officeDocument/2006/relationships/hyperlink" Target="mailto:liamhancy@greeneking.co.uk" TargetMode="External"/><Relationship Id="rId76" Type="http://schemas.openxmlformats.org/officeDocument/2006/relationships/hyperlink" Target="mailto:tombrown@greeneking.co.uk" TargetMode="External"/><Relationship Id="rId807" Type="http://schemas.openxmlformats.org/officeDocument/2006/relationships/hyperlink" Target="mailto:liamhancy@greeneking.co.uk" TargetMode="External"/><Relationship Id="rId292" Type="http://schemas.openxmlformats.org/officeDocument/2006/relationships/hyperlink" Target="mailto:kevin.grierson@belhaven.co.uk" TargetMode="External"/><Relationship Id="rId597" Type="http://schemas.openxmlformats.org/officeDocument/2006/relationships/hyperlink" Target="mailto:jessicagreen@greeneking.co.uk" TargetMode="External"/><Relationship Id="rId152" Type="http://schemas.openxmlformats.org/officeDocument/2006/relationships/hyperlink" Target="mailto:jessicagreen@greeneking.co.uk" TargetMode="External"/><Relationship Id="rId457" Type="http://schemas.openxmlformats.org/officeDocument/2006/relationships/hyperlink" Target="mailto:liamhancy@greeneking.co.uk" TargetMode="External"/><Relationship Id="rId1087" Type="http://schemas.openxmlformats.org/officeDocument/2006/relationships/hyperlink" Target="mailto:liamhancy@greeneking.co.uk" TargetMode="External"/><Relationship Id="rId664" Type="http://schemas.openxmlformats.org/officeDocument/2006/relationships/hyperlink" Target="mailto:liamhancy@greeneking.co.uk" TargetMode="External"/><Relationship Id="rId871" Type="http://schemas.openxmlformats.org/officeDocument/2006/relationships/hyperlink" Target="mailto:tombrown@greeneking.co.uk" TargetMode="External"/><Relationship Id="rId969" Type="http://schemas.openxmlformats.org/officeDocument/2006/relationships/hyperlink" Target="mailto:liamhancy@greeneking.co.uk" TargetMode="External"/><Relationship Id="rId317" Type="http://schemas.openxmlformats.org/officeDocument/2006/relationships/hyperlink" Target="mailto:benfrater@greeneking.co.uk" TargetMode="External"/><Relationship Id="rId524" Type="http://schemas.openxmlformats.org/officeDocument/2006/relationships/hyperlink" Target="mailto:liamhancy@greeneking.co.uk" TargetMode="External"/><Relationship Id="rId731" Type="http://schemas.openxmlformats.org/officeDocument/2006/relationships/hyperlink" Target="mailto:liamhancy@greeneking.co.uk" TargetMode="External"/><Relationship Id="rId98" Type="http://schemas.openxmlformats.org/officeDocument/2006/relationships/hyperlink" Target="mailto:liamhancy@greeneking.co.uk" TargetMode="External"/><Relationship Id="rId829" Type="http://schemas.openxmlformats.org/officeDocument/2006/relationships/hyperlink" Target="mailto:liamhancy@greeneking.co.uk" TargetMode="External"/><Relationship Id="rId1014" Type="http://schemas.openxmlformats.org/officeDocument/2006/relationships/hyperlink" Target="mailto:liamhancy@greeneking.co.uk" TargetMode="External"/><Relationship Id="rId25" Type="http://schemas.openxmlformats.org/officeDocument/2006/relationships/hyperlink" Target="mailto:jessicagreen@greeneking.co.uk" TargetMode="External"/></Relationships>
</file>

<file path=xl/worksheets/_rels/sheet4.xml.rels><?xml version="1.0" encoding="UTF-8" standalone="yes"?>
<Relationships xmlns="http://schemas.openxmlformats.org/package/2006/relationships"><Relationship Id="rId26" Type="http://schemas.openxmlformats.org/officeDocument/2006/relationships/hyperlink" Target="https://www.norwichinns.com/directory/pier-hotel/" TargetMode="External"/><Relationship Id="rId21" Type="http://schemas.openxmlformats.org/officeDocument/2006/relationships/hyperlink" Target="https://www.norwichinns.com/directory/kings-head-loddon/" TargetMode="External"/><Relationship Id="rId34" Type="http://schemas.openxmlformats.org/officeDocument/2006/relationships/hyperlink" Target="https://www.norwichinns.com/directory/salhouse-lodge/" TargetMode="External"/><Relationship Id="rId42" Type="http://schemas.openxmlformats.org/officeDocument/2006/relationships/hyperlink" Target="https://www.norwichinns.com/directory/the-murderers/" TargetMode="External"/><Relationship Id="rId47" Type="http://schemas.openxmlformats.org/officeDocument/2006/relationships/hyperlink" Target="https://www.norwichinns.com/directory/the-waggon-horses/" TargetMode="External"/><Relationship Id="rId50" Type="http://schemas.openxmlformats.org/officeDocument/2006/relationships/hyperlink" Target="https://www.norwichinns.com/directory/whalebone-freehouse/" TargetMode="External"/><Relationship Id="rId55" Type="http://schemas.openxmlformats.org/officeDocument/2006/relationships/hyperlink" Target="https://www.norwichinns.com/directory/annesley-house-hotel-norwich/" TargetMode="External"/><Relationship Id="rId63" Type="http://schemas.openxmlformats.org/officeDocument/2006/relationships/hyperlink" Target="https://www.norwichinns.com/directory/dog-inn/" TargetMode="External"/><Relationship Id="rId7" Type="http://schemas.openxmlformats.org/officeDocument/2006/relationships/hyperlink" Target="mailto:pub@thequeensheadthurlton.co.uk" TargetMode="External"/><Relationship Id="rId2" Type="http://schemas.openxmlformats.org/officeDocument/2006/relationships/hyperlink" Target="tel:01603%20623942" TargetMode="External"/><Relationship Id="rId16" Type="http://schemas.openxmlformats.org/officeDocument/2006/relationships/hyperlink" Target="https://www.norwichinns.com/directory/furzedown-hotel/" TargetMode="External"/><Relationship Id="rId29" Type="http://schemas.openxmlformats.org/officeDocument/2006/relationships/hyperlink" Target="https://www.norwichinns.com/directory/queens-head/" TargetMode="External"/><Relationship Id="rId11" Type="http://schemas.openxmlformats.org/officeDocument/2006/relationships/hyperlink" Target="mailto:pub@thefreemasonsarmsnorwich.co.uk" TargetMode="External"/><Relationship Id="rId24" Type="http://schemas.openxmlformats.org/officeDocument/2006/relationships/hyperlink" Target="https://www.norwichinns.com/directory/merlins/" TargetMode="External"/><Relationship Id="rId32" Type="http://schemas.openxmlformats.org/officeDocument/2006/relationships/hyperlink" Target="https://www.norwichinns.com/directory/ribs-of-beef/" TargetMode="External"/><Relationship Id="rId37" Type="http://schemas.openxmlformats.org/officeDocument/2006/relationships/hyperlink" Target="https://www.norwichinns.com/directory/temple-bar/" TargetMode="External"/><Relationship Id="rId40" Type="http://schemas.openxmlformats.org/officeDocument/2006/relationships/hyperlink" Target="https://www.norwichinns.com/directory/the-eagle-ph/" TargetMode="External"/><Relationship Id="rId45" Type="http://schemas.openxmlformats.org/officeDocument/2006/relationships/hyperlink" Target="https://www.norwichinns.com/directory/unthank-arms-restaurant-bar/" TargetMode="External"/><Relationship Id="rId53" Type="http://schemas.openxmlformats.org/officeDocument/2006/relationships/hyperlink" Target="https://www.norwichinns.com/directory/william-iv/" TargetMode="External"/><Relationship Id="rId58" Type="http://schemas.openxmlformats.org/officeDocument/2006/relationships/hyperlink" Target="https://www.norwichinns.com/directory/brick-kilns/" TargetMode="External"/><Relationship Id="rId5" Type="http://schemas.openxmlformats.org/officeDocument/2006/relationships/hyperlink" Target="mailto:info@theheroburnhamovery.co.uk" TargetMode="External"/><Relationship Id="rId61" Type="http://schemas.openxmlformats.org/officeDocument/2006/relationships/hyperlink" Target="https://www.norwichinns.com/directory/countryman/" TargetMode="External"/><Relationship Id="rId19" Type="http://schemas.openxmlformats.org/officeDocument/2006/relationships/hyperlink" Target="https://www.norwichinns.com/directory/kings-arms/" TargetMode="External"/><Relationship Id="rId14" Type="http://schemas.openxmlformats.org/officeDocument/2006/relationships/hyperlink" Target="mailto:secretary@norwichinns.co.uk" TargetMode="External"/><Relationship Id="rId22" Type="http://schemas.openxmlformats.org/officeDocument/2006/relationships/hyperlink" Target="https://www.norwichinns.com/directory/kings-head-ashwellthorpe/" TargetMode="External"/><Relationship Id="rId27" Type="http://schemas.openxmlformats.org/officeDocument/2006/relationships/hyperlink" Target="https://www.norwichinns.com/directory/pleasure-beach-inn/" TargetMode="External"/><Relationship Id="rId30" Type="http://schemas.openxmlformats.org/officeDocument/2006/relationships/hyperlink" Target="https://www.norwichinns.com/directory/recruiting-sergeant/" TargetMode="External"/><Relationship Id="rId35" Type="http://schemas.openxmlformats.org/officeDocument/2006/relationships/hyperlink" Target="https://www.norwichinns.com/directory/seamarge-hotel/" TargetMode="External"/><Relationship Id="rId43" Type="http://schemas.openxmlformats.org/officeDocument/2006/relationships/hyperlink" Target="https://www.norwichinns.com/directory/old-hall-hotel-caistor/" TargetMode="External"/><Relationship Id="rId48" Type="http://schemas.openxmlformats.org/officeDocument/2006/relationships/hyperlink" Target="https://www.norwichinns.com/directory/warwick-arms/" TargetMode="External"/><Relationship Id="rId56" Type="http://schemas.openxmlformats.org/officeDocument/2006/relationships/hyperlink" Target="https://www.norwichinns.com/directory/black-boys-hotel/" TargetMode="External"/><Relationship Id="rId64" Type="http://schemas.openxmlformats.org/officeDocument/2006/relationships/hyperlink" Target="https://www.norwichinns.com/directory/dolphin-club/" TargetMode="External"/><Relationship Id="rId8" Type="http://schemas.openxmlformats.org/officeDocument/2006/relationships/hyperlink" Target="mailto:pub@thekingsheadacle.co.uk" TargetMode="External"/><Relationship Id="rId51" Type="http://schemas.openxmlformats.org/officeDocument/2006/relationships/hyperlink" Target="https://www.norwichinns.com/directory/whitwell-reepham-railway-complex/" TargetMode="External"/><Relationship Id="rId3" Type="http://schemas.openxmlformats.org/officeDocument/2006/relationships/hyperlink" Target="mailto:drawingrooms@i2ihospitality.co.uk" TargetMode="External"/><Relationship Id="rId12" Type="http://schemas.openxmlformats.org/officeDocument/2006/relationships/hyperlink" Target="mailto:pub@theroseandcrownharopley.co.uk" TargetMode="External"/><Relationship Id="rId17" Type="http://schemas.openxmlformats.org/officeDocument/2006/relationships/hyperlink" Target="https://www.norwichinns.com/directory/george-hotel-norwich/" TargetMode="External"/><Relationship Id="rId25" Type="http://schemas.openxmlformats.org/officeDocument/2006/relationships/hyperlink" Target="https://www.norwichinns.com/directory/park-farm-hotel/" TargetMode="External"/><Relationship Id="rId33" Type="http://schemas.openxmlformats.org/officeDocument/2006/relationships/hyperlink" Target="https://www.norwichinns.com/directory/richmond-park-golf-club/" TargetMode="External"/><Relationship Id="rId38" Type="http://schemas.openxmlformats.org/officeDocument/2006/relationships/hyperlink" Target="https://www.norwichinns.com/directory/12-lost-churches/" TargetMode="External"/><Relationship Id="rId46" Type="http://schemas.openxmlformats.org/officeDocument/2006/relationships/hyperlink" Target="https://www.norwichinns.com/directory/vernon-arms/" TargetMode="External"/><Relationship Id="rId59" Type="http://schemas.openxmlformats.org/officeDocument/2006/relationships/hyperlink" Target="https://www.norwichinns.com/directory/california-tavern/" TargetMode="External"/><Relationship Id="rId20" Type="http://schemas.openxmlformats.org/officeDocument/2006/relationships/hyperlink" Target="https://www.norwichinns.com/directory/kings-head-bawburgh/" TargetMode="External"/><Relationship Id="rId41" Type="http://schemas.openxmlformats.org/officeDocument/2006/relationships/hyperlink" Target="https://www.norwichinns.com/directory/the-hotel-victoria/" TargetMode="External"/><Relationship Id="rId54" Type="http://schemas.openxmlformats.org/officeDocument/2006/relationships/hyperlink" Target="https://www.norwichinns.com/directory/alexandra-tavern/" TargetMode="External"/><Relationship Id="rId62" Type="http://schemas.openxmlformats.org/officeDocument/2006/relationships/hyperlink" Target="https://www.norwichinns.com/directory/dales-hotel/" TargetMode="External"/><Relationship Id="rId1" Type="http://schemas.openxmlformats.org/officeDocument/2006/relationships/hyperlink" Target="mailto:info@therosepubanddeli.co.uk" TargetMode="External"/><Relationship Id="rId6" Type="http://schemas.openxmlformats.org/officeDocument/2006/relationships/hyperlink" Target="mailto:pub@thewhitelodgeattleborough.co.uk" TargetMode="External"/><Relationship Id="rId15" Type="http://schemas.openxmlformats.org/officeDocument/2006/relationships/hyperlink" Target="https://www.norwichinns.com/flag%20from%20sdm,%20working%20on%20propsoal" TargetMode="External"/><Relationship Id="rId23" Type="http://schemas.openxmlformats.org/officeDocument/2006/relationships/hyperlink" Target="https://www.norwichinns.com/directory/links-hotel/" TargetMode="External"/><Relationship Id="rId28" Type="http://schemas.openxmlformats.org/officeDocument/2006/relationships/hyperlink" Target="https://www.norwichinns.com/directory/pub-prom-prom-hotel/" TargetMode="External"/><Relationship Id="rId36" Type="http://schemas.openxmlformats.org/officeDocument/2006/relationships/hyperlink" Target="https://www.norwichinns.com/directory/shoulder-of-mutton/" TargetMode="External"/><Relationship Id="rId49" Type="http://schemas.openxmlformats.org/officeDocument/2006/relationships/hyperlink" Target="https://www.norwichinns.com/directory/wellington-hotel/" TargetMode="External"/><Relationship Id="rId57" Type="http://schemas.openxmlformats.org/officeDocument/2006/relationships/hyperlink" Target="https://www.norwichinns.com/directory/blue-boar/" TargetMode="External"/><Relationship Id="rId10" Type="http://schemas.openxmlformats.org/officeDocument/2006/relationships/hyperlink" Target="mailto:pub@thecrownsmallburgh.co.uk" TargetMode="External"/><Relationship Id="rId31" Type="http://schemas.openxmlformats.org/officeDocument/2006/relationships/hyperlink" Target="https://www.norwichinns.com/directory/red-lion-eaton/" TargetMode="External"/><Relationship Id="rId44" Type="http://schemas.openxmlformats.org/officeDocument/2006/relationships/hyperlink" Target="https://www.norwichinns.com/directory/the-seadell-bar/" TargetMode="External"/><Relationship Id="rId52" Type="http://schemas.openxmlformats.org/officeDocument/2006/relationships/hyperlink" Target="https://www.norwichinns.com/directory/wig-pen-experience/" TargetMode="External"/><Relationship Id="rId60" Type="http://schemas.openxmlformats.org/officeDocument/2006/relationships/hyperlink" Target="https://www.norwichinns.com/directory/coach-horses/" TargetMode="External"/><Relationship Id="rId65" Type="http://schemas.openxmlformats.org/officeDocument/2006/relationships/hyperlink" Target="https://www.norwichinns.com/directory/eaton-golf-club/" TargetMode="External"/><Relationship Id="rId4" Type="http://schemas.openxmlformats.org/officeDocument/2006/relationships/hyperlink" Target="mailto:info@wildmannorwich.co.uk" TargetMode="External"/><Relationship Id="rId9" Type="http://schemas.openxmlformats.org/officeDocument/2006/relationships/hyperlink" Target="mailto:pub@thewoodmanoldcatton.co.uk" TargetMode="External"/><Relationship Id="rId13" Type="http://schemas.openxmlformats.org/officeDocument/2006/relationships/hyperlink" Target="mailto:pub@thenelsonnorwich.co.uk" TargetMode="External"/><Relationship Id="rId18" Type="http://schemas.openxmlformats.org/officeDocument/2006/relationships/hyperlink" Target="https://www.norwichinns.com/directory/glen-lodge-bawburgh-golf-club/" TargetMode="External"/><Relationship Id="rId39" Type="http://schemas.openxmlformats.org/officeDocument/2006/relationships/hyperlink" Target="https://www.norwichinns.com/directory/the-buckinghamshire-arms/" TargetMode="External"/></Relationships>
</file>

<file path=xl/worksheets/_rels/sheet9.xml.rels><?xml version="1.0" encoding="UTF-8" standalone="yes"?>
<Relationships xmlns="http://schemas.openxmlformats.org/package/2006/relationships"><Relationship Id="rId3" Type="http://schemas.openxmlformats.org/officeDocument/2006/relationships/hyperlink" Target="mailto:gillian.murgia@theswanatlavenham.co.uk" TargetMode="External"/><Relationship Id="rId2" Type="http://schemas.openxmlformats.org/officeDocument/2006/relationships/hyperlink" Target="mailto:thewicklodge@gmail.com" TargetMode="External"/><Relationship Id="rId1" Type="http://schemas.openxmlformats.org/officeDocument/2006/relationships/hyperlink" Target="mailto:info@greyhoundlavenham.co.uk" TargetMode="External"/><Relationship Id="rId4"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9FB891-9B3E-43D8-ACCD-7A2E91C0F6C9}">
  <dimension ref="A1:L923"/>
  <sheetViews>
    <sheetView tabSelected="1" zoomScale="85" zoomScaleNormal="85" workbookViewId="0">
      <pane ySplit="1" topLeftCell="A2" activePane="bottomLeft" state="frozen"/>
      <selection pane="bottomLeft" activeCell="K17" sqref="K17"/>
    </sheetView>
  </sheetViews>
  <sheetFormatPr defaultRowHeight="15" x14ac:dyDescent="0.25"/>
  <cols>
    <col min="1" max="1" width="17.85546875" style="5" bestFit="1" customWidth="1"/>
    <col min="2" max="2" width="22.28515625" style="5" customWidth="1"/>
    <col min="3" max="3" width="10.85546875" style="5" customWidth="1"/>
    <col min="4" max="4" width="8.5703125" style="5" customWidth="1"/>
    <col min="5" max="5" width="9.28515625" style="5" customWidth="1"/>
    <col min="6" max="6" width="7.28515625" style="5" customWidth="1"/>
    <col min="7" max="7" width="10.28515625" style="5" customWidth="1"/>
    <col min="8" max="8" width="6.28515625" style="5" customWidth="1"/>
    <col min="9" max="9" width="5.85546875" style="5" customWidth="1"/>
    <col min="10" max="10" width="20" style="5" bestFit="1" customWidth="1"/>
    <col min="11" max="11" width="19" style="144" bestFit="1" customWidth="1"/>
    <col min="12" max="12" width="58.42578125" style="129" customWidth="1"/>
    <col min="13" max="16384" width="9.140625" style="129"/>
  </cols>
  <sheetData>
    <row r="1" spans="1:12" ht="45" x14ac:dyDescent="0.25">
      <c r="A1" s="148" t="s">
        <v>470</v>
      </c>
      <c r="B1" s="148" t="s">
        <v>3712</v>
      </c>
      <c r="C1" s="148" t="s">
        <v>3713</v>
      </c>
      <c r="D1" s="148" t="s">
        <v>3714</v>
      </c>
      <c r="E1" s="148" t="s">
        <v>3715</v>
      </c>
      <c r="F1" s="148" t="s">
        <v>3716</v>
      </c>
      <c r="G1" s="148" t="s">
        <v>3717</v>
      </c>
      <c r="H1" s="148" t="s">
        <v>5260</v>
      </c>
      <c r="I1" s="148" t="s">
        <v>5259</v>
      </c>
      <c r="J1" s="148" t="s">
        <v>471</v>
      </c>
      <c r="K1" s="156" t="s">
        <v>6201</v>
      </c>
      <c r="L1" s="157" t="s">
        <v>478</v>
      </c>
    </row>
    <row r="2" spans="1:12" s="133" customFormat="1" ht="60" x14ac:dyDescent="0.25">
      <c r="A2" s="124" t="s">
        <v>3718</v>
      </c>
      <c r="B2" s="124" t="s">
        <v>182</v>
      </c>
      <c r="C2" s="124" t="s">
        <v>2419</v>
      </c>
      <c r="D2" s="124" t="s">
        <v>2917</v>
      </c>
      <c r="E2" s="124"/>
      <c r="F2" s="124" t="s">
        <v>3183</v>
      </c>
      <c r="G2" s="124" t="s">
        <v>3779</v>
      </c>
      <c r="H2" s="124" t="str">
        <f t="shared" ref="H2:H65" si="0">_xlfn.TEXTBEFORE(G2," ")</f>
        <v>CM7</v>
      </c>
      <c r="I2" s="149" t="str" cm="1">
        <f t="array" ref="I2">LEFT(G2, MIN(IF(ISNUMBER(--MID(G2, _xlfn.SEQUENCE(LEN(G2)), 1)), _xlfn.SEQUENCE(LEN(G2)))) - 1)</f>
        <v>CM</v>
      </c>
      <c r="J2" s="124" t="s">
        <v>3756</v>
      </c>
      <c r="K2" s="158" t="s">
        <v>6202</v>
      </c>
      <c r="L2" s="159" t="s">
        <v>6203</v>
      </c>
    </row>
    <row r="3" spans="1:12" s="133" customFormat="1" ht="17.25" x14ac:dyDescent="0.25">
      <c r="A3" s="124" t="s">
        <v>4160</v>
      </c>
      <c r="B3" s="150" t="s">
        <v>4107</v>
      </c>
      <c r="C3" s="5"/>
      <c r="D3" s="5"/>
      <c r="E3" s="5"/>
      <c r="F3" s="5"/>
      <c r="G3" s="150" t="s">
        <v>4136</v>
      </c>
      <c r="H3" s="124" t="str">
        <f t="shared" si="0"/>
        <v>CM7</v>
      </c>
      <c r="I3" s="149" t="str" cm="1">
        <f t="array" ref="I3">LEFT(G3, MIN(IF(ISNUMBER(--MID(G3, _xlfn.SEQUENCE(LEN(G3)), 1)), _xlfn.SEQUENCE(LEN(G3)))) - 1)</f>
        <v>CM</v>
      </c>
      <c r="J3" s="5" t="str">
        <f>_xlfn.XLOOKUP(H3,'GK IFT SDM POSTCODES'!A:A,'GK IFT SDM POSTCODES'!B:B,"")</f>
        <v>Nikki Hayter</v>
      </c>
      <c r="K3" s="158" t="s">
        <v>6204</v>
      </c>
      <c r="L3" s="160"/>
    </row>
    <row r="4" spans="1:12" s="133" customFormat="1" ht="17.25" x14ac:dyDescent="0.25">
      <c r="A4" s="124" t="s">
        <v>4160</v>
      </c>
      <c r="B4" s="150" t="s">
        <v>4108</v>
      </c>
      <c r="C4" s="5"/>
      <c r="D4" s="5"/>
      <c r="E4" s="5"/>
      <c r="F4" s="5"/>
      <c r="G4" s="150" t="s">
        <v>4136</v>
      </c>
      <c r="H4" s="124" t="str">
        <f t="shared" si="0"/>
        <v>CM7</v>
      </c>
      <c r="I4" s="149" t="str" cm="1">
        <f t="array" ref="I4">LEFT(G4, MIN(IF(ISNUMBER(--MID(G4, _xlfn.SEQUENCE(LEN(G4)), 1)), _xlfn.SEQUENCE(LEN(G4)))) - 1)</f>
        <v>CM</v>
      </c>
      <c r="J4" s="5" t="str">
        <f>_xlfn.XLOOKUP(H4,'GK IFT SDM POSTCODES'!A:A,'GK IFT SDM POSTCODES'!B:B,"")</f>
        <v>Nikki Hayter</v>
      </c>
      <c r="K4" s="158" t="s">
        <v>6204</v>
      </c>
      <c r="L4" s="160"/>
    </row>
    <row r="5" spans="1:12" s="133" customFormat="1" ht="30" x14ac:dyDescent="0.25">
      <c r="A5" s="5" t="s">
        <v>498</v>
      </c>
      <c r="B5" s="151" t="s">
        <v>5129</v>
      </c>
      <c r="C5" s="151" t="s">
        <v>5130</v>
      </c>
      <c r="D5" s="5"/>
      <c r="E5" s="151" t="s">
        <v>2917</v>
      </c>
      <c r="F5" s="5"/>
      <c r="G5" s="151" t="s">
        <v>5142</v>
      </c>
      <c r="H5" s="124" t="str">
        <f t="shared" si="0"/>
        <v>CM7</v>
      </c>
      <c r="I5" s="149" t="str" cm="1">
        <f t="array" ref="I5">LEFT(G5, MIN(IF(ISNUMBER(--MID(G5, _xlfn.SEQUENCE(LEN(G5)), 1)), _xlfn.SEQUENCE(LEN(G5)))) - 1)</f>
        <v>CM</v>
      </c>
      <c r="J5" s="152" t="s">
        <v>5252</v>
      </c>
      <c r="K5" s="158" t="s">
        <v>6202</v>
      </c>
      <c r="L5" s="160" t="s">
        <v>6205</v>
      </c>
    </row>
    <row r="6" spans="1:12" s="133" customFormat="1" ht="30" x14ac:dyDescent="0.25">
      <c r="A6" s="124" t="s">
        <v>4160</v>
      </c>
      <c r="B6" s="150" t="s">
        <v>4109</v>
      </c>
      <c r="C6" s="5"/>
      <c r="D6" s="5"/>
      <c r="E6" s="5"/>
      <c r="F6" s="5"/>
      <c r="G6" s="150" t="s">
        <v>4137</v>
      </c>
      <c r="H6" s="124" t="str">
        <f t="shared" si="0"/>
        <v>CM7</v>
      </c>
      <c r="I6" s="149" t="str" cm="1">
        <f t="array" ref="I6">LEFT(G6, MIN(IF(ISNUMBER(--MID(G6, _xlfn.SEQUENCE(LEN(G6)), 1)), _xlfn.SEQUENCE(LEN(G6)))) - 1)</f>
        <v>CM</v>
      </c>
      <c r="J6" s="5" t="str">
        <f>_xlfn.XLOOKUP(H6,'GK IFT SDM POSTCODES'!A:A,'GK IFT SDM POSTCODES'!B:B,"")</f>
        <v>Nikki Hayter</v>
      </c>
      <c r="K6" s="158" t="s">
        <v>6202</v>
      </c>
      <c r="L6" s="160" t="s">
        <v>6206</v>
      </c>
    </row>
    <row r="7" spans="1:12" s="133" customFormat="1" ht="25.5" x14ac:dyDescent="0.25">
      <c r="A7" s="124" t="s">
        <v>4160</v>
      </c>
      <c r="B7" s="150" t="s">
        <v>4110</v>
      </c>
      <c r="C7" s="5"/>
      <c r="D7" s="5"/>
      <c r="E7" s="5"/>
      <c r="F7" s="5"/>
      <c r="G7" s="150" t="s">
        <v>4138</v>
      </c>
      <c r="H7" s="124" t="str">
        <f t="shared" si="0"/>
        <v>CM7</v>
      </c>
      <c r="I7" s="149" t="str" cm="1">
        <f t="array" ref="I7">LEFT(G7, MIN(IF(ISNUMBER(--MID(G7, _xlfn.SEQUENCE(LEN(G7)), 1)), _xlfn.SEQUENCE(LEN(G7)))) - 1)</f>
        <v>CM</v>
      </c>
      <c r="J7" s="5" t="str">
        <f>_xlfn.XLOOKUP(H7,'GK IFT SDM POSTCODES'!A:A,'GK IFT SDM POSTCODES'!B:B,"")</f>
        <v>Nikki Hayter</v>
      </c>
      <c r="K7" s="158" t="s">
        <v>6204</v>
      </c>
      <c r="L7" s="160"/>
    </row>
    <row r="8" spans="1:12" s="133" customFormat="1" ht="30" x14ac:dyDescent="0.25">
      <c r="A8" s="124" t="s">
        <v>4160</v>
      </c>
      <c r="B8" s="150" t="s">
        <v>4111</v>
      </c>
      <c r="C8" s="5"/>
      <c r="D8" s="5"/>
      <c r="E8" s="5"/>
      <c r="F8" s="5"/>
      <c r="G8" s="150" t="s">
        <v>4139</v>
      </c>
      <c r="H8" s="124" t="str">
        <f t="shared" si="0"/>
        <v>CM7</v>
      </c>
      <c r="I8" s="149" t="str" cm="1">
        <f t="array" ref="I8">LEFT(G8, MIN(IF(ISNUMBER(--MID(G8, _xlfn.SEQUENCE(LEN(G8)), 1)), _xlfn.SEQUENCE(LEN(G8)))) - 1)</f>
        <v>CM</v>
      </c>
      <c r="J8" s="5" t="str">
        <f>_xlfn.XLOOKUP(H8,'GK IFT SDM POSTCODES'!A:A,'GK IFT SDM POSTCODES'!B:B,"")</f>
        <v>Nikki Hayter</v>
      </c>
      <c r="K8" s="158" t="s">
        <v>6204</v>
      </c>
      <c r="L8" s="160" t="s">
        <v>6207</v>
      </c>
    </row>
    <row r="9" spans="1:12" s="133" customFormat="1" ht="75" x14ac:dyDescent="0.25">
      <c r="A9" s="124" t="s">
        <v>3718</v>
      </c>
      <c r="B9" s="124" t="s">
        <v>123</v>
      </c>
      <c r="C9" s="124" t="s">
        <v>3780</v>
      </c>
      <c r="D9" s="124" t="s">
        <v>3781</v>
      </c>
      <c r="E9" s="124" t="s">
        <v>2917</v>
      </c>
      <c r="F9" s="124" t="s">
        <v>3183</v>
      </c>
      <c r="G9" s="124" t="s">
        <v>3782</v>
      </c>
      <c r="H9" s="124" t="str">
        <f t="shared" si="0"/>
        <v>CM7</v>
      </c>
      <c r="I9" s="149" t="str" cm="1">
        <f t="array" ref="I9">LEFT(G9, MIN(IF(ISNUMBER(--MID(G9, _xlfn.SEQUENCE(LEN(G9)), 1)), _xlfn.SEQUENCE(LEN(G9)))) - 1)</f>
        <v>CM</v>
      </c>
      <c r="J9" s="124" t="s">
        <v>3756</v>
      </c>
      <c r="K9" s="158" t="s">
        <v>6208</v>
      </c>
      <c r="L9" s="159" t="s">
        <v>6209</v>
      </c>
    </row>
    <row r="10" spans="1:12" s="133" customFormat="1" ht="25.5" x14ac:dyDescent="0.25">
      <c r="A10" s="124" t="s">
        <v>4160</v>
      </c>
      <c r="B10" s="150" t="s">
        <v>4112</v>
      </c>
      <c r="C10" s="5"/>
      <c r="D10" s="5"/>
      <c r="E10" s="5"/>
      <c r="F10" s="5"/>
      <c r="G10" s="150" t="s">
        <v>4140</v>
      </c>
      <c r="H10" s="124" t="str">
        <f t="shared" si="0"/>
        <v>CM7</v>
      </c>
      <c r="I10" s="149" t="str" cm="1">
        <f t="array" ref="I10">LEFT(G10, MIN(IF(ISNUMBER(--MID(G10, _xlfn.SEQUENCE(LEN(G10)), 1)), _xlfn.SEQUENCE(LEN(G10)))) - 1)</f>
        <v>CM</v>
      </c>
      <c r="J10" s="5" t="str">
        <f>_xlfn.XLOOKUP(H10,'GK IFT SDM POSTCODES'!A:A,'GK IFT SDM POSTCODES'!B:B,"")</f>
        <v>Nikki Hayter</v>
      </c>
      <c r="K10" s="158" t="s">
        <v>6204</v>
      </c>
      <c r="L10" s="160" t="s">
        <v>6210</v>
      </c>
    </row>
    <row r="11" spans="1:12" s="133" customFormat="1" ht="30" x14ac:dyDescent="0.25">
      <c r="A11" s="124" t="s">
        <v>4160</v>
      </c>
      <c r="B11" s="145" t="s">
        <v>4113</v>
      </c>
      <c r="C11" s="5"/>
      <c r="D11" s="5"/>
      <c r="E11" s="5"/>
      <c r="F11" s="5"/>
      <c r="G11" s="145" t="s">
        <v>4140</v>
      </c>
      <c r="H11" s="124" t="str">
        <f t="shared" si="0"/>
        <v>CM7</v>
      </c>
      <c r="I11" s="149" t="str" cm="1">
        <f t="array" ref="I11">LEFT(G11, MIN(IF(ISNUMBER(--MID(G11, _xlfn.SEQUENCE(LEN(G11)), 1)), _xlfn.SEQUENCE(LEN(G11)))) - 1)</f>
        <v>CM</v>
      </c>
      <c r="J11" s="5" t="str">
        <f>_xlfn.XLOOKUP(H11,'GK IFT SDM POSTCODES'!A:A,'GK IFT SDM POSTCODES'!B:B,"")</f>
        <v>Nikki Hayter</v>
      </c>
      <c r="K11" s="158" t="s">
        <v>6204</v>
      </c>
      <c r="L11" s="160" t="s">
        <v>6210</v>
      </c>
    </row>
    <row r="12" spans="1:12" s="133" customFormat="1" ht="17.25" x14ac:dyDescent="0.25">
      <c r="A12" s="124" t="s">
        <v>4160</v>
      </c>
      <c r="B12" s="150" t="s">
        <v>4114</v>
      </c>
      <c r="C12" s="5"/>
      <c r="D12" s="5"/>
      <c r="E12" s="5"/>
      <c r="F12" s="5"/>
      <c r="G12" s="150" t="s">
        <v>4141</v>
      </c>
      <c r="H12" s="124" t="str">
        <f t="shared" si="0"/>
        <v>CM7</v>
      </c>
      <c r="I12" s="149" t="str" cm="1">
        <f t="array" ref="I12">LEFT(G12, MIN(IF(ISNUMBER(--MID(G12, _xlfn.SEQUENCE(LEN(G12)), 1)), _xlfn.SEQUENCE(LEN(G12)))) - 1)</f>
        <v>CM</v>
      </c>
      <c r="J12" s="5" t="str">
        <f>_xlfn.XLOOKUP(H12,'GK IFT SDM POSTCODES'!A:A,'GK IFT SDM POSTCODES'!B:B,"")</f>
        <v>Nikki Hayter</v>
      </c>
      <c r="K12" s="158" t="s">
        <v>6211</v>
      </c>
      <c r="L12" s="160" t="s">
        <v>6212</v>
      </c>
    </row>
    <row r="13" spans="1:12" s="133" customFormat="1" ht="45" x14ac:dyDescent="0.25">
      <c r="A13" s="5" t="s">
        <v>498</v>
      </c>
      <c r="B13" s="151" t="s">
        <v>5131</v>
      </c>
      <c r="C13" s="151" t="s">
        <v>5132</v>
      </c>
      <c r="D13" s="5"/>
      <c r="E13" s="151" t="s">
        <v>2917</v>
      </c>
      <c r="F13" s="5"/>
      <c r="G13" s="151" t="s">
        <v>5143</v>
      </c>
      <c r="H13" s="124" t="str">
        <f t="shared" si="0"/>
        <v>CM7</v>
      </c>
      <c r="I13" s="149" t="str" cm="1">
        <f t="array" ref="I13">LEFT(G13, MIN(IF(ISNUMBER(--MID(G13, _xlfn.SEQUENCE(LEN(G13)), 1)), _xlfn.SEQUENCE(LEN(G13)))) - 1)</f>
        <v>CM</v>
      </c>
      <c r="J13" s="152" t="s">
        <v>5252</v>
      </c>
      <c r="K13" s="158" t="s">
        <v>6202</v>
      </c>
      <c r="L13" s="160" t="s">
        <v>6205</v>
      </c>
    </row>
    <row r="14" spans="1:12" ht="17.25" x14ac:dyDescent="0.25">
      <c r="A14" s="124" t="s">
        <v>4160</v>
      </c>
      <c r="B14" s="150" t="s">
        <v>4115</v>
      </c>
      <c r="G14" s="150" t="s">
        <v>4142</v>
      </c>
      <c r="H14" s="124" t="str">
        <f t="shared" si="0"/>
        <v>CM7</v>
      </c>
      <c r="I14" s="149" t="str" cm="1">
        <f t="array" ref="I14">LEFT(G14, MIN(IF(ISNUMBER(--MID(G14, _xlfn.SEQUENCE(LEN(G14)), 1)), _xlfn.SEQUENCE(LEN(G14)))) - 1)</f>
        <v>CM</v>
      </c>
      <c r="J14" s="5" t="str">
        <f>_xlfn.XLOOKUP(H14,'GK IFT SDM POSTCODES'!A:A,'GK IFT SDM POSTCODES'!B:B,"")</f>
        <v>Nikki Hayter</v>
      </c>
      <c r="K14" s="158" t="s">
        <v>6204</v>
      </c>
      <c r="L14" s="160"/>
    </row>
    <row r="15" spans="1:12" ht="45" x14ac:dyDescent="0.25">
      <c r="A15" s="5" t="s">
        <v>498</v>
      </c>
      <c r="B15" s="151" t="s">
        <v>5133</v>
      </c>
      <c r="C15" s="151" t="s">
        <v>5134</v>
      </c>
      <c r="E15" s="151" t="s">
        <v>5139</v>
      </c>
      <c r="G15" s="151" t="s">
        <v>5144</v>
      </c>
      <c r="H15" s="124" t="str">
        <f t="shared" si="0"/>
        <v>CM77</v>
      </c>
      <c r="I15" s="149" t="str" cm="1">
        <f t="array" ref="I15">LEFT(G15, MIN(IF(ISNUMBER(--MID(G15, _xlfn.SEQUENCE(LEN(G15)), 1)), _xlfn.SEQUENCE(LEN(G15)))) - 1)</f>
        <v>CM</v>
      </c>
      <c r="J15" s="151" t="s">
        <v>5141</v>
      </c>
      <c r="K15" s="158" t="s">
        <v>6204</v>
      </c>
      <c r="L15" s="160" t="s">
        <v>6213</v>
      </c>
    </row>
    <row r="16" spans="1:12" ht="34.5" x14ac:dyDescent="0.25">
      <c r="A16" s="124" t="s">
        <v>4160</v>
      </c>
      <c r="B16" s="150" t="s">
        <v>4116</v>
      </c>
      <c r="G16" s="150" t="s">
        <v>4143</v>
      </c>
      <c r="H16" s="124" t="str">
        <f t="shared" si="0"/>
        <v>CM77</v>
      </c>
      <c r="I16" s="149" t="str" cm="1">
        <f t="array" ref="I16">LEFT(G16, MIN(IF(ISNUMBER(--MID(G16, _xlfn.SEQUENCE(LEN(G16)), 1)), _xlfn.SEQUENCE(LEN(G16)))) - 1)</f>
        <v>CM</v>
      </c>
      <c r="J16" s="5" t="str">
        <f>_xlfn.XLOOKUP(H16,'GK IFT SDM POSTCODES'!A:A,'GK IFT SDM POSTCODES'!B:B,"")</f>
        <v>Nikki Hayter</v>
      </c>
      <c r="K16" s="158" t="s">
        <v>6204</v>
      </c>
      <c r="L16" s="160" t="s">
        <v>6214</v>
      </c>
    </row>
    <row r="17" spans="1:12" ht="34.5" x14ac:dyDescent="0.25">
      <c r="A17" s="124" t="s">
        <v>4160</v>
      </c>
      <c r="B17" s="150" t="s">
        <v>4117</v>
      </c>
      <c r="G17" s="150" t="s">
        <v>4144</v>
      </c>
      <c r="H17" s="124" t="str">
        <f t="shared" si="0"/>
        <v>CM77</v>
      </c>
      <c r="I17" s="149" t="str" cm="1">
        <f t="array" ref="I17">LEFT(G17, MIN(IF(ISNUMBER(--MID(G17, _xlfn.SEQUENCE(LEN(G17)), 1)), _xlfn.SEQUENCE(LEN(G17)))) - 1)</f>
        <v>CM</v>
      </c>
      <c r="J17" s="5" t="str">
        <f>_xlfn.XLOOKUP(H17,'GK IFT SDM POSTCODES'!A:A,'GK IFT SDM POSTCODES'!B:B,"")</f>
        <v>Nikki Hayter</v>
      </c>
      <c r="K17" s="158" t="s">
        <v>6202</v>
      </c>
      <c r="L17" s="160"/>
    </row>
    <row r="18" spans="1:12" ht="17.25" x14ac:dyDescent="0.25">
      <c r="A18" s="124" t="s">
        <v>4160</v>
      </c>
      <c r="B18" s="150" t="s">
        <v>4118</v>
      </c>
      <c r="G18" s="150" t="s">
        <v>4145</v>
      </c>
      <c r="H18" s="124" t="str">
        <f t="shared" si="0"/>
        <v>CM8</v>
      </c>
      <c r="I18" s="149" t="str" cm="1">
        <f t="array" ref="I18">LEFT(G18, MIN(IF(ISNUMBER(--MID(G18, _xlfn.SEQUENCE(LEN(G18)), 1)), _xlfn.SEQUENCE(LEN(G18)))) - 1)</f>
        <v>CM</v>
      </c>
      <c r="J18" s="153" t="str">
        <f>_xlfn.XLOOKUP(H18,'GK IFT SDM POSTCODES'!A:A,'GK IFT SDM POSTCODES'!B:B,"")</f>
        <v>Neil Stebbings</v>
      </c>
      <c r="K18" s="158" t="s">
        <v>6202</v>
      </c>
      <c r="L18" s="160" t="s">
        <v>6215</v>
      </c>
    </row>
    <row r="19" spans="1:12" ht="25.5" x14ac:dyDescent="0.25">
      <c r="A19" s="124" t="s">
        <v>4160</v>
      </c>
      <c r="B19" s="150" t="s">
        <v>4119</v>
      </c>
      <c r="G19" s="150" t="s">
        <v>4146</v>
      </c>
      <c r="H19" s="124" t="str">
        <f t="shared" si="0"/>
        <v>CM8</v>
      </c>
      <c r="I19" s="149" t="str" cm="1">
        <f t="array" ref="I19">LEFT(G19, MIN(IF(ISNUMBER(--MID(G19, _xlfn.SEQUENCE(LEN(G19)), 1)), _xlfn.SEQUENCE(LEN(G19)))) - 1)</f>
        <v>CM</v>
      </c>
      <c r="J19" s="153" t="str">
        <f>_xlfn.XLOOKUP(H19,'GK IFT SDM POSTCODES'!A:A,'GK IFT SDM POSTCODES'!B:B,"")</f>
        <v>Neil Stebbings</v>
      </c>
      <c r="K19" s="158" t="s">
        <v>6202</v>
      </c>
      <c r="L19" s="160" t="s">
        <v>6216</v>
      </c>
    </row>
    <row r="20" spans="1:12" ht="25.5" x14ac:dyDescent="0.25">
      <c r="A20" s="124" t="s">
        <v>4160</v>
      </c>
      <c r="B20" s="150" t="s">
        <v>4120</v>
      </c>
      <c r="G20" s="150" t="s">
        <v>4147</v>
      </c>
      <c r="H20" s="124" t="str">
        <f t="shared" si="0"/>
        <v>CM8</v>
      </c>
      <c r="I20" s="149" t="str" cm="1">
        <f t="array" ref="I20">LEFT(G20, MIN(IF(ISNUMBER(--MID(G20, _xlfn.SEQUENCE(LEN(G20)), 1)), _xlfn.SEQUENCE(LEN(G20)))) - 1)</f>
        <v>CM</v>
      </c>
      <c r="J20" s="153" t="str">
        <f>_xlfn.XLOOKUP(H20,'GK IFT SDM POSTCODES'!A:A,'GK IFT SDM POSTCODES'!B:B,"")</f>
        <v>Neil Stebbings</v>
      </c>
      <c r="K20" s="158" t="s">
        <v>6204</v>
      </c>
      <c r="L20" s="160"/>
    </row>
    <row r="21" spans="1:12" ht="34.5" x14ac:dyDescent="0.25">
      <c r="A21" s="124" t="s">
        <v>3718</v>
      </c>
      <c r="B21" s="124" t="s">
        <v>428</v>
      </c>
      <c r="C21" s="124" t="s">
        <v>3280</v>
      </c>
      <c r="D21" s="124" t="s">
        <v>2599</v>
      </c>
      <c r="E21" s="124"/>
      <c r="F21" s="124" t="s">
        <v>3183</v>
      </c>
      <c r="G21" s="124" t="s">
        <v>3783</v>
      </c>
      <c r="H21" s="124" t="str">
        <f t="shared" si="0"/>
        <v>CM8</v>
      </c>
      <c r="I21" s="149" t="str" cm="1">
        <f t="array" ref="I21">LEFT(G21, MIN(IF(ISNUMBER(--MID(G21, _xlfn.SEQUENCE(LEN(G21)), 1)), _xlfn.SEQUENCE(LEN(G21)))) - 1)</f>
        <v>CM</v>
      </c>
      <c r="J21" s="124" t="s">
        <v>3756</v>
      </c>
      <c r="K21" s="158" t="s">
        <v>6202</v>
      </c>
      <c r="L21" s="160"/>
    </row>
    <row r="22" spans="1:12" ht="45" x14ac:dyDescent="0.25">
      <c r="A22" s="5" t="s">
        <v>498</v>
      </c>
      <c r="B22" s="151" t="s">
        <v>5135</v>
      </c>
      <c r="C22" s="151" t="s">
        <v>5136</v>
      </c>
      <c r="E22" s="151" t="s">
        <v>2599</v>
      </c>
      <c r="G22" s="151" t="s">
        <v>5145</v>
      </c>
      <c r="H22" s="124" t="str">
        <f t="shared" si="0"/>
        <v>CM8</v>
      </c>
      <c r="I22" s="149" t="str" cm="1">
        <f t="array" ref="I22">LEFT(G22, MIN(IF(ISNUMBER(--MID(G22, _xlfn.SEQUENCE(LEN(G22)), 1)), _xlfn.SEQUENCE(LEN(G22)))) - 1)</f>
        <v>CM</v>
      </c>
      <c r="J22" s="152" t="s">
        <v>5140</v>
      </c>
      <c r="K22" s="158" t="s">
        <v>6202</v>
      </c>
      <c r="L22" s="160" t="s">
        <v>6217</v>
      </c>
    </row>
    <row r="23" spans="1:12" ht="30" x14ac:dyDescent="0.25">
      <c r="A23" s="124" t="s">
        <v>4160</v>
      </c>
      <c r="B23" s="150" t="s">
        <v>4121</v>
      </c>
      <c r="G23" s="150" t="s">
        <v>4148</v>
      </c>
      <c r="H23" s="124" t="str">
        <f t="shared" si="0"/>
        <v>CM8</v>
      </c>
      <c r="I23" s="149" t="str" cm="1">
        <f t="array" ref="I23">LEFT(G23, MIN(IF(ISNUMBER(--MID(G23, _xlfn.SEQUENCE(LEN(G23)), 1)), _xlfn.SEQUENCE(LEN(G23)))) - 1)</f>
        <v>CM</v>
      </c>
      <c r="J23" s="153" t="str">
        <f>_xlfn.XLOOKUP(H23,'GK IFT SDM POSTCODES'!A:A,'GK IFT SDM POSTCODES'!B:B,"")</f>
        <v>Neil Stebbings</v>
      </c>
      <c r="K23" s="158" t="s">
        <v>6204</v>
      </c>
      <c r="L23" s="160" t="s">
        <v>6218</v>
      </c>
    </row>
    <row r="24" spans="1:12" ht="45" x14ac:dyDescent="0.25">
      <c r="A24" s="5" t="s">
        <v>498</v>
      </c>
      <c r="B24" s="151" t="s">
        <v>5137</v>
      </c>
      <c r="C24" s="151" t="s">
        <v>5138</v>
      </c>
      <c r="E24" s="151" t="s">
        <v>2599</v>
      </c>
      <c r="G24" s="151" t="s">
        <v>5146</v>
      </c>
      <c r="H24" s="124" t="str">
        <f t="shared" si="0"/>
        <v>CM8</v>
      </c>
      <c r="I24" s="149" t="str" cm="1">
        <f t="array" ref="I24">LEFT(G24, MIN(IF(ISNUMBER(--MID(G24, _xlfn.SEQUENCE(LEN(G24)), 1)), _xlfn.SEQUENCE(LEN(G24)))) - 1)</f>
        <v>CM</v>
      </c>
      <c r="J24" s="152" t="s">
        <v>5140</v>
      </c>
      <c r="K24" s="158" t="s">
        <v>6202</v>
      </c>
      <c r="L24" s="160" t="s">
        <v>6219</v>
      </c>
    </row>
    <row r="25" spans="1:12" ht="30" x14ac:dyDescent="0.25">
      <c r="A25" s="124" t="s">
        <v>4160</v>
      </c>
      <c r="B25" s="150" t="s">
        <v>4122</v>
      </c>
      <c r="G25" s="150" t="s">
        <v>4149</v>
      </c>
      <c r="H25" s="124" t="str">
        <f t="shared" si="0"/>
        <v>CM8</v>
      </c>
      <c r="I25" s="149" t="str" cm="1">
        <f t="array" ref="I25">LEFT(G25, MIN(IF(ISNUMBER(--MID(G25, _xlfn.SEQUENCE(LEN(G25)), 1)), _xlfn.SEQUENCE(LEN(G25)))) - 1)</f>
        <v>CM</v>
      </c>
      <c r="J25" s="153" t="str">
        <f>_xlfn.XLOOKUP(H25,'GK IFT SDM POSTCODES'!A:A,'GK IFT SDM POSTCODES'!B:B,"")</f>
        <v>Neil Stebbings</v>
      </c>
      <c r="K25" s="158" t="s">
        <v>6202</v>
      </c>
      <c r="L25" s="160" t="s">
        <v>6220</v>
      </c>
    </row>
    <row r="26" spans="1:12" ht="17.25" x14ac:dyDescent="0.25">
      <c r="A26" s="124" t="s">
        <v>4160</v>
      </c>
      <c r="B26" s="150" t="s">
        <v>4123</v>
      </c>
      <c r="G26" s="150" t="s">
        <v>4150</v>
      </c>
      <c r="H26" s="124" t="str">
        <f t="shared" si="0"/>
        <v>CM8</v>
      </c>
      <c r="I26" s="149" t="str" cm="1">
        <f t="array" ref="I26">LEFT(G26, MIN(IF(ISNUMBER(--MID(G26, _xlfn.SEQUENCE(LEN(G26)), 1)), _xlfn.SEQUENCE(LEN(G26)))) - 1)</f>
        <v>CM</v>
      </c>
      <c r="J26" s="153" t="str">
        <f>_xlfn.XLOOKUP(H26,'GK IFT SDM POSTCODES'!A:A,'GK IFT SDM POSTCODES'!B:B,"")</f>
        <v>Neil Stebbings</v>
      </c>
      <c r="K26" s="158" t="s">
        <v>6211</v>
      </c>
      <c r="L26" s="160" t="s">
        <v>6221</v>
      </c>
    </row>
    <row r="27" spans="1:12" ht="30" x14ac:dyDescent="0.25">
      <c r="A27" s="124" t="s">
        <v>4160</v>
      </c>
      <c r="B27" s="150" t="s">
        <v>4124</v>
      </c>
      <c r="G27" s="150" t="s">
        <v>4151</v>
      </c>
      <c r="H27" s="124" t="str">
        <f t="shared" si="0"/>
        <v>CM8</v>
      </c>
      <c r="I27" s="149" t="str" cm="1">
        <f t="array" ref="I27">LEFT(G27, MIN(IF(ISNUMBER(--MID(G27, _xlfn.SEQUENCE(LEN(G27)), 1)), _xlfn.SEQUENCE(LEN(G27)))) - 1)</f>
        <v>CM</v>
      </c>
      <c r="J27" s="153" t="str">
        <f>_xlfn.XLOOKUP(H27,'GK IFT SDM POSTCODES'!A:A,'GK IFT SDM POSTCODES'!B:B,"")</f>
        <v>Neil Stebbings</v>
      </c>
      <c r="K27" s="158" t="s">
        <v>6204</v>
      </c>
      <c r="L27" s="160" t="s">
        <v>6222</v>
      </c>
    </row>
    <row r="28" spans="1:12" ht="45" x14ac:dyDescent="0.25">
      <c r="A28" s="124" t="s">
        <v>3718</v>
      </c>
      <c r="B28" s="124" t="s">
        <v>2598</v>
      </c>
      <c r="C28" s="124" t="s">
        <v>3784</v>
      </c>
      <c r="D28" s="124" t="s">
        <v>3785</v>
      </c>
      <c r="E28" s="124" t="s">
        <v>2599</v>
      </c>
      <c r="F28" s="124" t="s">
        <v>3183</v>
      </c>
      <c r="G28" s="124" t="s">
        <v>3786</v>
      </c>
      <c r="H28" s="124" t="str">
        <f t="shared" si="0"/>
        <v>CM8</v>
      </c>
      <c r="I28" s="149" t="str" cm="1">
        <f t="array" ref="I28">LEFT(G28, MIN(IF(ISNUMBER(--MID(G28, _xlfn.SEQUENCE(LEN(G28)), 1)), _xlfn.SEQUENCE(LEN(G28)))) - 1)</f>
        <v>CM</v>
      </c>
      <c r="J28" s="124" t="s">
        <v>3756</v>
      </c>
      <c r="K28" s="158" t="s">
        <v>6208</v>
      </c>
      <c r="L28" s="159" t="s">
        <v>6223</v>
      </c>
    </row>
    <row r="29" spans="1:12" ht="30" x14ac:dyDescent="0.25">
      <c r="A29" s="124" t="s">
        <v>4160</v>
      </c>
      <c r="B29" s="150" t="s">
        <v>4125</v>
      </c>
      <c r="G29" s="150" t="s">
        <v>4152</v>
      </c>
      <c r="H29" s="124" t="str">
        <f t="shared" si="0"/>
        <v>CM8</v>
      </c>
      <c r="I29" s="149" t="str" cm="1">
        <f t="array" ref="I29">LEFT(G29, MIN(IF(ISNUMBER(--MID(G29, _xlfn.SEQUENCE(LEN(G29)), 1)), _xlfn.SEQUENCE(LEN(G29)))) - 1)</f>
        <v>CM</v>
      </c>
      <c r="J29" s="153" t="str">
        <f>_xlfn.XLOOKUP(H29,'GK IFT SDM POSTCODES'!A:A,'GK IFT SDM POSTCODES'!B:B,"")</f>
        <v>Neil Stebbings</v>
      </c>
      <c r="K29" s="158" t="s">
        <v>6211</v>
      </c>
      <c r="L29" s="160" t="s">
        <v>6224</v>
      </c>
    </row>
    <row r="30" spans="1:12" ht="17.25" x14ac:dyDescent="0.25">
      <c r="A30" s="124" t="s">
        <v>4160</v>
      </c>
      <c r="B30" s="150" t="s">
        <v>4126</v>
      </c>
      <c r="G30" s="150" t="s">
        <v>4153</v>
      </c>
      <c r="H30" s="124" t="str">
        <f t="shared" si="0"/>
        <v>CM9</v>
      </c>
      <c r="I30" s="149" t="str" cm="1">
        <f t="array" ref="I30">LEFT(G30, MIN(IF(ISNUMBER(--MID(G30, _xlfn.SEQUENCE(LEN(G30)), 1)), _xlfn.SEQUENCE(LEN(G30)))) - 1)</f>
        <v>CM</v>
      </c>
      <c r="J30" s="153" t="str">
        <f>_xlfn.XLOOKUP(H30,'GK IFT SDM POSTCODES'!A:A,'GK IFT SDM POSTCODES'!B:B,"")</f>
        <v>Neil Stebbings</v>
      </c>
      <c r="K30" s="158" t="s">
        <v>6202</v>
      </c>
      <c r="L30" s="160" t="s">
        <v>6225</v>
      </c>
    </row>
    <row r="31" spans="1:12" ht="17.25" x14ac:dyDescent="0.25">
      <c r="A31" s="124" t="s">
        <v>4160</v>
      </c>
      <c r="B31" s="145" t="s">
        <v>4127</v>
      </c>
      <c r="G31" s="145" t="s">
        <v>4153</v>
      </c>
      <c r="H31" s="124" t="str">
        <f t="shared" si="0"/>
        <v>CM9</v>
      </c>
      <c r="I31" s="149" t="str" cm="1">
        <f t="array" ref="I31">LEFT(G31, MIN(IF(ISNUMBER(--MID(G31, _xlfn.SEQUENCE(LEN(G31)), 1)), _xlfn.SEQUENCE(LEN(G31)))) - 1)</f>
        <v>CM</v>
      </c>
      <c r="J31" s="153" t="str">
        <f>_xlfn.XLOOKUP(H31,'GK IFT SDM POSTCODES'!A:A,'GK IFT SDM POSTCODES'!B:B,"")</f>
        <v>Neil Stebbings</v>
      </c>
      <c r="K31" s="129"/>
    </row>
    <row r="32" spans="1:12" ht="30" x14ac:dyDescent="0.25">
      <c r="A32" s="124" t="s">
        <v>7</v>
      </c>
      <c r="B32" s="145" t="s">
        <v>3788</v>
      </c>
      <c r="C32" s="145" t="s">
        <v>3052</v>
      </c>
      <c r="E32" s="145" t="s">
        <v>1260</v>
      </c>
      <c r="F32" s="145" t="s">
        <v>3183</v>
      </c>
      <c r="G32" s="145" t="s">
        <v>3787</v>
      </c>
      <c r="H32" s="124" t="str">
        <f t="shared" si="0"/>
        <v>CM9</v>
      </c>
      <c r="I32" s="149" t="str" cm="1">
        <f t="array" ref="I32">LEFT(G32, MIN(IF(ISNUMBER(--MID(G32, _xlfn.SEQUENCE(LEN(G32)), 1)), _xlfn.SEQUENCE(LEN(G32)))) - 1)</f>
        <v>CM</v>
      </c>
      <c r="J32" s="146" t="s">
        <v>6231</v>
      </c>
      <c r="K32" s="158" t="s">
        <v>6204</v>
      </c>
      <c r="L32" s="160" t="s">
        <v>6226</v>
      </c>
    </row>
    <row r="33" spans="1:12" ht="17.25" x14ac:dyDescent="0.25">
      <c r="A33" s="124" t="s">
        <v>4160</v>
      </c>
      <c r="B33" s="150" t="s">
        <v>4128</v>
      </c>
      <c r="G33" s="150" t="s">
        <v>4154</v>
      </c>
      <c r="H33" s="124" t="str">
        <f t="shared" si="0"/>
        <v>CM9</v>
      </c>
      <c r="I33" s="149" t="str" cm="1">
        <f t="array" ref="I33">LEFT(G33, MIN(IF(ISNUMBER(--MID(G33, _xlfn.SEQUENCE(LEN(G33)), 1)), _xlfn.SEQUENCE(LEN(G33)))) - 1)</f>
        <v>CM</v>
      </c>
      <c r="J33" s="153" t="str">
        <f>_xlfn.XLOOKUP(H33,'GK IFT SDM POSTCODES'!A:A,'GK IFT SDM POSTCODES'!B:B,"")</f>
        <v>Neil Stebbings</v>
      </c>
      <c r="K33" s="129"/>
    </row>
    <row r="34" spans="1:12" ht="25.5" x14ac:dyDescent="0.25">
      <c r="A34" s="124" t="s">
        <v>4160</v>
      </c>
      <c r="B34" s="150" t="s">
        <v>4129</v>
      </c>
      <c r="G34" s="150" t="s">
        <v>4155</v>
      </c>
      <c r="H34" s="124" t="str">
        <f t="shared" si="0"/>
        <v>CM9</v>
      </c>
      <c r="I34" s="149" t="str" cm="1">
        <f t="array" ref="I34">LEFT(G34, MIN(IF(ISNUMBER(--MID(G34, _xlfn.SEQUENCE(LEN(G34)), 1)), _xlfn.SEQUENCE(LEN(G34)))) - 1)</f>
        <v>CM</v>
      </c>
      <c r="J34" s="153" t="str">
        <f>_xlfn.XLOOKUP(H34,'GK IFT SDM POSTCODES'!A:A,'GK IFT SDM POSTCODES'!B:B,"")</f>
        <v>Neil Stebbings</v>
      </c>
      <c r="K34" s="158" t="s">
        <v>6202</v>
      </c>
    </row>
    <row r="35" spans="1:12" ht="25.5" x14ac:dyDescent="0.25">
      <c r="A35" s="124" t="s">
        <v>4160</v>
      </c>
      <c r="B35" s="150" t="s">
        <v>4130</v>
      </c>
      <c r="G35" s="150" t="s">
        <v>4156</v>
      </c>
      <c r="H35" s="124" t="str">
        <f t="shared" si="0"/>
        <v>CM9</v>
      </c>
      <c r="I35" s="149" t="str" cm="1">
        <f t="array" ref="I35">LEFT(G35, MIN(IF(ISNUMBER(--MID(G35, _xlfn.SEQUENCE(LEN(G35)), 1)), _xlfn.SEQUENCE(LEN(G35)))) - 1)</f>
        <v>CM</v>
      </c>
      <c r="J35" s="153" t="str">
        <f>_xlfn.XLOOKUP(H35,'GK IFT SDM POSTCODES'!A:A,'GK IFT SDM POSTCODES'!B:B,"")</f>
        <v>Neil Stebbings</v>
      </c>
      <c r="K35" s="158" t="s">
        <v>6204</v>
      </c>
      <c r="L35" s="160" t="s">
        <v>6227</v>
      </c>
    </row>
    <row r="36" spans="1:12" ht="17.25" x14ac:dyDescent="0.25">
      <c r="A36" s="124" t="s">
        <v>4160</v>
      </c>
      <c r="B36" s="150" t="s">
        <v>4131</v>
      </c>
      <c r="G36" s="150" t="s">
        <v>4157</v>
      </c>
      <c r="H36" s="124" t="str">
        <f t="shared" si="0"/>
        <v>CM9</v>
      </c>
      <c r="I36" s="149" t="str" cm="1">
        <f t="array" ref="I36">LEFT(G36, MIN(IF(ISNUMBER(--MID(G36, _xlfn.SEQUENCE(LEN(G36)), 1)), _xlfn.SEQUENCE(LEN(G36)))) - 1)</f>
        <v>CM</v>
      </c>
      <c r="J36" s="153" t="str">
        <f>_xlfn.XLOOKUP(H36,'GK IFT SDM POSTCODES'!A:A,'GK IFT SDM POSTCODES'!B:B,"")</f>
        <v>Neil Stebbings</v>
      </c>
      <c r="K36" s="158" t="s">
        <v>6204</v>
      </c>
      <c r="L36" s="160"/>
    </row>
    <row r="37" spans="1:12" ht="21" x14ac:dyDescent="0.25">
      <c r="A37" s="154" t="s">
        <v>4065</v>
      </c>
      <c r="B37" s="155" t="s">
        <v>372</v>
      </c>
      <c r="C37" s="155" t="s">
        <v>1635</v>
      </c>
      <c r="E37" s="155" t="s">
        <v>1260</v>
      </c>
      <c r="G37" s="155" t="s">
        <v>4061</v>
      </c>
      <c r="H37" s="124" t="str">
        <f t="shared" si="0"/>
        <v>CM9</v>
      </c>
      <c r="I37" s="149" t="str" cm="1">
        <f t="array" ref="I37">LEFT(G37, MIN(IF(ISNUMBER(--MID(G37, _xlfn.SEQUENCE(LEN(G37)), 1)), _xlfn.SEQUENCE(LEN(G37)))) - 1)</f>
        <v>CM</v>
      </c>
      <c r="J37" s="155" t="s">
        <v>4063</v>
      </c>
      <c r="K37" s="158" t="s">
        <v>6204</v>
      </c>
      <c r="L37" s="160"/>
    </row>
    <row r="38" spans="1:12" ht="17.25" x14ac:dyDescent="0.25">
      <c r="A38" s="124" t="s">
        <v>4160</v>
      </c>
      <c r="B38" s="150" t="s">
        <v>4132</v>
      </c>
      <c r="G38" s="150" t="s">
        <v>4158</v>
      </c>
      <c r="H38" s="124" t="str">
        <f t="shared" si="0"/>
        <v>CM9</v>
      </c>
      <c r="I38" s="149" t="str" cm="1">
        <f t="array" ref="I38">LEFT(G38, MIN(IF(ISNUMBER(--MID(G38, _xlfn.SEQUENCE(LEN(G38)), 1)), _xlfn.SEQUENCE(LEN(G38)))) - 1)</f>
        <v>CM</v>
      </c>
      <c r="J38" s="153" t="str">
        <f>_xlfn.XLOOKUP(H38,'GK IFT SDM POSTCODES'!A:A,'GK IFT SDM POSTCODES'!B:B,"")</f>
        <v>Neil Stebbings</v>
      </c>
      <c r="K38" s="158" t="s">
        <v>6202</v>
      </c>
      <c r="L38" s="160" t="s">
        <v>6228</v>
      </c>
    </row>
    <row r="39" spans="1:12" ht="25.5" x14ac:dyDescent="0.25">
      <c r="A39" s="124" t="s">
        <v>4160</v>
      </c>
      <c r="B39" s="150" t="s">
        <v>4133</v>
      </c>
      <c r="G39" s="150" t="s">
        <v>4158</v>
      </c>
      <c r="H39" s="124" t="str">
        <f t="shared" si="0"/>
        <v>CM9</v>
      </c>
      <c r="I39" s="149" t="str" cm="1">
        <f t="array" ref="I39">LEFT(G39, MIN(IF(ISNUMBER(--MID(G39, _xlfn.SEQUENCE(LEN(G39)), 1)), _xlfn.SEQUENCE(LEN(G39)))) - 1)</f>
        <v>CM</v>
      </c>
      <c r="J39" s="153" t="str">
        <f>_xlfn.XLOOKUP(H39,'GK IFT SDM POSTCODES'!A:A,'GK IFT SDM POSTCODES'!B:B,"")</f>
        <v>Neil Stebbings</v>
      </c>
      <c r="K39" s="158" t="s">
        <v>6202</v>
      </c>
      <c r="L39" s="160" t="s">
        <v>6228</v>
      </c>
    </row>
    <row r="40" spans="1:12" ht="30" x14ac:dyDescent="0.25">
      <c r="A40" s="124" t="s">
        <v>4160</v>
      </c>
      <c r="B40" s="150" t="s">
        <v>4134</v>
      </c>
      <c r="G40" s="150" t="s">
        <v>4159</v>
      </c>
      <c r="H40" s="124" t="str">
        <f t="shared" si="0"/>
        <v>CM9</v>
      </c>
      <c r="I40" s="149" t="str" cm="1">
        <f t="array" ref="I40">LEFT(G40, MIN(IF(ISNUMBER(--MID(G40, _xlfn.SEQUENCE(LEN(G40)), 1)), _xlfn.SEQUENCE(LEN(G40)))) - 1)</f>
        <v>CM</v>
      </c>
      <c r="J40" s="153" t="str">
        <f>_xlfn.XLOOKUP(H40,'GK IFT SDM POSTCODES'!A:A,'GK IFT SDM POSTCODES'!B:B,"")</f>
        <v>Neil Stebbings</v>
      </c>
      <c r="K40" s="158" t="s">
        <v>6208</v>
      </c>
      <c r="L40" s="160" t="s">
        <v>6229</v>
      </c>
    </row>
    <row r="41" spans="1:12" ht="30" x14ac:dyDescent="0.25">
      <c r="A41" s="124" t="s">
        <v>4160</v>
      </c>
      <c r="B41" s="145" t="s">
        <v>4135</v>
      </c>
      <c r="G41" s="145" t="s">
        <v>4159</v>
      </c>
      <c r="H41" s="124" t="str">
        <f t="shared" si="0"/>
        <v>CM9</v>
      </c>
      <c r="I41" s="149" t="str" cm="1">
        <f t="array" ref="I41">LEFT(G41, MIN(IF(ISNUMBER(--MID(G41, _xlfn.SEQUENCE(LEN(G41)), 1)), _xlfn.SEQUENCE(LEN(G41)))) - 1)</f>
        <v>CM</v>
      </c>
      <c r="J41" s="153" t="str">
        <f>_xlfn.XLOOKUP(H41,'GK IFT SDM POSTCODES'!A:A,'GK IFT SDM POSTCODES'!B:B,"")</f>
        <v>Neil Stebbings</v>
      </c>
      <c r="K41" s="158" t="s">
        <v>6208</v>
      </c>
      <c r="L41" s="160" t="s">
        <v>6229</v>
      </c>
    </row>
    <row r="42" spans="1:12" ht="30" x14ac:dyDescent="0.25">
      <c r="A42" s="154" t="s">
        <v>4065</v>
      </c>
      <c r="B42" s="155" t="s">
        <v>302</v>
      </c>
      <c r="C42" s="155" t="s">
        <v>3046</v>
      </c>
      <c r="E42" s="155" t="s">
        <v>1260</v>
      </c>
      <c r="G42" s="155" t="s">
        <v>4062</v>
      </c>
      <c r="H42" s="124" t="str">
        <f t="shared" si="0"/>
        <v>CM9</v>
      </c>
      <c r="I42" s="149" t="str" cm="1">
        <f t="array" ref="I42">LEFT(G42, MIN(IF(ISNUMBER(--MID(G42, _xlfn.SEQUENCE(LEN(G42)), 1)), _xlfn.SEQUENCE(LEN(G42)))) - 1)</f>
        <v>CM</v>
      </c>
      <c r="J42" s="155" t="s">
        <v>4064</v>
      </c>
      <c r="K42" s="158" t="s">
        <v>6211</v>
      </c>
      <c r="L42" s="160" t="s">
        <v>6230</v>
      </c>
    </row>
    <row r="43" spans="1:12" ht="17.25" x14ac:dyDescent="0.35">
      <c r="A43" s="131" t="s">
        <v>4160</v>
      </c>
      <c r="B43" s="128" t="s">
        <v>4432</v>
      </c>
      <c r="C43" s="129"/>
      <c r="D43" s="129"/>
      <c r="E43" s="129"/>
      <c r="F43" s="129"/>
      <c r="G43" s="128" t="s">
        <v>230</v>
      </c>
      <c r="H43" s="131" t="str">
        <f t="shared" si="0"/>
        <v>CO1</v>
      </c>
      <c r="I43" s="131" t="str" cm="1">
        <f t="array" ref="I43">LEFT(G43, MIN(IF(ISNUMBER(--MID(G43, _xlfn.SEQUENCE(LEN(G43)), 1)), _xlfn.SEQUENCE(LEN(G43)))) - 1)</f>
        <v>CO</v>
      </c>
      <c r="J43" s="129" t="str">
        <f>_xlfn.XLOOKUP(H43,'GK IFT SDM POSTCODES'!A:A,'GK IFT SDM POSTCODES'!B:B,"")</f>
        <v>Nikki Hayter</v>
      </c>
      <c r="K43" s="129"/>
    </row>
    <row r="44" spans="1:12" ht="17.25" x14ac:dyDescent="0.35">
      <c r="A44" s="131" t="s">
        <v>4160</v>
      </c>
      <c r="B44" s="128" t="s">
        <v>4263</v>
      </c>
      <c r="C44" s="129"/>
      <c r="D44" s="129"/>
      <c r="E44" s="129"/>
      <c r="F44" s="129"/>
      <c r="G44" s="128" t="s">
        <v>4586</v>
      </c>
      <c r="H44" s="131" t="str">
        <f t="shared" si="0"/>
        <v>CO1</v>
      </c>
      <c r="I44" s="131" t="str" cm="1">
        <f t="array" ref="I44">LEFT(G44, MIN(IF(ISNUMBER(--MID(G44, _xlfn.SEQUENCE(LEN(G44)), 1)), _xlfn.SEQUENCE(LEN(G44)))) - 1)</f>
        <v>CO</v>
      </c>
      <c r="J44" s="129" t="str">
        <f>_xlfn.XLOOKUP(H44,'GK IFT SDM POSTCODES'!A:A,'GK IFT SDM POSTCODES'!B:B,"")</f>
        <v>Nikki Hayter</v>
      </c>
      <c r="K44" s="129"/>
    </row>
    <row r="45" spans="1:12" ht="17.25" x14ac:dyDescent="0.35">
      <c r="A45" s="134" t="s">
        <v>3902</v>
      </c>
      <c r="B45" s="134" t="s">
        <v>4013</v>
      </c>
      <c r="C45" s="134" t="s">
        <v>3995</v>
      </c>
      <c r="D45" s="129"/>
      <c r="E45" s="134" t="s">
        <v>13</v>
      </c>
      <c r="F45" s="134" t="s">
        <v>3183</v>
      </c>
      <c r="G45" s="134" t="s">
        <v>3990</v>
      </c>
      <c r="H45" s="131" t="str">
        <f t="shared" si="0"/>
        <v>CO1</v>
      </c>
      <c r="I45" s="131" t="str" cm="1">
        <f t="array" ref="I45">LEFT(G45, MIN(IF(ISNUMBER(--MID(G45, _xlfn.SEQUENCE(LEN(G45)), 1)), _xlfn.SEQUENCE(LEN(G45)))) - 1)</f>
        <v>CO</v>
      </c>
      <c r="J45" s="134" t="s">
        <v>4011</v>
      </c>
      <c r="K45" s="129"/>
    </row>
    <row r="46" spans="1:12" ht="17.25" x14ac:dyDescent="0.35">
      <c r="A46" s="131" t="s">
        <v>4160</v>
      </c>
      <c r="B46" s="128" t="s">
        <v>3693</v>
      </c>
      <c r="C46" s="129"/>
      <c r="D46" s="129"/>
      <c r="E46" s="129"/>
      <c r="F46" s="129"/>
      <c r="G46" s="128" t="s">
        <v>417</v>
      </c>
      <c r="H46" s="131" t="str">
        <f t="shared" si="0"/>
        <v>CO1</v>
      </c>
      <c r="I46" s="131" t="str" cm="1">
        <f t="array" ref="I46">LEFT(G46, MIN(IF(ISNUMBER(--MID(G46, _xlfn.SEQUENCE(LEN(G46)), 1)), _xlfn.SEQUENCE(LEN(G46)))) - 1)</f>
        <v>CO</v>
      </c>
      <c r="J46" s="129" t="str">
        <f>_xlfn.XLOOKUP(H46,'GK IFT SDM POSTCODES'!A:A,'GK IFT SDM POSTCODES'!B:B,"")</f>
        <v>Nikki Hayter</v>
      </c>
      <c r="K46" s="129"/>
    </row>
    <row r="47" spans="1:12" ht="17.25" x14ac:dyDescent="0.35">
      <c r="A47" s="134" t="s">
        <v>3902</v>
      </c>
      <c r="B47" s="134" t="s">
        <v>4024</v>
      </c>
      <c r="C47" s="134" t="s">
        <v>4005</v>
      </c>
      <c r="D47" s="129"/>
      <c r="E47" s="134" t="s">
        <v>13</v>
      </c>
      <c r="F47" s="134" t="s">
        <v>3183</v>
      </c>
      <c r="G47" s="134" t="s">
        <v>416</v>
      </c>
      <c r="H47" s="131" t="str">
        <f t="shared" si="0"/>
        <v>CO1</v>
      </c>
      <c r="I47" s="131" t="str" cm="1">
        <f t="array" ref="I47">LEFT(G47, MIN(IF(ISNUMBER(--MID(G47, _xlfn.SEQUENCE(LEN(G47)), 1)), _xlfn.SEQUENCE(LEN(G47)))) - 1)</f>
        <v>CO</v>
      </c>
      <c r="J47" s="134" t="s">
        <v>4011</v>
      </c>
      <c r="K47" s="129"/>
    </row>
    <row r="48" spans="1:12" ht="17.25" x14ac:dyDescent="0.35">
      <c r="A48" s="131" t="s">
        <v>4160</v>
      </c>
      <c r="B48" s="128" t="s">
        <v>4437</v>
      </c>
      <c r="C48" s="129"/>
      <c r="D48" s="129"/>
      <c r="E48" s="129"/>
      <c r="F48" s="129"/>
      <c r="G48" s="128" t="s">
        <v>4702</v>
      </c>
      <c r="H48" s="131" t="str">
        <f t="shared" si="0"/>
        <v>CO1</v>
      </c>
      <c r="I48" s="131" t="str" cm="1">
        <f t="array" ref="I48">LEFT(G48, MIN(IF(ISNUMBER(--MID(G48, _xlfn.SEQUENCE(LEN(G48)), 1)), _xlfn.SEQUENCE(LEN(G48)))) - 1)</f>
        <v>CO</v>
      </c>
      <c r="J48" s="129" t="str">
        <f>_xlfn.XLOOKUP(H48,'GK IFT SDM POSTCODES'!A:A,'GK IFT SDM POSTCODES'!B:B,"")</f>
        <v>Nikki Hayter</v>
      </c>
      <c r="K48" s="129"/>
    </row>
    <row r="49" spans="1:10" s="129" customFormat="1" ht="17.25" x14ac:dyDescent="0.35">
      <c r="A49" s="131" t="s">
        <v>4160</v>
      </c>
      <c r="B49" s="128" t="s">
        <v>3685</v>
      </c>
      <c r="G49" s="128" t="s">
        <v>207</v>
      </c>
      <c r="H49" s="131" t="str">
        <f t="shared" si="0"/>
        <v>CO1</v>
      </c>
      <c r="I49" s="131" t="str" cm="1">
        <f t="array" ref="I49">LEFT(G49, MIN(IF(ISNUMBER(--MID(G49, _xlfn.SEQUENCE(LEN(G49)), 1)), _xlfn.SEQUENCE(LEN(G49)))) - 1)</f>
        <v>CO</v>
      </c>
      <c r="J49" s="129" t="str">
        <f>_xlfn.XLOOKUP(H49,'GK IFT SDM POSTCODES'!A:A,'GK IFT SDM POSTCODES'!B:B,"")</f>
        <v>Nikki Hayter</v>
      </c>
    </row>
    <row r="50" spans="1:10" s="129" customFormat="1" ht="17.25" x14ac:dyDescent="0.35">
      <c r="A50" s="134" t="s">
        <v>3902</v>
      </c>
      <c r="B50" s="134" t="s">
        <v>4025</v>
      </c>
      <c r="C50" s="134" t="s">
        <v>2289</v>
      </c>
      <c r="E50" s="134" t="s">
        <v>13</v>
      </c>
      <c r="F50" s="134" t="s">
        <v>3183</v>
      </c>
      <c r="G50" s="134" t="s">
        <v>3994</v>
      </c>
      <c r="H50" s="131" t="str">
        <f t="shared" si="0"/>
        <v>CO1</v>
      </c>
      <c r="I50" s="131" t="str" cm="1">
        <f t="array" ref="I50">LEFT(G50, MIN(IF(ISNUMBER(--MID(G50, _xlfn.SEQUENCE(LEN(G50)), 1)), _xlfn.SEQUENCE(LEN(G50)))) - 1)</f>
        <v>CO</v>
      </c>
      <c r="J50" s="134" t="s">
        <v>4012</v>
      </c>
    </row>
    <row r="51" spans="1:10" s="129" customFormat="1" ht="17.25" x14ac:dyDescent="0.35">
      <c r="A51" s="129" t="s">
        <v>498</v>
      </c>
      <c r="B51" s="137" t="s">
        <v>5200</v>
      </c>
      <c r="C51" s="137" t="s">
        <v>5201</v>
      </c>
      <c r="E51" s="137" t="s">
        <v>13</v>
      </c>
      <c r="G51" s="137" t="s">
        <v>231</v>
      </c>
      <c r="H51" s="131" t="str">
        <f t="shared" si="0"/>
        <v>CO1</v>
      </c>
      <c r="I51" s="131" t="str" cm="1">
        <f t="array" ref="I51">LEFT(G51, MIN(IF(ISNUMBER(--MID(G51, _xlfn.SEQUENCE(LEN(G51)), 1)), _xlfn.SEQUENCE(LEN(G51)))) - 1)</f>
        <v>CO</v>
      </c>
      <c r="J51" s="137" t="s">
        <v>5141</v>
      </c>
    </row>
    <row r="52" spans="1:10" s="129" customFormat="1" ht="17.25" x14ac:dyDescent="0.35">
      <c r="A52" s="131" t="s">
        <v>4160</v>
      </c>
      <c r="B52" s="128" t="s">
        <v>4217</v>
      </c>
      <c r="G52" s="128" t="s">
        <v>4560</v>
      </c>
      <c r="H52" s="131" t="str">
        <f t="shared" si="0"/>
        <v>CO1</v>
      </c>
      <c r="I52" s="131" t="str" cm="1">
        <f t="array" ref="I52">LEFT(G52, MIN(IF(ISNUMBER(--MID(G52, _xlfn.SEQUENCE(LEN(G52)), 1)), _xlfn.SEQUENCE(LEN(G52)))) - 1)</f>
        <v>CO</v>
      </c>
      <c r="J52" s="129" t="str">
        <f>_xlfn.XLOOKUP(H52,'GK IFT SDM POSTCODES'!A:A,'GK IFT SDM POSTCODES'!B:B,"")</f>
        <v>Nikki Hayter</v>
      </c>
    </row>
    <row r="53" spans="1:10" s="129" customFormat="1" ht="17.25" x14ac:dyDescent="0.35">
      <c r="A53" s="131" t="s">
        <v>4160</v>
      </c>
      <c r="B53" s="128" t="s">
        <v>4397</v>
      </c>
      <c r="G53" s="128" t="s">
        <v>15</v>
      </c>
      <c r="H53" s="131" t="str">
        <f t="shared" si="0"/>
        <v>CO1</v>
      </c>
      <c r="I53" s="131" t="str" cm="1">
        <f t="array" ref="I53">LEFT(G53, MIN(IF(ISNUMBER(--MID(G53, _xlfn.SEQUENCE(LEN(G53)), 1)), _xlfn.SEQUENCE(LEN(G53)))) - 1)</f>
        <v>CO</v>
      </c>
      <c r="J53" s="129" t="str">
        <f>_xlfn.XLOOKUP(H53,'GK IFT SDM POSTCODES'!A:A,'GK IFT SDM POSTCODES'!B:B,"")</f>
        <v>Nikki Hayter</v>
      </c>
    </row>
    <row r="54" spans="1:10" s="129" customFormat="1" ht="17.25" x14ac:dyDescent="0.35">
      <c r="A54" s="130" t="s">
        <v>3752</v>
      </c>
      <c r="B54" s="131" t="s">
        <v>3367</v>
      </c>
      <c r="C54" s="131" t="s">
        <v>3753</v>
      </c>
      <c r="D54" s="131" t="s">
        <v>13</v>
      </c>
      <c r="E54" s="131"/>
      <c r="F54" s="131" t="s">
        <v>3183</v>
      </c>
      <c r="G54" s="131" t="s">
        <v>449</v>
      </c>
      <c r="H54" s="131" t="str">
        <f t="shared" si="0"/>
        <v>CO1</v>
      </c>
      <c r="I54" s="131" t="str" cm="1">
        <f t="array" ref="I54">LEFT(G54, MIN(IF(ISNUMBER(--MID(G54, _xlfn.SEQUENCE(LEN(G54)), 1)), _xlfn.SEQUENCE(LEN(G54)))) - 1)</f>
        <v>CO</v>
      </c>
      <c r="J54" s="131" t="s">
        <v>3751</v>
      </c>
    </row>
    <row r="55" spans="1:10" s="129" customFormat="1" ht="17.25" x14ac:dyDescent="0.35">
      <c r="A55" s="131" t="s">
        <v>3718</v>
      </c>
      <c r="B55" s="131" t="s">
        <v>3754</v>
      </c>
      <c r="C55" s="131" t="s">
        <v>3279</v>
      </c>
      <c r="D55" s="131" t="s">
        <v>13</v>
      </c>
      <c r="E55" s="131"/>
      <c r="F55" s="131" t="s">
        <v>3183</v>
      </c>
      <c r="G55" s="131" t="s">
        <v>3755</v>
      </c>
      <c r="H55" s="131" t="str">
        <f t="shared" si="0"/>
        <v>CO1</v>
      </c>
      <c r="I55" s="131" t="str" cm="1">
        <f t="array" ref="I55">LEFT(G55, MIN(IF(ISNUMBER(--MID(G55, _xlfn.SEQUENCE(LEN(G55)), 1)), _xlfn.SEQUENCE(LEN(G55)))) - 1)</f>
        <v>CO</v>
      </c>
      <c r="J55" s="131" t="s">
        <v>3756</v>
      </c>
    </row>
    <row r="56" spans="1:10" s="129" customFormat="1" ht="17.25" x14ac:dyDescent="0.35">
      <c r="A56" s="131" t="s">
        <v>4160</v>
      </c>
      <c r="B56" s="128" t="s">
        <v>4233</v>
      </c>
      <c r="G56" s="128" t="s">
        <v>3755</v>
      </c>
      <c r="H56" s="131" t="str">
        <f t="shared" si="0"/>
        <v>CO1</v>
      </c>
      <c r="I56" s="131" t="str" cm="1">
        <f t="array" ref="I56">LEFT(G56, MIN(IF(ISNUMBER(--MID(G56, _xlfn.SEQUENCE(LEN(G56)), 1)), _xlfn.SEQUENCE(LEN(G56)))) - 1)</f>
        <v>CO</v>
      </c>
      <c r="J56" s="129" t="str">
        <f>_xlfn.XLOOKUP(H56,'GK IFT SDM POSTCODES'!A:A,'GK IFT SDM POSTCODES'!B:B,"")</f>
        <v>Nikki Hayter</v>
      </c>
    </row>
    <row r="57" spans="1:10" s="129" customFormat="1" ht="17.25" x14ac:dyDescent="0.35">
      <c r="A57" s="131" t="s">
        <v>4160</v>
      </c>
      <c r="B57" s="128" t="s">
        <v>4362</v>
      </c>
      <c r="G57" s="128" t="s">
        <v>4656</v>
      </c>
      <c r="H57" s="131" t="str">
        <f t="shared" si="0"/>
        <v>CO1</v>
      </c>
      <c r="I57" s="131" t="str" cm="1">
        <f t="array" ref="I57">LEFT(G57, MIN(IF(ISNUMBER(--MID(G57, _xlfn.SEQUENCE(LEN(G57)), 1)), _xlfn.SEQUENCE(LEN(G57)))) - 1)</f>
        <v>CO</v>
      </c>
      <c r="J57" s="129" t="str">
        <f>_xlfn.XLOOKUP(H57,'GK IFT SDM POSTCODES'!A:A,'GK IFT SDM POSTCODES'!B:B,"")</f>
        <v>Nikki Hayter</v>
      </c>
    </row>
    <row r="58" spans="1:10" s="129" customFormat="1" ht="17.25" x14ac:dyDescent="0.35">
      <c r="A58" s="131" t="s">
        <v>3718</v>
      </c>
      <c r="B58" s="131" t="s">
        <v>338</v>
      </c>
      <c r="C58" s="131" t="s">
        <v>89</v>
      </c>
      <c r="D58" s="131" t="s">
        <v>3757</v>
      </c>
      <c r="E58" s="131" t="s">
        <v>438</v>
      </c>
      <c r="F58" s="131" t="s">
        <v>45</v>
      </c>
      <c r="G58" s="131" t="s">
        <v>3758</v>
      </c>
      <c r="H58" s="131" t="str">
        <f t="shared" si="0"/>
        <v>CO10</v>
      </c>
      <c r="I58" s="131" t="str" cm="1">
        <f t="array" ref="I58">LEFT(G58, MIN(IF(ISNUMBER(--MID(G58, _xlfn.SEQUENCE(LEN(G58)), 1)), _xlfn.SEQUENCE(LEN(G58)))) - 1)</f>
        <v>CO</v>
      </c>
      <c r="J58" s="131" t="s">
        <v>3726</v>
      </c>
    </row>
    <row r="59" spans="1:10" s="129" customFormat="1" ht="17.25" x14ac:dyDescent="0.35">
      <c r="A59" s="131" t="s">
        <v>3718</v>
      </c>
      <c r="B59" s="131" t="s">
        <v>113</v>
      </c>
      <c r="C59" s="131" t="s">
        <v>3496</v>
      </c>
      <c r="D59" s="131" t="s">
        <v>3759</v>
      </c>
      <c r="E59" s="131" t="s">
        <v>438</v>
      </c>
      <c r="F59" s="131" t="s">
        <v>45</v>
      </c>
      <c r="G59" s="131" t="s">
        <v>473</v>
      </c>
      <c r="H59" s="131" t="str">
        <f t="shared" si="0"/>
        <v>CO10</v>
      </c>
      <c r="I59" s="131" t="str" cm="1">
        <f t="array" ref="I59">LEFT(G59, MIN(IF(ISNUMBER(--MID(G59, _xlfn.SEQUENCE(LEN(G59)), 1)), _xlfn.SEQUENCE(LEN(G59)))) - 1)</f>
        <v>CO</v>
      </c>
      <c r="J59" s="131" t="s">
        <v>3726</v>
      </c>
    </row>
    <row r="60" spans="1:10" s="129" customFormat="1" ht="17.25" x14ac:dyDescent="0.35">
      <c r="A60" s="131" t="s">
        <v>4160</v>
      </c>
      <c r="B60" s="128" t="s">
        <v>4401</v>
      </c>
      <c r="G60" s="128" t="s">
        <v>316</v>
      </c>
      <c r="H60" s="131" t="str">
        <f t="shared" si="0"/>
        <v>CO10</v>
      </c>
      <c r="I60" s="131" t="str" cm="1">
        <f t="array" ref="I60">LEFT(G60, MIN(IF(ISNUMBER(--MID(G60, _xlfn.SEQUENCE(LEN(G60)), 1)), _xlfn.SEQUENCE(LEN(G60)))) - 1)</f>
        <v>CO</v>
      </c>
      <c r="J60" s="129" t="str">
        <f>_xlfn.XLOOKUP(H60,'GK IFT SDM POSTCODES'!A:A,'GK IFT SDM POSTCODES'!B:B,"")</f>
        <v>Kate Rayson</v>
      </c>
    </row>
    <row r="61" spans="1:10" s="129" customFormat="1" ht="17.25" x14ac:dyDescent="0.35">
      <c r="A61" s="131" t="s">
        <v>4160</v>
      </c>
      <c r="B61" s="128" t="s">
        <v>4461</v>
      </c>
      <c r="G61" s="128" t="s">
        <v>4718</v>
      </c>
      <c r="H61" s="131" t="str">
        <f t="shared" si="0"/>
        <v>CO10</v>
      </c>
      <c r="I61" s="131" t="str" cm="1">
        <f t="array" ref="I61">LEFT(G61, MIN(IF(ISNUMBER(--MID(G61, _xlfn.SEQUENCE(LEN(G61)), 1)), _xlfn.SEQUENCE(LEN(G61)))) - 1)</f>
        <v>CO</v>
      </c>
      <c r="J61" s="129" t="str">
        <f>_xlfn.XLOOKUP(H61,'GK IFT SDM POSTCODES'!A:A,'GK IFT SDM POSTCODES'!B:B,"")</f>
        <v>Kate Rayson</v>
      </c>
    </row>
    <row r="62" spans="1:10" s="129" customFormat="1" ht="17.25" x14ac:dyDescent="0.35">
      <c r="A62" s="131" t="s">
        <v>4160</v>
      </c>
      <c r="B62" s="128" t="s">
        <v>4354</v>
      </c>
      <c r="G62" s="128" t="s">
        <v>4649</v>
      </c>
      <c r="H62" s="131" t="str">
        <f t="shared" si="0"/>
        <v>CO10</v>
      </c>
      <c r="I62" s="131" t="str" cm="1">
        <f t="array" ref="I62">LEFT(G62, MIN(IF(ISNUMBER(--MID(G62, _xlfn.SEQUENCE(LEN(G62)), 1)), _xlfn.SEQUENCE(LEN(G62)))) - 1)</f>
        <v>CO</v>
      </c>
      <c r="J62" s="129" t="str">
        <f>_xlfn.XLOOKUP(H62,'GK IFT SDM POSTCODES'!A:A,'GK IFT SDM POSTCODES'!B:B,"")</f>
        <v>Kate Rayson</v>
      </c>
    </row>
    <row r="63" spans="1:10" s="129" customFormat="1" ht="17.25" x14ac:dyDescent="0.35">
      <c r="A63" s="131" t="s">
        <v>4160</v>
      </c>
      <c r="B63" s="128" t="s">
        <v>4340</v>
      </c>
      <c r="G63" s="128" t="s">
        <v>4641</v>
      </c>
      <c r="H63" s="131" t="str">
        <f t="shared" si="0"/>
        <v>CO10</v>
      </c>
      <c r="I63" s="131" t="str" cm="1">
        <f t="array" ref="I63">LEFT(G63, MIN(IF(ISNUMBER(--MID(G63, _xlfn.SEQUENCE(LEN(G63)), 1)), _xlfn.SEQUENCE(LEN(G63)))) - 1)</f>
        <v>CO</v>
      </c>
      <c r="J63" s="129" t="str">
        <f>_xlfn.XLOOKUP(H63,'GK IFT SDM POSTCODES'!A:A,'GK IFT SDM POSTCODES'!B:B,"")</f>
        <v>Kate Rayson</v>
      </c>
    </row>
    <row r="64" spans="1:10" s="129" customFormat="1" ht="17.25" x14ac:dyDescent="0.35">
      <c r="A64" s="131" t="s">
        <v>4160</v>
      </c>
      <c r="B64" s="128" t="s">
        <v>4417</v>
      </c>
      <c r="G64" s="128" t="s">
        <v>184</v>
      </c>
      <c r="H64" s="131" t="str">
        <f t="shared" si="0"/>
        <v>CO10</v>
      </c>
      <c r="I64" s="131" t="str" cm="1">
        <f t="array" ref="I64">LEFT(G64, MIN(IF(ISNUMBER(--MID(G64, _xlfn.SEQUENCE(LEN(G64)), 1)), _xlfn.SEQUENCE(LEN(G64)))) - 1)</f>
        <v>CO</v>
      </c>
      <c r="J64" s="129" t="str">
        <f>_xlfn.XLOOKUP(H64,'GK IFT SDM POSTCODES'!A:A,'GK IFT SDM POSTCODES'!B:B,"")</f>
        <v>Kate Rayson</v>
      </c>
    </row>
    <row r="65" spans="1:11" ht="17.25" x14ac:dyDescent="0.35">
      <c r="A65" s="131" t="s">
        <v>4160</v>
      </c>
      <c r="B65" s="136" t="s">
        <v>3681</v>
      </c>
      <c r="C65" s="129"/>
      <c r="D65" s="129"/>
      <c r="E65" s="129"/>
      <c r="F65" s="129"/>
      <c r="G65" s="136" t="s">
        <v>184</v>
      </c>
      <c r="H65" s="131" t="str">
        <f t="shared" si="0"/>
        <v>CO10</v>
      </c>
      <c r="I65" s="131" t="str" cm="1">
        <f t="array" ref="I65">LEFT(G65, MIN(IF(ISNUMBER(--MID(G65, _xlfn.SEQUENCE(LEN(G65)), 1)), _xlfn.SEQUENCE(LEN(G65)))) - 1)</f>
        <v>CO</v>
      </c>
      <c r="J65" s="129" t="str">
        <f>_xlfn.XLOOKUP(H65,'GK IFT SDM POSTCODES'!A:A,'GK IFT SDM POSTCODES'!B:B,"")</f>
        <v>Kate Rayson</v>
      </c>
      <c r="K65" s="129"/>
    </row>
    <row r="66" spans="1:11" ht="17.25" x14ac:dyDescent="0.35">
      <c r="A66" s="129" t="s">
        <v>498</v>
      </c>
      <c r="B66" s="137" t="s">
        <v>5206</v>
      </c>
      <c r="C66" s="137" t="s">
        <v>5207</v>
      </c>
      <c r="D66" s="129"/>
      <c r="E66" s="137" t="s">
        <v>438</v>
      </c>
      <c r="F66" s="129"/>
      <c r="G66" s="137" t="s">
        <v>184</v>
      </c>
      <c r="H66" s="131" t="str">
        <f t="shared" ref="H66:H129" si="1">_xlfn.TEXTBEFORE(G66," ")</f>
        <v>CO10</v>
      </c>
      <c r="I66" s="131" t="str" cm="1">
        <f t="array" ref="I66">LEFT(G66, MIN(IF(ISNUMBER(--MID(G66, _xlfn.SEQUENCE(LEN(G66)), 1)), _xlfn.SEQUENCE(LEN(G66)))) - 1)</f>
        <v>CO</v>
      </c>
      <c r="J66" s="143" t="s">
        <v>5252</v>
      </c>
    </row>
    <row r="67" spans="1:11" ht="17.25" x14ac:dyDescent="0.35">
      <c r="A67" s="131" t="s">
        <v>3718</v>
      </c>
      <c r="B67" s="131" t="s">
        <v>192</v>
      </c>
      <c r="C67" s="131" t="s">
        <v>2102</v>
      </c>
      <c r="D67" s="131" t="s">
        <v>438</v>
      </c>
      <c r="E67" s="131"/>
      <c r="F67" s="131" t="s">
        <v>45</v>
      </c>
      <c r="G67" s="131" t="s">
        <v>181</v>
      </c>
      <c r="H67" s="131" t="str">
        <f t="shared" si="1"/>
        <v>CO10</v>
      </c>
      <c r="I67" s="131" t="str" cm="1">
        <f t="array" ref="I67">LEFT(G67, MIN(IF(ISNUMBER(--MID(G67, _xlfn.SEQUENCE(LEN(G67)), 1)), _xlfn.SEQUENCE(LEN(G67)))) - 1)</f>
        <v>CO</v>
      </c>
      <c r="J67" s="131" t="s">
        <v>3726</v>
      </c>
    </row>
    <row r="68" spans="1:11" ht="17.25" x14ac:dyDescent="0.35">
      <c r="A68" s="129" t="s">
        <v>498</v>
      </c>
      <c r="B68" s="137" t="s">
        <v>5192</v>
      </c>
      <c r="C68" s="137" t="s">
        <v>5193</v>
      </c>
      <c r="D68" s="129"/>
      <c r="E68" s="137" t="s">
        <v>438</v>
      </c>
      <c r="F68" s="129"/>
      <c r="G68" s="137" t="s">
        <v>303</v>
      </c>
      <c r="H68" s="131" t="str">
        <f t="shared" si="1"/>
        <v>CO10</v>
      </c>
      <c r="I68" s="131" t="str" cm="1">
        <f t="array" ref="I68">LEFT(G68, MIN(IF(ISNUMBER(--MID(G68, _xlfn.SEQUENCE(LEN(G68)), 1)), _xlfn.SEQUENCE(LEN(G68)))) - 1)</f>
        <v>CO</v>
      </c>
      <c r="J68" s="137" t="s">
        <v>5141</v>
      </c>
      <c r="K68" s="129"/>
    </row>
    <row r="69" spans="1:11" ht="17.25" x14ac:dyDescent="0.35">
      <c r="A69" s="131" t="s">
        <v>3718</v>
      </c>
      <c r="B69" s="131" t="s">
        <v>3547</v>
      </c>
      <c r="C69" s="131" t="s">
        <v>3729</v>
      </c>
      <c r="D69" s="131" t="s">
        <v>438</v>
      </c>
      <c r="E69" s="131"/>
      <c r="F69" s="131" t="s">
        <v>45</v>
      </c>
      <c r="G69" s="131" t="s">
        <v>439</v>
      </c>
      <c r="H69" s="131" t="str">
        <f t="shared" si="1"/>
        <v>CO10</v>
      </c>
      <c r="I69" s="131" t="str" cm="1">
        <f t="array" ref="I69">LEFT(G69, MIN(IF(ISNUMBER(--MID(G69, _xlfn.SEQUENCE(LEN(G69)), 1)), _xlfn.SEQUENCE(LEN(G69)))) - 1)</f>
        <v>CO</v>
      </c>
      <c r="J69" s="131" t="s">
        <v>3726</v>
      </c>
      <c r="K69" s="129"/>
    </row>
    <row r="70" spans="1:11" ht="17.25" x14ac:dyDescent="0.35">
      <c r="A70" s="131" t="s">
        <v>4160</v>
      </c>
      <c r="B70" s="128" t="s">
        <v>4222</v>
      </c>
      <c r="C70" s="129"/>
      <c r="D70" s="129"/>
      <c r="E70" s="129"/>
      <c r="F70" s="129"/>
      <c r="G70" s="128" t="s">
        <v>180</v>
      </c>
      <c r="H70" s="131" t="str">
        <f t="shared" si="1"/>
        <v>CO10</v>
      </c>
      <c r="I70" s="131" t="str" cm="1">
        <f t="array" ref="I70">LEFT(G70, MIN(IF(ISNUMBER(--MID(G70, _xlfn.SEQUENCE(LEN(G70)), 1)), _xlfn.SEQUENCE(LEN(G70)))) - 1)</f>
        <v>CO</v>
      </c>
      <c r="J70" s="129" t="str">
        <f>_xlfn.XLOOKUP(H70,'GK IFT SDM POSTCODES'!A:A,'GK IFT SDM POSTCODES'!B:B,"")</f>
        <v>Kate Rayson</v>
      </c>
      <c r="K70" s="129"/>
    </row>
    <row r="71" spans="1:11" ht="17.25" x14ac:dyDescent="0.35">
      <c r="A71" s="131" t="s">
        <v>4160</v>
      </c>
      <c r="B71" s="128" t="s">
        <v>4412</v>
      </c>
      <c r="C71" s="129"/>
      <c r="D71" s="129"/>
      <c r="E71" s="129"/>
      <c r="F71" s="129"/>
      <c r="G71" s="128" t="s">
        <v>180</v>
      </c>
      <c r="H71" s="131" t="str">
        <f t="shared" si="1"/>
        <v>CO10</v>
      </c>
      <c r="I71" s="131" t="str" cm="1">
        <f t="array" ref="I71">LEFT(G71, MIN(IF(ISNUMBER(--MID(G71, _xlfn.SEQUENCE(LEN(G71)), 1)), _xlfn.SEQUENCE(LEN(G71)))) - 1)</f>
        <v>CO</v>
      </c>
      <c r="J71" s="129" t="str">
        <f>_xlfn.XLOOKUP(H71,'GK IFT SDM POSTCODES'!A:A,'GK IFT SDM POSTCODES'!B:B,"")</f>
        <v>Kate Rayson</v>
      </c>
      <c r="K71" s="129"/>
    </row>
    <row r="72" spans="1:11" ht="17.25" x14ac:dyDescent="0.35">
      <c r="A72" s="134" t="s">
        <v>7</v>
      </c>
      <c r="B72" s="134" t="s">
        <v>4028</v>
      </c>
      <c r="C72" s="134" t="s">
        <v>4008</v>
      </c>
      <c r="D72" s="129"/>
      <c r="E72" s="134" t="s">
        <v>438</v>
      </c>
      <c r="F72" s="134" t="s">
        <v>45</v>
      </c>
      <c r="G72" s="134" t="s">
        <v>301</v>
      </c>
      <c r="H72" s="131" t="str">
        <f t="shared" si="1"/>
        <v>CO10</v>
      </c>
      <c r="I72" s="131" t="str" cm="1">
        <f t="array" ref="I72">LEFT(G72, MIN(IF(ISNUMBER(--MID(G72, _xlfn.SEQUENCE(LEN(G72)), 1)), _xlfn.SEQUENCE(LEN(G72)))) - 1)</f>
        <v>CO</v>
      </c>
      <c r="J72" s="146" t="s">
        <v>6231</v>
      </c>
      <c r="K72" s="129"/>
    </row>
    <row r="73" spans="1:11" ht="17.25" x14ac:dyDescent="0.35">
      <c r="A73" s="130" t="s">
        <v>3752</v>
      </c>
      <c r="B73" s="131" t="s">
        <v>2848</v>
      </c>
      <c r="C73" s="131" t="s">
        <v>2849</v>
      </c>
      <c r="D73" s="131" t="s">
        <v>438</v>
      </c>
      <c r="E73" s="131"/>
      <c r="F73" s="131" t="s">
        <v>45</v>
      </c>
      <c r="G73" s="131" t="s">
        <v>3760</v>
      </c>
      <c r="H73" s="131" t="str">
        <f t="shared" si="1"/>
        <v>CO10</v>
      </c>
      <c r="I73" s="131" t="str" cm="1">
        <f t="array" ref="I73">LEFT(G73, MIN(IF(ISNUMBER(--MID(G73, _xlfn.SEQUENCE(LEN(G73)), 1)), _xlfn.SEQUENCE(LEN(G73)))) - 1)</f>
        <v>CO</v>
      </c>
      <c r="J73" s="131" t="s">
        <v>3751</v>
      </c>
      <c r="K73" s="129"/>
    </row>
    <row r="74" spans="1:11" ht="17.25" x14ac:dyDescent="0.35">
      <c r="A74" s="131" t="s">
        <v>4160</v>
      </c>
      <c r="B74" s="128" t="s">
        <v>4301</v>
      </c>
      <c r="C74" s="129"/>
      <c r="D74" s="129"/>
      <c r="E74" s="129"/>
      <c r="F74" s="129"/>
      <c r="G74" s="128" t="s">
        <v>4616</v>
      </c>
      <c r="H74" s="131" t="str">
        <f t="shared" si="1"/>
        <v>CO10</v>
      </c>
      <c r="I74" s="131" t="str" cm="1">
        <f t="array" ref="I74">LEFT(G74, MIN(IF(ISNUMBER(--MID(G74, _xlfn.SEQUENCE(LEN(G74)), 1)), _xlfn.SEQUENCE(LEN(G74)))) - 1)</f>
        <v>CO</v>
      </c>
      <c r="J74" s="129" t="str">
        <f>_xlfn.XLOOKUP(H74,'GK IFT SDM POSTCODES'!A:A,'GK IFT SDM POSTCODES'!B:B,"")</f>
        <v>Kate Rayson</v>
      </c>
      <c r="K74" s="129"/>
    </row>
    <row r="75" spans="1:11" ht="17.25" x14ac:dyDescent="0.35">
      <c r="A75" s="129" t="s">
        <v>498</v>
      </c>
      <c r="B75" s="137" t="s">
        <v>5202</v>
      </c>
      <c r="C75" s="137" t="s">
        <v>5203</v>
      </c>
      <c r="D75" s="129"/>
      <c r="E75" s="137" t="s">
        <v>438</v>
      </c>
      <c r="F75" s="129"/>
      <c r="G75" s="137" t="s">
        <v>183</v>
      </c>
      <c r="H75" s="131" t="str">
        <f t="shared" si="1"/>
        <v>CO10</v>
      </c>
      <c r="I75" s="131" t="str" cm="1">
        <f t="array" ref="I75">LEFT(G75, MIN(IF(ISNUMBER(--MID(G75, _xlfn.SEQUENCE(LEN(G75)), 1)), _xlfn.SEQUENCE(LEN(G75)))) - 1)</f>
        <v>CO</v>
      </c>
      <c r="J75" s="137" t="s">
        <v>5141</v>
      </c>
      <c r="K75" s="129"/>
    </row>
    <row r="76" spans="1:11" ht="17.25" x14ac:dyDescent="0.35">
      <c r="A76" s="131" t="s">
        <v>4160</v>
      </c>
      <c r="B76" s="128" t="s">
        <v>4459</v>
      </c>
      <c r="C76" s="129"/>
      <c r="D76" s="129"/>
      <c r="E76" s="129"/>
      <c r="F76" s="129"/>
      <c r="G76" s="128" t="s">
        <v>4717</v>
      </c>
      <c r="H76" s="131" t="str">
        <f t="shared" si="1"/>
        <v>CO10</v>
      </c>
      <c r="I76" s="131" t="str" cm="1">
        <f t="array" ref="I76">LEFT(G76, MIN(IF(ISNUMBER(--MID(G76, _xlfn.SEQUENCE(LEN(G76)), 1)), _xlfn.SEQUENCE(LEN(G76)))) - 1)</f>
        <v>CO</v>
      </c>
      <c r="J76" s="129" t="str">
        <f>_xlfn.XLOOKUP(H76,'GK IFT SDM POSTCODES'!A:A,'GK IFT SDM POSTCODES'!B:B,"")</f>
        <v>Kate Rayson</v>
      </c>
      <c r="K76" s="129"/>
    </row>
    <row r="77" spans="1:11" ht="17.25" x14ac:dyDescent="0.35">
      <c r="A77" s="131" t="s">
        <v>4160</v>
      </c>
      <c r="B77" s="136" t="s">
        <v>4497</v>
      </c>
      <c r="C77" s="129"/>
      <c r="D77" s="129"/>
      <c r="E77" s="129"/>
      <c r="F77" s="129"/>
      <c r="G77" s="136" t="s">
        <v>4738</v>
      </c>
      <c r="H77" s="131" t="str">
        <f t="shared" si="1"/>
        <v>CO10</v>
      </c>
      <c r="I77" s="131" t="str" cm="1">
        <f t="array" ref="I77">LEFT(G77, MIN(IF(ISNUMBER(--MID(G77, _xlfn.SEQUENCE(LEN(G77)), 1)), _xlfn.SEQUENCE(LEN(G77)))) - 1)</f>
        <v>CO</v>
      </c>
      <c r="J77" s="129" t="str">
        <f>_xlfn.XLOOKUP(H77,'GK IFT SDM POSTCODES'!A:A,'GK IFT SDM POSTCODES'!B:B,"")</f>
        <v>Kate Rayson</v>
      </c>
      <c r="K77" s="129"/>
    </row>
    <row r="78" spans="1:11" ht="17.25" x14ac:dyDescent="0.35">
      <c r="A78" s="131" t="s">
        <v>4160</v>
      </c>
      <c r="B78" s="128" t="s">
        <v>4162</v>
      </c>
      <c r="C78" s="129"/>
      <c r="D78" s="129"/>
      <c r="E78" s="129"/>
      <c r="F78" s="129"/>
      <c r="G78" s="128" t="s">
        <v>4519</v>
      </c>
      <c r="H78" s="131" t="str">
        <f t="shared" si="1"/>
        <v>CO10</v>
      </c>
      <c r="I78" s="131" t="str" cm="1">
        <f t="array" ref="I78">LEFT(G78, MIN(IF(ISNUMBER(--MID(G78, _xlfn.SEQUENCE(LEN(G78)), 1)), _xlfn.SEQUENCE(LEN(G78)))) - 1)</f>
        <v>CO</v>
      </c>
      <c r="J78" s="129" t="str">
        <f>_xlfn.XLOOKUP(H78,'GK IFT SDM POSTCODES'!A:A,'GK IFT SDM POSTCODES'!B:B,"")</f>
        <v>Kate Rayson</v>
      </c>
      <c r="K78" s="129"/>
    </row>
    <row r="79" spans="1:11" ht="17.25" x14ac:dyDescent="0.35">
      <c r="A79" s="131" t="s">
        <v>4160</v>
      </c>
      <c r="B79" s="128" t="s">
        <v>4191</v>
      </c>
      <c r="C79" s="129"/>
      <c r="D79" s="129"/>
      <c r="E79" s="129"/>
      <c r="F79" s="129"/>
      <c r="G79" s="128" t="s">
        <v>4519</v>
      </c>
      <c r="H79" s="131" t="str">
        <f t="shared" si="1"/>
        <v>CO10</v>
      </c>
      <c r="I79" s="131" t="str" cm="1">
        <f t="array" ref="I79">LEFT(G79, MIN(IF(ISNUMBER(--MID(G79, _xlfn.SEQUENCE(LEN(G79)), 1)), _xlfn.SEQUENCE(LEN(G79)))) - 1)</f>
        <v>CO</v>
      </c>
      <c r="J79" s="129" t="str">
        <f>_xlfn.XLOOKUP(H79,'GK IFT SDM POSTCODES'!A:A,'GK IFT SDM POSTCODES'!B:B,"")</f>
        <v>Kate Rayson</v>
      </c>
      <c r="K79" s="129"/>
    </row>
    <row r="80" spans="1:11" ht="17.25" x14ac:dyDescent="0.35">
      <c r="A80" s="131" t="s">
        <v>4160</v>
      </c>
      <c r="B80" s="128" t="s">
        <v>3679</v>
      </c>
      <c r="C80" s="129"/>
      <c r="D80" s="129"/>
      <c r="E80" s="129"/>
      <c r="F80" s="129"/>
      <c r="G80" s="128" t="s">
        <v>3680</v>
      </c>
      <c r="H80" s="131" t="str">
        <f t="shared" si="1"/>
        <v>CO10</v>
      </c>
      <c r="I80" s="131" t="str" cm="1">
        <f t="array" ref="I80">LEFT(G80, MIN(IF(ISNUMBER(--MID(G80, _xlfn.SEQUENCE(LEN(G80)), 1)), _xlfn.SEQUENCE(LEN(G80)))) - 1)</f>
        <v>CO</v>
      </c>
      <c r="J80" s="129" t="str">
        <f>_xlfn.XLOOKUP(H80,'GK IFT SDM POSTCODES'!A:A,'GK IFT SDM POSTCODES'!B:B,"")</f>
        <v>Kate Rayson</v>
      </c>
      <c r="K80" s="129"/>
    </row>
    <row r="81" spans="1:11" ht="17.25" x14ac:dyDescent="0.35">
      <c r="A81" s="129" t="s">
        <v>498</v>
      </c>
      <c r="B81" s="137" t="s">
        <v>5190</v>
      </c>
      <c r="C81" s="137" t="s">
        <v>5191</v>
      </c>
      <c r="D81" s="129"/>
      <c r="E81" s="137" t="s">
        <v>545</v>
      </c>
      <c r="F81" s="129"/>
      <c r="G81" s="137" t="s">
        <v>3618</v>
      </c>
      <c r="H81" s="131" t="str">
        <f t="shared" si="1"/>
        <v>CO10</v>
      </c>
      <c r="I81" s="131" t="str" cm="1">
        <f t="array" ref="I81">LEFT(G81, MIN(IF(ISNUMBER(--MID(G81, _xlfn.SEQUENCE(LEN(G81)), 1)), _xlfn.SEQUENCE(LEN(G81)))) - 1)</f>
        <v>CO</v>
      </c>
      <c r="J81" s="137" t="s">
        <v>5141</v>
      </c>
      <c r="K81" s="129"/>
    </row>
    <row r="82" spans="1:11" ht="17.25" x14ac:dyDescent="0.35">
      <c r="A82" s="131" t="s">
        <v>4160</v>
      </c>
      <c r="B82" s="128" t="s">
        <v>4198</v>
      </c>
      <c r="C82" s="129"/>
      <c r="D82" s="129"/>
      <c r="E82" s="129"/>
      <c r="F82" s="129"/>
      <c r="G82" s="128" t="s">
        <v>4544</v>
      </c>
      <c r="H82" s="131" t="str">
        <f t="shared" si="1"/>
        <v>CO10</v>
      </c>
      <c r="I82" s="131" t="str" cm="1">
        <f t="array" ref="I82">LEFT(G82, MIN(IF(ISNUMBER(--MID(G82, _xlfn.SEQUENCE(LEN(G82)), 1)), _xlfn.SEQUENCE(LEN(G82)))) - 1)</f>
        <v>CO</v>
      </c>
      <c r="J82" s="129" t="str">
        <f>_xlfn.XLOOKUP(H82,'GK IFT SDM POSTCODES'!A:A,'GK IFT SDM POSTCODES'!B:B,"")</f>
        <v>Kate Rayson</v>
      </c>
      <c r="K82" s="129"/>
    </row>
    <row r="83" spans="1:11" ht="17.25" x14ac:dyDescent="0.35">
      <c r="A83" s="131" t="s">
        <v>4160</v>
      </c>
      <c r="B83" s="128" t="s">
        <v>4266</v>
      </c>
      <c r="C83" s="129"/>
      <c r="D83" s="129"/>
      <c r="E83" s="129"/>
      <c r="F83" s="129"/>
      <c r="G83" s="128" t="s">
        <v>3683</v>
      </c>
      <c r="H83" s="131" t="str">
        <f t="shared" si="1"/>
        <v>CO10</v>
      </c>
      <c r="I83" s="131" t="str" cm="1">
        <f t="array" ref="I83">LEFT(G83, MIN(IF(ISNUMBER(--MID(G83, _xlfn.SEQUENCE(LEN(G83)), 1)), _xlfn.SEQUENCE(LEN(G83)))) - 1)</f>
        <v>CO</v>
      </c>
      <c r="J83" s="129" t="str">
        <f>_xlfn.XLOOKUP(H83,'GK IFT SDM POSTCODES'!A:A,'GK IFT SDM POSTCODES'!B:B,"")</f>
        <v>Kate Rayson</v>
      </c>
      <c r="K83" s="129"/>
    </row>
    <row r="84" spans="1:11" ht="17.25" x14ac:dyDescent="0.35">
      <c r="A84" s="131" t="s">
        <v>4160</v>
      </c>
      <c r="B84" s="128" t="s">
        <v>3682</v>
      </c>
      <c r="C84" s="129"/>
      <c r="D84" s="129"/>
      <c r="E84" s="129"/>
      <c r="F84" s="129"/>
      <c r="G84" s="128" t="s">
        <v>3683</v>
      </c>
      <c r="H84" s="131" t="str">
        <f t="shared" si="1"/>
        <v>CO10</v>
      </c>
      <c r="I84" s="131" t="str" cm="1">
        <f t="array" ref="I84">LEFT(G84, MIN(IF(ISNUMBER(--MID(G84, _xlfn.SEQUENCE(LEN(G84)), 1)), _xlfn.SEQUENCE(LEN(G84)))) - 1)</f>
        <v>CO</v>
      </c>
      <c r="J84" s="129" t="str">
        <f>_xlfn.XLOOKUP(H84,'GK IFT SDM POSTCODES'!A:A,'GK IFT SDM POSTCODES'!B:B,"")</f>
        <v>Kate Rayson</v>
      </c>
      <c r="K84" s="129"/>
    </row>
    <row r="85" spans="1:11" ht="17.25" x14ac:dyDescent="0.35">
      <c r="A85" s="129" t="s">
        <v>498</v>
      </c>
      <c r="B85" s="137" t="s">
        <v>5204</v>
      </c>
      <c r="C85" s="137" t="s">
        <v>5205</v>
      </c>
      <c r="D85" s="129"/>
      <c r="E85" s="137" t="s">
        <v>438</v>
      </c>
      <c r="F85" s="129"/>
      <c r="G85" s="137" t="s">
        <v>3589</v>
      </c>
      <c r="H85" s="131" t="str">
        <f t="shared" si="1"/>
        <v>CO10</v>
      </c>
      <c r="I85" s="131" t="str" cm="1">
        <f t="array" ref="I85">LEFT(G85, MIN(IF(ISNUMBER(--MID(G85, _xlfn.SEQUENCE(LEN(G85)), 1)), _xlfn.SEQUENCE(LEN(G85)))) - 1)</f>
        <v>CO</v>
      </c>
      <c r="J85" s="137" t="s">
        <v>5141</v>
      </c>
      <c r="K85" s="129"/>
    </row>
    <row r="86" spans="1:11" ht="17.25" x14ac:dyDescent="0.35">
      <c r="A86" s="129" t="s">
        <v>498</v>
      </c>
      <c r="B86" s="137" t="s">
        <v>5214</v>
      </c>
      <c r="C86" s="137" t="s">
        <v>3564</v>
      </c>
      <c r="D86" s="129"/>
      <c r="E86" s="137" t="s">
        <v>438</v>
      </c>
      <c r="F86" s="129"/>
      <c r="G86" s="137" t="s">
        <v>3626</v>
      </c>
      <c r="H86" s="131" t="str">
        <f t="shared" si="1"/>
        <v>CO10</v>
      </c>
      <c r="I86" s="131" t="str" cm="1">
        <f t="array" ref="I86">LEFT(G86, MIN(IF(ISNUMBER(--MID(G86, _xlfn.SEQUENCE(LEN(G86)), 1)), _xlfn.SEQUENCE(LEN(G86)))) - 1)</f>
        <v>CO</v>
      </c>
      <c r="J86" s="137" t="s">
        <v>5141</v>
      </c>
      <c r="K86" s="129"/>
    </row>
    <row r="87" spans="1:11" ht="17.25" x14ac:dyDescent="0.35">
      <c r="A87" s="131" t="s">
        <v>3718</v>
      </c>
      <c r="B87" s="131" t="s">
        <v>2968</v>
      </c>
      <c r="C87" s="131" t="s">
        <v>89</v>
      </c>
      <c r="D87" s="131" t="s">
        <v>3761</v>
      </c>
      <c r="E87" s="131" t="s">
        <v>438</v>
      </c>
      <c r="F87" s="131" t="s">
        <v>45</v>
      </c>
      <c r="G87" s="131" t="s">
        <v>27</v>
      </c>
      <c r="H87" s="131" t="str">
        <f t="shared" si="1"/>
        <v>CO10</v>
      </c>
      <c r="I87" s="131" t="str" cm="1">
        <f t="array" ref="I87">LEFT(G87, MIN(IF(ISNUMBER(--MID(G87, _xlfn.SEQUENCE(LEN(G87)), 1)), _xlfn.SEQUENCE(LEN(G87)))) - 1)</f>
        <v>CO</v>
      </c>
      <c r="J87" s="131" t="s">
        <v>3726</v>
      </c>
      <c r="K87" s="129"/>
    </row>
    <row r="88" spans="1:11" ht="17.25" x14ac:dyDescent="0.35">
      <c r="A88" s="131" t="s">
        <v>3718</v>
      </c>
      <c r="B88" s="131" t="s">
        <v>3762</v>
      </c>
      <c r="C88" s="131" t="s">
        <v>526</v>
      </c>
      <c r="D88" s="131" t="s">
        <v>3761</v>
      </c>
      <c r="E88" s="131" t="s">
        <v>438</v>
      </c>
      <c r="F88" s="131" t="s">
        <v>45</v>
      </c>
      <c r="G88" s="131" t="s">
        <v>421</v>
      </c>
      <c r="H88" s="131" t="str">
        <f t="shared" si="1"/>
        <v>CO10</v>
      </c>
      <c r="I88" s="131" t="str" cm="1">
        <f t="array" ref="I88">LEFT(G88, MIN(IF(ISNUMBER(--MID(G88, _xlfn.SEQUENCE(LEN(G88)), 1)), _xlfn.SEQUENCE(LEN(G88)))) - 1)</f>
        <v>CO</v>
      </c>
      <c r="J88" s="131" t="s">
        <v>3726</v>
      </c>
      <c r="K88" s="129"/>
    </row>
    <row r="89" spans="1:11" ht="17.25" x14ac:dyDescent="0.35">
      <c r="A89" s="131" t="s">
        <v>4160</v>
      </c>
      <c r="B89" s="128" t="s">
        <v>420</v>
      </c>
      <c r="C89" s="129"/>
      <c r="D89" s="129"/>
      <c r="E89" s="129"/>
      <c r="F89" s="129"/>
      <c r="G89" s="128" t="s">
        <v>421</v>
      </c>
      <c r="H89" s="131" t="str">
        <f t="shared" si="1"/>
        <v>CO10</v>
      </c>
      <c r="I89" s="131" t="str" cm="1">
        <f t="array" ref="I89">LEFT(G89, MIN(IF(ISNUMBER(--MID(G89, _xlfn.SEQUENCE(LEN(G89)), 1)), _xlfn.SEQUENCE(LEN(G89)))) - 1)</f>
        <v>CO</v>
      </c>
      <c r="J89" s="129" t="str">
        <f>_xlfn.XLOOKUP(H89,'GK IFT SDM POSTCODES'!A:A,'GK IFT SDM POSTCODES'!B:B,"")</f>
        <v>Kate Rayson</v>
      </c>
      <c r="K89" s="129"/>
    </row>
    <row r="90" spans="1:11" ht="17.25" x14ac:dyDescent="0.35">
      <c r="A90" s="131" t="s">
        <v>4160</v>
      </c>
      <c r="B90" s="128" t="s">
        <v>4232</v>
      </c>
      <c r="C90" s="129"/>
      <c r="D90" s="129"/>
      <c r="E90" s="129"/>
      <c r="F90" s="129"/>
      <c r="G90" s="128" t="s">
        <v>23</v>
      </c>
      <c r="H90" s="131" t="str">
        <f t="shared" si="1"/>
        <v>CO10</v>
      </c>
      <c r="I90" s="131" t="str" cm="1">
        <f t="array" ref="I90">LEFT(G90, MIN(IF(ISNUMBER(--MID(G90, _xlfn.SEQUENCE(LEN(G90)), 1)), _xlfn.SEQUENCE(LEN(G90)))) - 1)</f>
        <v>CO</v>
      </c>
      <c r="J90" s="129" t="str">
        <f>_xlfn.XLOOKUP(H90,'GK IFT SDM POSTCODES'!A:A,'GK IFT SDM POSTCODES'!B:B,"")</f>
        <v>Kate Rayson</v>
      </c>
      <c r="K90" s="129"/>
    </row>
    <row r="91" spans="1:11" ht="17.25" x14ac:dyDescent="0.35">
      <c r="A91" s="131" t="s">
        <v>3718</v>
      </c>
      <c r="B91" s="131" t="s">
        <v>25</v>
      </c>
      <c r="C91" s="131" t="s">
        <v>526</v>
      </c>
      <c r="D91" s="131" t="s">
        <v>3761</v>
      </c>
      <c r="E91" s="131" t="s">
        <v>438</v>
      </c>
      <c r="F91" s="131" t="s">
        <v>45</v>
      </c>
      <c r="G91" s="131" t="s">
        <v>26</v>
      </c>
      <c r="H91" s="131" t="str">
        <f t="shared" si="1"/>
        <v>CO10</v>
      </c>
      <c r="I91" s="131" t="str" cm="1">
        <f t="array" ref="I91">LEFT(G91, MIN(IF(ISNUMBER(--MID(G91, _xlfn.SEQUENCE(LEN(G91)), 1)), _xlfn.SEQUENCE(LEN(G91)))) - 1)</f>
        <v>CO</v>
      </c>
      <c r="J91" s="131" t="s">
        <v>3726</v>
      </c>
      <c r="K91" s="129"/>
    </row>
    <row r="92" spans="1:11" ht="17.25" x14ac:dyDescent="0.35">
      <c r="A92" s="131" t="s">
        <v>4160</v>
      </c>
      <c r="B92" s="128" t="s">
        <v>4381</v>
      </c>
      <c r="C92" s="129"/>
      <c r="D92" s="129"/>
      <c r="E92" s="129"/>
      <c r="F92" s="129"/>
      <c r="G92" s="128" t="s">
        <v>4670</v>
      </c>
      <c r="H92" s="131" t="str">
        <f t="shared" si="1"/>
        <v>CO10</v>
      </c>
      <c r="I92" s="131" t="str" cm="1">
        <f t="array" ref="I92">LEFT(G92, MIN(IF(ISNUMBER(--MID(G92, _xlfn.SEQUENCE(LEN(G92)), 1)), _xlfn.SEQUENCE(LEN(G92)))) - 1)</f>
        <v>CO</v>
      </c>
      <c r="J92" s="129" t="str">
        <f>_xlfn.XLOOKUP(H92,'GK IFT SDM POSTCODES'!A:A,'GK IFT SDM POSTCODES'!B:B,"")</f>
        <v>Kate Rayson</v>
      </c>
      <c r="K92" s="129"/>
    </row>
    <row r="93" spans="1:11" ht="17.25" x14ac:dyDescent="0.35">
      <c r="A93" s="131" t="s">
        <v>3718</v>
      </c>
      <c r="B93" s="131" t="s">
        <v>549</v>
      </c>
      <c r="C93" s="131" t="s">
        <v>3358</v>
      </c>
      <c r="D93" s="131" t="s">
        <v>3763</v>
      </c>
      <c r="E93" s="131" t="s">
        <v>438</v>
      </c>
      <c r="F93" s="131" t="s">
        <v>45</v>
      </c>
      <c r="G93" s="131" t="s">
        <v>30</v>
      </c>
      <c r="H93" s="131" t="str">
        <f t="shared" si="1"/>
        <v>CO10</v>
      </c>
      <c r="I93" s="131" t="str" cm="1">
        <f t="array" ref="I93">LEFT(G93, MIN(IF(ISNUMBER(--MID(G93, _xlfn.SEQUENCE(LEN(G93)), 1)), _xlfn.SEQUENCE(LEN(G93)))) - 1)</f>
        <v>CO</v>
      </c>
      <c r="J93" s="131" t="s">
        <v>3726</v>
      </c>
      <c r="K93" s="129"/>
    </row>
    <row r="94" spans="1:11" ht="17.25" x14ac:dyDescent="0.35">
      <c r="A94" s="131" t="s">
        <v>4160</v>
      </c>
      <c r="B94" s="128" t="s">
        <v>4166</v>
      </c>
      <c r="C94" s="129"/>
      <c r="D94" s="129"/>
      <c r="E94" s="129"/>
      <c r="F94" s="129"/>
      <c r="G94" s="128" t="s">
        <v>4523</v>
      </c>
      <c r="H94" s="131" t="str">
        <f t="shared" si="1"/>
        <v>CO10</v>
      </c>
      <c r="I94" s="131" t="str" cm="1">
        <f t="array" ref="I94">LEFT(G94, MIN(IF(ISNUMBER(--MID(G94, _xlfn.SEQUENCE(LEN(G94)), 1)), _xlfn.SEQUENCE(LEN(G94)))) - 1)</f>
        <v>CO</v>
      </c>
      <c r="J94" s="129" t="str">
        <f>_xlfn.XLOOKUP(H94,'GK IFT SDM POSTCODES'!A:A,'GK IFT SDM POSTCODES'!B:B,"")</f>
        <v>Kate Rayson</v>
      </c>
      <c r="K94" s="129"/>
    </row>
    <row r="95" spans="1:11" ht="17.25" x14ac:dyDescent="0.35">
      <c r="A95" s="131" t="s">
        <v>4160</v>
      </c>
      <c r="B95" s="128" t="s">
        <v>4358</v>
      </c>
      <c r="C95" s="129"/>
      <c r="D95" s="129"/>
      <c r="E95" s="129"/>
      <c r="F95" s="129"/>
      <c r="G95" s="128" t="s">
        <v>4653</v>
      </c>
      <c r="H95" s="131" t="str">
        <f t="shared" si="1"/>
        <v>CO10</v>
      </c>
      <c r="I95" s="131" t="str" cm="1">
        <f t="array" ref="I95">LEFT(G95, MIN(IF(ISNUMBER(--MID(G95, _xlfn.SEQUENCE(LEN(G95)), 1)), _xlfn.SEQUENCE(LEN(G95)))) - 1)</f>
        <v>CO</v>
      </c>
      <c r="J95" s="129" t="str">
        <f>_xlfn.XLOOKUP(H95,'GK IFT SDM POSTCODES'!A:A,'GK IFT SDM POSTCODES'!B:B,"")</f>
        <v>Kate Rayson</v>
      </c>
      <c r="K95" s="129"/>
    </row>
    <row r="96" spans="1:11" ht="17.25" x14ac:dyDescent="0.35">
      <c r="A96" s="134" t="s">
        <v>7</v>
      </c>
      <c r="B96" s="134" t="s">
        <v>4026</v>
      </c>
      <c r="C96" s="134" t="s">
        <v>4006</v>
      </c>
      <c r="D96" s="129"/>
      <c r="E96" s="134" t="s">
        <v>438</v>
      </c>
      <c r="F96" s="134" t="s">
        <v>45</v>
      </c>
      <c r="G96" s="134" t="s">
        <v>40</v>
      </c>
      <c r="H96" s="131" t="str">
        <f t="shared" si="1"/>
        <v>CO10</v>
      </c>
      <c r="I96" s="131" t="str" cm="1">
        <f t="array" ref="I96">LEFT(G96, MIN(IF(ISNUMBER(--MID(G96, _xlfn.SEQUENCE(LEN(G96)), 1)), _xlfn.SEQUENCE(LEN(G96)))) - 1)</f>
        <v>CO</v>
      </c>
      <c r="J96" s="146" t="s">
        <v>6231</v>
      </c>
      <c r="K96" s="129"/>
    </row>
    <row r="97" spans="1:11" ht="17.25" x14ac:dyDescent="0.35">
      <c r="A97" s="131" t="s">
        <v>3718</v>
      </c>
      <c r="B97" s="131" t="s">
        <v>338</v>
      </c>
      <c r="C97" s="131" t="s">
        <v>3764</v>
      </c>
      <c r="D97" s="131" t="s">
        <v>3157</v>
      </c>
      <c r="E97" s="131" t="s">
        <v>13</v>
      </c>
      <c r="F97" s="131" t="s">
        <v>3183</v>
      </c>
      <c r="G97" s="131" t="s">
        <v>474</v>
      </c>
      <c r="H97" s="131" t="str">
        <f t="shared" si="1"/>
        <v>CO11</v>
      </c>
      <c r="I97" s="131" t="str" cm="1">
        <f t="array" ref="I97">LEFT(G97, MIN(IF(ISNUMBER(--MID(G97, _xlfn.SEQUENCE(LEN(G97)), 1)), _xlfn.SEQUENCE(LEN(G97)))) - 1)</f>
        <v>CO</v>
      </c>
      <c r="J97" s="131" t="s">
        <v>3756</v>
      </c>
      <c r="K97" s="129"/>
    </row>
    <row r="98" spans="1:11" ht="21" x14ac:dyDescent="0.35">
      <c r="A98" s="130" t="s">
        <v>4065</v>
      </c>
      <c r="B98" s="127" t="s">
        <v>4089</v>
      </c>
      <c r="C98" s="127" t="s">
        <v>132</v>
      </c>
      <c r="D98" s="133"/>
      <c r="E98" s="127" t="s">
        <v>3157</v>
      </c>
      <c r="F98" s="133"/>
      <c r="G98" s="127" t="s">
        <v>4080</v>
      </c>
      <c r="H98" s="131" t="str">
        <f t="shared" si="1"/>
        <v>CO11</v>
      </c>
      <c r="I98" s="131" t="str" cm="1">
        <f t="array" ref="I98">LEFT(G98, MIN(IF(ISNUMBER(--MID(G98, _xlfn.SEQUENCE(LEN(G98)), 1)), _xlfn.SEQUENCE(LEN(G98)))) - 1)</f>
        <v>CO</v>
      </c>
      <c r="J98" s="127" t="s">
        <v>4079</v>
      </c>
      <c r="K98" s="129"/>
    </row>
    <row r="99" spans="1:11" ht="17.25" x14ac:dyDescent="0.35">
      <c r="A99" s="131" t="s">
        <v>4160</v>
      </c>
      <c r="B99" s="128" t="s">
        <v>4488</v>
      </c>
      <c r="C99" s="129"/>
      <c r="D99" s="129"/>
      <c r="E99" s="129"/>
      <c r="F99" s="129"/>
      <c r="G99" s="128" t="s">
        <v>4733</v>
      </c>
      <c r="H99" s="131" t="str">
        <f t="shared" si="1"/>
        <v>CO11</v>
      </c>
      <c r="I99" s="131" t="str" cm="1">
        <f t="array" ref="I99">LEFT(G99, MIN(IF(ISNUMBER(--MID(G99, _xlfn.SEQUENCE(LEN(G99)), 1)), _xlfn.SEQUENCE(LEN(G99)))) - 1)</f>
        <v>CO</v>
      </c>
      <c r="J99" s="129" t="str">
        <f>_xlfn.XLOOKUP(H99,'GK IFT SDM POSTCODES'!A:A,'GK IFT SDM POSTCODES'!B:B,"")</f>
        <v>Nikki Hayter</v>
      </c>
      <c r="K99" s="129"/>
    </row>
    <row r="100" spans="1:11" ht="17.25" x14ac:dyDescent="0.35">
      <c r="A100" s="131" t="s">
        <v>4160</v>
      </c>
      <c r="B100" s="136" t="s">
        <v>4500</v>
      </c>
      <c r="C100" s="129"/>
      <c r="D100" s="129"/>
      <c r="E100" s="129"/>
      <c r="F100" s="129"/>
      <c r="G100" s="136" t="s">
        <v>4741</v>
      </c>
      <c r="H100" s="131" t="str">
        <f t="shared" si="1"/>
        <v>CO11</v>
      </c>
      <c r="I100" s="131" t="str" cm="1">
        <f t="array" ref="I100">LEFT(G100, MIN(IF(ISNUMBER(--MID(G100, _xlfn.SEQUENCE(LEN(G100)), 1)), _xlfn.SEQUENCE(LEN(G100)))) - 1)</f>
        <v>CO</v>
      </c>
      <c r="J100" s="129" t="str">
        <f>_xlfn.XLOOKUP(H100,'GK IFT SDM POSTCODES'!A:A,'GK IFT SDM POSTCODES'!B:B,"")</f>
        <v>Nikki Hayter</v>
      </c>
      <c r="K100" s="129"/>
    </row>
    <row r="101" spans="1:11" ht="17.25" x14ac:dyDescent="0.35">
      <c r="A101" s="131" t="s">
        <v>4160</v>
      </c>
      <c r="B101" s="128" t="s">
        <v>4187</v>
      </c>
      <c r="C101" s="129"/>
      <c r="D101" s="129"/>
      <c r="E101" s="129"/>
      <c r="F101" s="129"/>
      <c r="G101" s="128" t="s">
        <v>4538</v>
      </c>
      <c r="H101" s="131" t="str">
        <f t="shared" si="1"/>
        <v>CO11</v>
      </c>
      <c r="I101" s="131" t="str" cm="1">
        <f t="array" ref="I101">LEFT(G101, MIN(IF(ISNUMBER(--MID(G101, _xlfn.SEQUENCE(LEN(G101)), 1)), _xlfn.SEQUENCE(LEN(G101)))) - 1)</f>
        <v>CO</v>
      </c>
      <c r="J101" s="129" t="str">
        <f>_xlfn.XLOOKUP(H101,'GK IFT SDM POSTCODES'!A:A,'GK IFT SDM POSTCODES'!B:B,"")</f>
        <v>Nikki Hayter</v>
      </c>
      <c r="K101" s="129"/>
    </row>
    <row r="102" spans="1:11" ht="17.25" x14ac:dyDescent="0.35">
      <c r="A102" s="131" t="s">
        <v>4160</v>
      </c>
      <c r="B102" s="128" t="s">
        <v>4440</v>
      </c>
      <c r="C102" s="129"/>
      <c r="D102" s="129"/>
      <c r="E102" s="129"/>
      <c r="F102" s="129"/>
      <c r="G102" s="128" t="s">
        <v>4705</v>
      </c>
      <c r="H102" s="131" t="str">
        <f t="shared" si="1"/>
        <v>CO11</v>
      </c>
      <c r="I102" s="131" t="str" cm="1">
        <f t="array" ref="I102">LEFT(G102, MIN(IF(ISNUMBER(--MID(G102, _xlfn.SEQUENCE(LEN(G102)), 1)), _xlfn.SEQUENCE(LEN(G102)))) - 1)</f>
        <v>CO</v>
      </c>
      <c r="J102" s="129" t="str">
        <f>_xlfn.XLOOKUP(H102,'GK IFT SDM POSTCODES'!A:A,'GK IFT SDM POSTCODES'!B:B,"")</f>
        <v>Nikki Hayter</v>
      </c>
      <c r="K102" s="129"/>
    </row>
    <row r="103" spans="1:11" ht="17.25" x14ac:dyDescent="0.35">
      <c r="A103" s="131" t="s">
        <v>4160</v>
      </c>
      <c r="B103" s="128" t="s">
        <v>4336</v>
      </c>
      <c r="C103" s="129"/>
      <c r="D103" s="129"/>
      <c r="E103" s="129"/>
      <c r="F103" s="129"/>
      <c r="G103" s="128" t="s">
        <v>4639</v>
      </c>
      <c r="H103" s="131" t="str">
        <f t="shared" si="1"/>
        <v>CO11</v>
      </c>
      <c r="I103" s="131" t="str" cm="1">
        <f t="array" ref="I103">LEFT(G103, MIN(IF(ISNUMBER(--MID(G103, _xlfn.SEQUENCE(LEN(G103)), 1)), _xlfn.SEQUENCE(LEN(G103)))) - 1)</f>
        <v>CO</v>
      </c>
      <c r="J103" s="129" t="str">
        <f>_xlfn.XLOOKUP(H103,'GK IFT SDM POSTCODES'!A:A,'GK IFT SDM POSTCODES'!B:B,"")</f>
        <v>Nikki Hayter</v>
      </c>
      <c r="K103" s="129"/>
    </row>
    <row r="104" spans="1:11" ht="17.25" x14ac:dyDescent="0.35">
      <c r="A104" s="131" t="s">
        <v>4160</v>
      </c>
      <c r="B104" s="128" t="s">
        <v>4492</v>
      </c>
      <c r="C104" s="129"/>
      <c r="D104" s="129"/>
      <c r="E104" s="129"/>
      <c r="F104" s="129"/>
      <c r="G104" s="128" t="s">
        <v>4735</v>
      </c>
      <c r="H104" s="131" t="str">
        <f t="shared" si="1"/>
        <v>CO11</v>
      </c>
      <c r="I104" s="131" t="str" cm="1">
        <f t="array" ref="I104">LEFT(G104, MIN(IF(ISNUMBER(--MID(G104, _xlfn.SEQUENCE(LEN(G104)), 1)), _xlfn.SEQUENCE(LEN(G104)))) - 1)</f>
        <v>CO</v>
      </c>
      <c r="J104" s="129" t="str">
        <f>_xlfn.XLOOKUP(H104,'GK IFT SDM POSTCODES'!A:A,'GK IFT SDM POSTCODES'!B:B,"")</f>
        <v>Nikki Hayter</v>
      </c>
      <c r="K104" s="129"/>
    </row>
    <row r="105" spans="1:11" ht="17.25" x14ac:dyDescent="0.35">
      <c r="A105" s="131" t="s">
        <v>4160</v>
      </c>
      <c r="B105" s="128" t="s">
        <v>4442</v>
      </c>
      <c r="C105" s="129"/>
      <c r="D105" s="129"/>
      <c r="E105" s="129"/>
      <c r="F105" s="129"/>
      <c r="G105" s="128" t="s">
        <v>4706</v>
      </c>
      <c r="H105" s="131" t="str">
        <f t="shared" si="1"/>
        <v>CO11</v>
      </c>
      <c r="I105" s="131" t="str" cm="1">
        <f t="array" ref="I105">LEFT(G105, MIN(IF(ISNUMBER(--MID(G105, _xlfn.SEQUENCE(LEN(G105)), 1)), _xlfn.SEQUENCE(LEN(G105)))) - 1)</f>
        <v>CO</v>
      </c>
      <c r="J105" s="129" t="str">
        <f>_xlfn.XLOOKUP(H105,'GK IFT SDM POSTCODES'!A:A,'GK IFT SDM POSTCODES'!B:B,"")</f>
        <v>Nikki Hayter</v>
      </c>
      <c r="K105" s="129"/>
    </row>
    <row r="106" spans="1:11" ht="17.25" x14ac:dyDescent="0.35">
      <c r="A106" s="129" t="s">
        <v>498</v>
      </c>
      <c r="B106" s="137" t="s">
        <v>5194</v>
      </c>
      <c r="C106" s="137" t="s">
        <v>5195</v>
      </c>
      <c r="D106" s="129"/>
      <c r="E106" s="137" t="s">
        <v>2626</v>
      </c>
      <c r="F106" s="129"/>
      <c r="G106" s="137" t="s">
        <v>327</v>
      </c>
      <c r="H106" s="131" t="str">
        <f t="shared" si="1"/>
        <v>CO12</v>
      </c>
      <c r="I106" s="131" t="str" cm="1">
        <f t="array" ref="I106">LEFT(G106, MIN(IF(ISNUMBER(--MID(G106, _xlfn.SEQUENCE(LEN(G106)), 1)), _xlfn.SEQUENCE(LEN(G106)))) - 1)</f>
        <v>CO</v>
      </c>
      <c r="J106" s="137" t="s">
        <v>5141</v>
      </c>
      <c r="K106" s="129"/>
    </row>
    <row r="107" spans="1:11" ht="17.25" x14ac:dyDescent="0.35">
      <c r="A107" s="131" t="s">
        <v>4160</v>
      </c>
      <c r="B107" s="128" t="s">
        <v>4416</v>
      </c>
      <c r="C107" s="129"/>
      <c r="D107" s="129"/>
      <c r="E107" s="129"/>
      <c r="F107" s="129"/>
      <c r="G107" s="128" t="s">
        <v>4691</v>
      </c>
      <c r="H107" s="131" t="str">
        <f t="shared" si="1"/>
        <v>CO12</v>
      </c>
      <c r="I107" s="131" t="str" cm="1">
        <f t="array" ref="I107">LEFT(G107, MIN(IF(ISNUMBER(--MID(G107, _xlfn.SEQUENCE(LEN(G107)), 1)), _xlfn.SEQUENCE(LEN(G107)))) - 1)</f>
        <v>CO</v>
      </c>
      <c r="J107" s="129" t="str">
        <f>_xlfn.XLOOKUP(H107,'GK IFT SDM POSTCODES'!A:A,'GK IFT SDM POSTCODES'!B:B,"")</f>
        <v>Nikki Hayter</v>
      </c>
      <c r="K107" s="129"/>
    </row>
    <row r="108" spans="1:11" ht="17.25" x14ac:dyDescent="0.35">
      <c r="A108" s="131" t="s">
        <v>4160</v>
      </c>
      <c r="B108" s="128" t="s">
        <v>4400</v>
      </c>
      <c r="C108" s="129"/>
      <c r="D108" s="129"/>
      <c r="E108" s="129"/>
      <c r="F108" s="129"/>
      <c r="G108" s="128" t="s">
        <v>4681</v>
      </c>
      <c r="H108" s="131" t="str">
        <f t="shared" si="1"/>
        <v>CO12</v>
      </c>
      <c r="I108" s="131" t="str" cm="1">
        <f t="array" ref="I108">LEFT(G108, MIN(IF(ISNUMBER(--MID(G108, _xlfn.SEQUENCE(LEN(G108)), 1)), _xlfn.SEQUENCE(LEN(G108)))) - 1)</f>
        <v>CO</v>
      </c>
      <c r="J108" s="129" t="str">
        <f>_xlfn.XLOOKUP(H108,'GK IFT SDM POSTCODES'!A:A,'GK IFT SDM POSTCODES'!B:B,"")</f>
        <v>Nikki Hayter</v>
      </c>
      <c r="K108" s="129"/>
    </row>
    <row r="109" spans="1:11" ht="17.25" x14ac:dyDescent="0.35">
      <c r="A109" s="131" t="s">
        <v>4160</v>
      </c>
      <c r="B109" s="136" t="s">
        <v>4495</v>
      </c>
      <c r="C109" s="129"/>
      <c r="D109" s="129"/>
      <c r="E109" s="129"/>
      <c r="F109" s="129"/>
      <c r="G109" s="136" t="s">
        <v>4736</v>
      </c>
      <c r="H109" s="131" t="str">
        <f t="shared" si="1"/>
        <v>CO12</v>
      </c>
      <c r="I109" s="131" t="str" cm="1">
        <f t="array" ref="I109">LEFT(G109, MIN(IF(ISNUMBER(--MID(G109, _xlfn.SEQUENCE(LEN(G109)), 1)), _xlfn.SEQUENCE(LEN(G109)))) - 1)</f>
        <v>CO</v>
      </c>
      <c r="J109" s="129" t="str">
        <f>_xlfn.XLOOKUP(H109,'GK IFT SDM POSTCODES'!A:A,'GK IFT SDM POSTCODES'!B:B,"")</f>
        <v>Nikki Hayter</v>
      </c>
      <c r="K109" s="129"/>
    </row>
    <row r="110" spans="1:11" ht="17.25" x14ac:dyDescent="0.35">
      <c r="A110" s="131" t="s">
        <v>4160</v>
      </c>
      <c r="B110" s="128" t="s">
        <v>4290</v>
      </c>
      <c r="C110" s="129"/>
      <c r="D110" s="129"/>
      <c r="E110" s="129"/>
      <c r="F110" s="129"/>
      <c r="G110" s="128" t="s">
        <v>4607</v>
      </c>
      <c r="H110" s="131" t="str">
        <f t="shared" si="1"/>
        <v>CO12</v>
      </c>
      <c r="I110" s="131" t="str" cm="1">
        <f t="array" ref="I110">LEFT(G110, MIN(IF(ISNUMBER(--MID(G110, _xlfn.SEQUENCE(LEN(G110)), 1)), _xlfn.SEQUENCE(LEN(G110)))) - 1)</f>
        <v>CO</v>
      </c>
      <c r="J110" s="129" t="str">
        <f>_xlfn.XLOOKUP(H110,'GK IFT SDM POSTCODES'!A:A,'GK IFT SDM POSTCODES'!B:B,"")</f>
        <v>Nikki Hayter</v>
      </c>
      <c r="K110" s="129"/>
    </row>
    <row r="111" spans="1:11" ht="17.25" x14ac:dyDescent="0.35">
      <c r="A111" s="131" t="s">
        <v>4160</v>
      </c>
      <c r="B111" s="128" t="s">
        <v>4439</v>
      </c>
      <c r="C111" s="129"/>
      <c r="D111" s="129"/>
      <c r="E111" s="129"/>
      <c r="F111" s="129"/>
      <c r="G111" s="128" t="s">
        <v>4704</v>
      </c>
      <c r="H111" s="131" t="str">
        <f t="shared" si="1"/>
        <v>CO12</v>
      </c>
      <c r="I111" s="131" t="str" cm="1">
        <f t="array" ref="I111">LEFT(G111, MIN(IF(ISNUMBER(--MID(G111, _xlfn.SEQUENCE(LEN(G111)), 1)), _xlfn.SEQUENCE(LEN(G111)))) - 1)</f>
        <v>CO</v>
      </c>
      <c r="J111" s="129" t="str">
        <f>_xlfn.XLOOKUP(H111,'GK IFT SDM POSTCODES'!A:A,'GK IFT SDM POSTCODES'!B:B,"")</f>
        <v>Nikki Hayter</v>
      </c>
      <c r="K111" s="129"/>
    </row>
    <row r="112" spans="1:11" ht="17.25" x14ac:dyDescent="0.35">
      <c r="A112" s="131" t="s">
        <v>4160</v>
      </c>
      <c r="B112" s="128" t="s">
        <v>4325</v>
      </c>
      <c r="C112" s="129"/>
      <c r="D112" s="129"/>
      <c r="E112" s="129"/>
      <c r="F112" s="129"/>
      <c r="G112" s="128" t="s">
        <v>4631</v>
      </c>
      <c r="H112" s="131" t="str">
        <f t="shared" si="1"/>
        <v>CO12</v>
      </c>
      <c r="I112" s="131" t="str" cm="1">
        <f t="array" ref="I112">LEFT(G112, MIN(IF(ISNUMBER(--MID(G112, _xlfn.SEQUENCE(LEN(G112)), 1)), _xlfn.SEQUENCE(LEN(G112)))) - 1)</f>
        <v>CO</v>
      </c>
      <c r="J112" s="129" t="str">
        <f>_xlfn.XLOOKUP(H112,'GK IFT SDM POSTCODES'!A:A,'GK IFT SDM POSTCODES'!B:B,"")</f>
        <v>Nikki Hayter</v>
      </c>
      <c r="K112" s="129"/>
    </row>
    <row r="113" spans="1:11" ht="17.25" x14ac:dyDescent="0.35">
      <c r="A113" s="131" t="s">
        <v>4160</v>
      </c>
      <c r="B113" s="128" t="s">
        <v>4289</v>
      </c>
      <c r="C113" s="129"/>
      <c r="D113" s="129"/>
      <c r="E113" s="129"/>
      <c r="F113" s="129"/>
      <c r="G113" s="128" t="s">
        <v>4606</v>
      </c>
      <c r="H113" s="131" t="str">
        <f t="shared" si="1"/>
        <v>CO12</v>
      </c>
      <c r="I113" s="131" t="str" cm="1">
        <f t="array" ref="I113">LEFT(G113, MIN(IF(ISNUMBER(--MID(G113, _xlfn.SEQUENCE(LEN(G113)), 1)), _xlfn.SEQUENCE(LEN(G113)))) - 1)</f>
        <v>CO</v>
      </c>
      <c r="J113" s="129" t="str">
        <f>_xlfn.XLOOKUP(H113,'GK IFT SDM POSTCODES'!A:A,'GK IFT SDM POSTCODES'!B:B,"")</f>
        <v>Nikki Hayter</v>
      </c>
      <c r="K113" s="129"/>
    </row>
    <row r="114" spans="1:11" ht="17.25" x14ac:dyDescent="0.35">
      <c r="A114" s="131" t="s">
        <v>4160</v>
      </c>
      <c r="B114" s="128" t="s">
        <v>4291</v>
      </c>
      <c r="C114" s="129"/>
      <c r="D114" s="129"/>
      <c r="E114" s="129"/>
      <c r="F114" s="129"/>
      <c r="G114" s="128" t="s">
        <v>4608</v>
      </c>
      <c r="H114" s="131" t="str">
        <f t="shared" si="1"/>
        <v>CO12</v>
      </c>
      <c r="I114" s="131" t="str" cm="1">
        <f t="array" ref="I114">LEFT(G114, MIN(IF(ISNUMBER(--MID(G114, _xlfn.SEQUENCE(LEN(G114)), 1)), _xlfn.SEQUENCE(LEN(G114)))) - 1)</f>
        <v>CO</v>
      </c>
      <c r="J114" s="129" t="str">
        <f>_xlfn.XLOOKUP(H114,'GK IFT SDM POSTCODES'!A:A,'GK IFT SDM POSTCODES'!B:B,"")</f>
        <v>Nikki Hayter</v>
      </c>
      <c r="K114" s="129"/>
    </row>
    <row r="115" spans="1:11" ht="17.25" x14ac:dyDescent="0.35">
      <c r="A115" s="129" t="s">
        <v>498</v>
      </c>
      <c r="B115" s="137" t="s">
        <v>5217</v>
      </c>
      <c r="C115" s="137" t="s">
        <v>5218</v>
      </c>
      <c r="D115" s="129"/>
      <c r="E115" s="137" t="s">
        <v>2626</v>
      </c>
      <c r="F115" s="129"/>
      <c r="G115" s="137" t="s">
        <v>3596</v>
      </c>
      <c r="H115" s="131" t="str">
        <f t="shared" si="1"/>
        <v>CO12</v>
      </c>
      <c r="I115" s="131" t="str" cm="1">
        <f t="array" ref="I115">LEFT(G115, MIN(IF(ISNUMBER(--MID(G115, _xlfn.SEQUENCE(LEN(G115)), 1)), _xlfn.SEQUENCE(LEN(G115)))) - 1)</f>
        <v>CO</v>
      </c>
      <c r="J115" s="137" t="s">
        <v>5141</v>
      </c>
      <c r="K115" s="129"/>
    </row>
    <row r="116" spans="1:11" ht="17.25" x14ac:dyDescent="0.35">
      <c r="A116" s="131" t="s">
        <v>4160</v>
      </c>
      <c r="B116" s="128" t="s">
        <v>4288</v>
      </c>
      <c r="C116" s="129"/>
      <c r="D116" s="129"/>
      <c r="E116" s="129"/>
      <c r="F116" s="129"/>
      <c r="G116" s="128" t="s">
        <v>4605</v>
      </c>
      <c r="H116" s="131" t="str">
        <f t="shared" si="1"/>
        <v>CO12</v>
      </c>
      <c r="I116" s="131" t="str" cm="1">
        <f t="array" ref="I116">LEFT(G116, MIN(IF(ISNUMBER(--MID(G116, _xlfn.SEQUENCE(LEN(G116)), 1)), _xlfn.SEQUENCE(LEN(G116)))) - 1)</f>
        <v>CO</v>
      </c>
      <c r="J116" s="129" t="str">
        <f>_xlfn.XLOOKUP(H116,'GK IFT SDM POSTCODES'!A:A,'GK IFT SDM POSTCODES'!B:B,"")</f>
        <v>Nikki Hayter</v>
      </c>
      <c r="K116" s="129"/>
    </row>
    <row r="117" spans="1:11" ht="17.25" x14ac:dyDescent="0.35">
      <c r="A117" s="131" t="s">
        <v>4160</v>
      </c>
      <c r="B117" s="136" t="s">
        <v>4517</v>
      </c>
      <c r="C117" s="129"/>
      <c r="D117" s="129"/>
      <c r="E117" s="129"/>
      <c r="F117" s="129"/>
      <c r="G117" s="136" t="s">
        <v>4756</v>
      </c>
      <c r="H117" s="131" t="str">
        <f t="shared" si="1"/>
        <v>CO12</v>
      </c>
      <c r="I117" s="131" t="str" cm="1">
        <f t="array" ref="I117">LEFT(G117, MIN(IF(ISNUMBER(--MID(G117, _xlfn.SEQUENCE(LEN(G117)), 1)), _xlfn.SEQUENCE(LEN(G117)))) - 1)</f>
        <v>CO</v>
      </c>
      <c r="J117" s="129" t="str">
        <f>_xlfn.XLOOKUP(H117,'GK IFT SDM POSTCODES'!A:A,'GK IFT SDM POSTCODES'!B:B,"")</f>
        <v>Nikki Hayter</v>
      </c>
      <c r="K117" s="129"/>
    </row>
    <row r="118" spans="1:11" ht="17.25" x14ac:dyDescent="0.35">
      <c r="A118" s="130" t="s">
        <v>3752</v>
      </c>
      <c r="B118" s="131" t="s">
        <v>2876</v>
      </c>
      <c r="C118" s="131" t="s">
        <v>2877</v>
      </c>
      <c r="D118" s="131" t="s">
        <v>3765</v>
      </c>
      <c r="E118" s="131"/>
      <c r="F118" s="131" t="s">
        <v>3183</v>
      </c>
      <c r="G118" s="131" t="s">
        <v>3766</v>
      </c>
      <c r="H118" s="131" t="str">
        <f t="shared" si="1"/>
        <v>CO13</v>
      </c>
      <c r="I118" s="131" t="str" cm="1">
        <f t="array" ref="I118">LEFT(G118, MIN(IF(ISNUMBER(--MID(G118, _xlfn.SEQUENCE(LEN(G118)), 1)), _xlfn.SEQUENCE(LEN(G118)))) - 1)</f>
        <v>CO</v>
      </c>
      <c r="J118" s="131" t="s">
        <v>3751</v>
      </c>
      <c r="K118" s="129"/>
    </row>
    <row r="119" spans="1:11" ht="17.25" x14ac:dyDescent="0.35">
      <c r="A119" s="134" t="s">
        <v>7</v>
      </c>
      <c r="B119" s="134" t="s">
        <v>4022</v>
      </c>
      <c r="C119" s="134" t="s">
        <v>4004</v>
      </c>
      <c r="D119" s="129"/>
      <c r="E119" s="134" t="s">
        <v>4010</v>
      </c>
      <c r="F119" s="134" t="s">
        <v>3183</v>
      </c>
      <c r="G119" s="134" t="s">
        <v>3606</v>
      </c>
      <c r="H119" s="131" t="str">
        <f t="shared" si="1"/>
        <v>CO13</v>
      </c>
      <c r="I119" s="131" t="str" cm="1">
        <f t="array" ref="I119">LEFT(G119, MIN(IF(ISNUMBER(--MID(G119, _xlfn.SEQUENCE(LEN(G119)), 1)), _xlfn.SEQUENCE(LEN(G119)))) - 1)</f>
        <v>CO</v>
      </c>
      <c r="J119" s="146" t="s">
        <v>6231</v>
      </c>
      <c r="K119" s="129"/>
    </row>
    <row r="120" spans="1:11" ht="17.25" x14ac:dyDescent="0.35">
      <c r="A120" s="131" t="s">
        <v>4160</v>
      </c>
      <c r="B120" s="128" t="s">
        <v>4482</v>
      </c>
      <c r="C120" s="129"/>
      <c r="D120" s="129"/>
      <c r="E120" s="129"/>
      <c r="F120" s="129"/>
      <c r="G120" s="128" t="s">
        <v>4730</v>
      </c>
      <c r="H120" s="131" t="str">
        <f t="shared" si="1"/>
        <v>CO13</v>
      </c>
      <c r="I120" s="131" t="str" cm="1">
        <f t="array" ref="I120">LEFT(G120, MIN(IF(ISNUMBER(--MID(G120, _xlfn.SEQUENCE(LEN(G120)), 1)), _xlfn.SEQUENCE(LEN(G120)))) - 1)</f>
        <v>CO</v>
      </c>
      <c r="J120" s="129" t="str">
        <f>_xlfn.XLOOKUP(H120,'GK IFT SDM POSTCODES'!A:A,'GK IFT SDM POSTCODES'!B:B,"")</f>
        <v>Nikki Hayter</v>
      </c>
      <c r="K120" s="129"/>
    </row>
    <row r="121" spans="1:11" ht="17.25" x14ac:dyDescent="0.35">
      <c r="A121" s="131" t="s">
        <v>4160</v>
      </c>
      <c r="B121" s="128" t="s">
        <v>4273</v>
      </c>
      <c r="C121" s="129"/>
      <c r="D121" s="129"/>
      <c r="E121" s="129"/>
      <c r="F121" s="129"/>
      <c r="G121" s="128" t="s">
        <v>4592</v>
      </c>
      <c r="H121" s="131" t="str">
        <f t="shared" si="1"/>
        <v>CO13</v>
      </c>
      <c r="I121" s="131" t="str" cm="1">
        <f t="array" ref="I121">LEFT(G121, MIN(IF(ISNUMBER(--MID(G121, _xlfn.SEQUENCE(LEN(G121)), 1)), _xlfn.SEQUENCE(LEN(G121)))) - 1)</f>
        <v>CO</v>
      </c>
      <c r="J121" s="129" t="str">
        <f>_xlfn.XLOOKUP(H121,'GK IFT SDM POSTCODES'!A:A,'GK IFT SDM POSTCODES'!B:B,"")</f>
        <v>Nikki Hayter</v>
      </c>
      <c r="K121" s="129"/>
    </row>
    <row r="122" spans="1:11" ht="17.25" x14ac:dyDescent="0.35">
      <c r="A122" s="131" t="s">
        <v>4160</v>
      </c>
      <c r="B122" s="128" t="s">
        <v>4272</v>
      </c>
      <c r="C122" s="129"/>
      <c r="D122" s="129"/>
      <c r="E122" s="129"/>
      <c r="F122" s="129"/>
      <c r="G122" s="128" t="s">
        <v>4591</v>
      </c>
      <c r="H122" s="131" t="str">
        <f t="shared" si="1"/>
        <v>CO13</v>
      </c>
      <c r="I122" s="131" t="str" cm="1">
        <f t="array" ref="I122">LEFT(G122, MIN(IF(ISNUMBER(--MID(G122, _xlfn.SEQUENCE(LEN(G122)), 1)), _xlfn.SEQUENCE(LEN(G122)))) - 1)</f>
        <v>CO</v>
      </c>
      <c r="J122" s="129" t="str">
        <f>_xlfn.XLOOKUP(H122,'GK IFT SDM POSTCODES'!A:A,'GK IFT SDM POSTCODES'!B:B,"")</f>
        <v>Nikki Hayter</v>
      </c>
      <c r="K122" s="129"/>
    </row>
    <row r="123" spans="1:11" ht="17.25" x14ac:dyDescent="0.35">
      <c r="A123" s="129" t="s">
        <v>498</v>
      </c>
      <c r="B123" s="137" t="s">
        <v>5208</v>
      </c>
      <c r="C123" s="137" t="s">
        <v>5209</v>
      </c>
      <c r="D123" s="129"/>
      <c r="E123" s="137" t="s">
        <v>3767</v>
      </c>
      <c r="F123" s="129"/>
      <c r="G123" s="137" t="s">
        <v>122</v>
      </c>
      <c r="H123" s="131" t="str">
        <f t="shared" si="1"/>
        <v>CO14</v>
      </c>
      <c r="I123" s="131" t="str" cm="1">
        <f t="array" ref="I123">LEFT(G123, MIN(IF(ISNUMBER(--MID(G123, _xlfn.SEQUENCE(LEN(G123)), 1)), _xlfn.SEQUENCE(LEN(G123)))) - 1)</f>
        <v>CO</v>
      </c>
      <c r="J123" s="137" t="s">
        <v>5141</v>
      </c>
      <c r="K123" s="129"/>
    </row>
    <row r="124" spans="1:11" ht="17.25" x14ac:dyDescent="0.35">
      <c r="A124" s="129" t="s">
        <v>498</v>
      </c>
      <c r="B124" s="137" t="s">
        <v>5219</v>
      </c>
      <c r="C124" s="137" t="s">
        <v>5220</v>
      </c>
      <c r="D124" s="129"/>
      <c r="E124" s="137" t="s">
        <v>622</v>
      </c>
      <c r="F124" s="129"/>
      <c r="G124" s="137" t="s">
        <v>118</v>
      </c>
      <c r="H124" s="131" t="str">
        <f t="shared" si="1"/>
        <v>CO14</v>
      </c>
      <c r="I124" s="131" t="str" cm="1">
        <f t="array" ref="I124">LEFT(G124, MIN(IF(ISNUMBER(--MID(G124, _xlfn.SEQUENCE(LEN(G124)), 1)), _xlfn.SEQUENCE(LEN(G124)))) - 1)</f>
        <v>CO</v>
      </c>
      <c r="J124" s="137" t="s">
        <v>5141</v>
      </c>
      <c r="K124" s="129"/>
    </row>
    <row r="125" spans="1:11" ht="17.25" x14ac:dyDescent="0.35">
      <c r="A125" s="131" t="s">
        <v>3718</v>
      </c>
      <c r="B125" s="131" t="s">
        <v>2074</v>
      </c>
      <c r="C125" s="131" t="s">
        <v>2075</v>
      </c>
      <c r="D125" s="131" t="s">
        <v>3767</v>
      </c>
      <c r="E125" s="131"/>
      <c r="F125" s="131" t="s">
        <v>3183</v>
      </c>
      <c r="G125" s="131" t="s">
        <v>120</v>
      </c>
      <c r="H125" s="131" t="str">
        <f t="shared" si="1"/>
        <v>CO14</v>
      </c>
      <c r="I125" s="131" t="str" cm="1">
        <f t="array" ref="I125">LEFT(G125, MIN(IF(ISNUMBER(--MID(G125, _xlfn.SEQUENCE(LEN(G125)), 1)), _xlfn.SEQUENCE(LEN(G125)))) - 1)</f>
        <v>CO</v>
      </c>
      <c r="J125" s="131" t="s">
        <v>3756</v>
      </c>
      <c r="K125" s="129"/>
    </row>
    <row r="126" spans="1:11" ht="17.25" x14ac:dyDescent="0.35">
      <c r="A126" s="131" t="s">
        <v>4160</v>
      </c>
      <c r="B126" s="128" t="s">
        <v>4393</v>
      </c>
      <c r="C126" s="129"/>
      <c r="D126" s="129"/>
      <c r="E126" s="129"/>
      <c r="F126" s="129"/>
      <c r="G126" s="128" t="s">
        <v>119</v>
      </c>
      <c r="H126" s="131" t="str">
        <f t="shared" si="1"/>
        <v>CO14</v>
      </c>
      <c r="I126" s="131" t="str" cm="1">
        <f t="array" ref="I126">LEFT(G126, MIN(IF(ISNUMBER(--MID(G126, _xlfn.SEQUENCE(LEN(G126)), 1)), _xlfn.SEQUENCE(LEN(G126)))) - 1)</f>
        <v>CO</v>
      </c>
      <c r="J126" s="129" t="str">
        <f>_xlfn.XLOOKUP(H126,'GK IFT SDM POSTCODES'!A:A,'GK IFT SDM POSTCODES'!B:B,"")</f>
        <v>Nikki Hayter</v>
      </c>
      <c r="K126" s="129"/>
    </row>
    <row r="127" spans="1:11" ht="17.25" x14ac:dyDescent="0.35">
      <c r="A127" s="131" t="s">
        <v>4160</v>
      </c>
      <c r="B127" s="128" t="s">
        <v>4211</v>
      </c>
      <c r="C127" s="129"/>
      <c r="D127" s="129"/>
      <c r="E127" s="129"/>
      <c r="F127" s="129"/>
      <c r="G127" s="128" t="s">
        <v>4556</v>
      </c>
      <c r="H127" s="131" t="str">
        <f t="shared" si="1"/>
        <v>CO15</v>
      </c>
      <c r="I127" s="131" t="str" cm="1">
        <f t="array" ref="I127">LEFT(G127, MIN(IF(ISNUMBER(--MID(G127, _xlfn.SEQUENCE(LEN(G127)), 1)), _xlfn.SEQUENCE(LEN(G127)))) - 1)</f>
        <v>CO</v>
      </c>
      <c r="J127" s="129" t="str">
        <f>_xlfn.XLOOKUP(H127,'GK IFT SDM POSTCODES'!A:A,'GK IFT SDM POSTCODES'!B:B,"")</f>
        <v>Nikki Hayter</v>
      </c>
      <c r="K127" s="129"/>
    </row>
    <row r="128" spans="1:11" ht="17.25" x14ac:dyDescent="0.35">
      <c r="A128" s="131" t="s">
        <v>4160</v>
      </c>
      <c r="B128" s="128" t="s">
        <v>4444</v>
      </c>
      <c r="C128" s="129"/>
      <c r="D128" s="129"/>
      <c r="E128" s="129"/>
      <c r="F128" s="129"/>
      <c r="G128" s="128" t="s">
        <v>65</v>
      </c>
      <c r="H128" s="131" t="str">
        <f t="shared" si="1"/>
        <v>CO15</v>
      </c>
      <c r="I128" s="131" t="str" cm="1">
        <f t="array" ref="I128">LEFT(G128, MIN(IF(ISNUMBER(--MID(G128, _xlfn.SEQUENCE(LEN(G128)), 1)), _xlfn.SEQUENCE(LEN(G128)))) - 1)</f>
        <v>CO</v>
      </c>
      <c r="J128" s="129" t="str">
        <f>_xlfn.XLOOKUP(H128,'GK IFT SDM POSTCODES'!A:A,'GK IFT SDM POSTCODES'!B:B,"")</f>
        <v>Nikki Hayter</v>
      </c>
      <c r="K128" s="129"/>
    </row>
    <row r="129" spans="1:11" ht="17.25" x14ac:dyDescent="0.35">
      <c r="A129" s="131" t="s">
        <v>4160</v>
      </c>
      <c r="B129" s="128" t="s">
        <v>4321</v>
      </c>
      <c r="C129" s="129"/>
      <c r="D129" s="129"/>
      <c r="E129" s="129"/>
      <c r="F129" s="129"/>
      <c r="G129" s="128" t="s">
        <v>4627</v>
      </c>
      <c r="H129" s="131" t="str">
        <f t="shared" si="1"/>
        <v>CO15</v>
      </c>
      <c r="I129" s="131" t="str" cm="1">
        <f t="array" ref="I129">LEFT(G129, MIN(IF(ISNUMBER(--MID(G129, _xlfn.SEQUENCE(LEN(G129)), 1)), _xlfn.SEQUENCE(LEN(G129)))) - 1)</f>
        <v>CO</v>
      </c>
      <c r="J129" s="129" t="str">
        <f>_xlfn.XLOOKUP(H129,'GK IFT SDM POSTCODES'!A:A,'GK IFT SDM POSTCODES'!B:B,"")</f>
        <v>Nikki Hayter</v>
      </c>
      <c r="K129" s="129"/>
    </row>
    <row r="130" spans="1:11" ht="17.25" x14ac:dyDescent="0.35">
      <c r="A130" s="131" t="s">
        <v>4160</v>
      </c>
      <c r="B130" s="128" t="s">
        <v>4407</v>
      </c>
      <c r="C130" s="129"/>
      <c r="D130" s="129"/>
      <c r="E130" s="129"/>
      <c r="F130" s="129"/>
      <c r="G130" s="128" t="s">
        <v>4627</v>
      </c>
      <c r="H130" s="131" t="str">
        <f t="shared" ref="H130:H193" si="2">_xlfn.TEXTBEFORE(G130," ")</f>
        <v>CO15</v>
      </c>
      <c r="I130" s="131" t="str" cm="1">
        <f t="array" ref="I130">LEFT(G130, MIN(IF(ISNUMBER(--MID(G130, _xlfn.SEQUENCE(LEN(G130)), 1)), _xlfn.SEQUENCE(LEN(G130)))) - 1)</f>
        <v>CO</v>
      </c>
      <c r="J130" s="129" t="str">
        <f>_xlfn.XLOOKUP(H130,'GK IFT SDM POSTCODES'!A:A,'GK IFT SDM POSTCODES'!B:B,"")</f>
        <v>Nikki Hayter</v>
      </c>
      <c r="K130" s="129"/>
    </row>
    <row r="131" spans="1:11" ht="17.25" x14ac:dyDescent="0.35">
      <c r="A131" s="131" t="s">
        <v>4160</v>
      </c>
      <c r="B131" s="128" t="s">
        <v>4184</v>
      </c>
      <c r="C131" s="129"/>
      <c r="D131" s="129"/>
      <c r="E131" s="129"/>
      <c r="F131" s="129"/>
      <c r="G131" s="128" t="s">
        <v>382</v>
      </c>
      <c r="H131" s="131" t="str">
        <f t="shared" si="2"/>
        <v>CO15</v>
      </c>
      <c r="I131" s="131" t="str" cm="1">
        <f t="array" ref="I131">LEFT(G131, MIN(IF(ISNUMBER(--MID(G131, _xlfn.SEQUENCE(LEN(G131)), 1)), _xlfn.SEQUENCE(LEN(G131)))) - 1)</f>
        <v>CO</v>
      </c>
      <c r="J131" s="129" t="str">
        <f>_xlfn.XLOOKUP(H131,'GK IFT SDM POSTCODES'!A:A,'GK IFT SDM POSTCODES'!B:B,"")</f>
        <v>Nikki Hayter</v>
      </c>
      <c r="K131" s="129"/>
    </row>
    <row r="132" spans="1:11" ht="17.25" x14ac:dyDescent="0.35">
      <c r="A132" s="131" t="s">
        <v>4160</v>
      </c>
      <c r="B132" s="128" t="s">
        <v>4309</v>
      </c>
      <c r="C132" s="129"/>
      <c r="D132" s="129"/>
      <c r="E132" s="129"/>
      <c r="F132" s="129"/>
      <c r="G132" s="128" t="s">
        <v>4620</v>
      </c>
      <c r="H132" s="131" t="str">
        <f t="shared" si="2"/>
        <v>CO15</v>
      </c>
      <c r="I132" s="131" t="str" cm="1">
        <f t="array" ref="I132">LEFT(G132, MIN(IF(ISNUMBER(--MID(G132, _xlfn.SEQUENCE(LEN(G132)), 1)), _xlfn.SEQUENCE(LEN(G132)))) - 1)</f>
        <v>CO</v>
      </c>
      <c r="J132" s="129" t="str">
        <f>_xlfn.XLOOKUP(H132,'GK IFT SDM POSTCODES'!A:A,'GK IFT SDM POSTCODES'!B:B,"")</f>
        <v>Nikki Hayter</v>
      </c>
      <c r="K132" s="129"/>
    </row>
    <row r="133" spans="1:11" ht="17.25" x14ac:dyDescent="0.35">
      <c r="A133" s="131" t="s">
        <v>4160</v>
      </c>
      <c r="B133" s="128" t="s">
        <v>4371</v>
      </c>
      <c r="C133" s="129"/>
      <c r="D133" s="129"/>
      <c r="E133" s="129"/>
      <c r="F133" s="129"/>
      <c r="G133" s="128" t="s">
        <v>4663</v>
      </c>
      <c r="H133" s="131" t="str">
        <f t="shared" si="2"/>
        <v>CO15</v>
      </c>
      <c r="I133" s="131" t="str" cm="1">
        <f t="array" ref="I133">LEFT(G133, MIN(IF(ISNUMBER(--MID(G133, _xlfn.SEQUENCE(LEN(G133)), 1)), _xlfn.SEQUENCE(LEN(G133)))) - 1)</f>
        <v>CO</v>
      </c>
      <c r="J133" s="129" t="str">
        <f>_xlfn.XLOOKUP(H133,'GK IFT SDM POSTCODES'!A:A,'GK IFT SDM POSTCODES'!B:B,"")</f>
        <v>Nikki Hayter</v>
      </c>
      <c r="K133" s="129"/>
    </row>
    <row r="134" spans="1:11" ht="17.25" x14ac:dyDescent="0.35">
      <c r="A134" s="131" t="s">
        <v>4160</v>
      </c>
      <c r="B134" s="128" t="s">
        <v>4474</v>
      </c>
      <c r="C134" s="129"/>
      <c r="D134" s="129"/>
      <c r="E134" s="129"/>
      <c r="F134" s="129"/>
      <c r="G134" s="128" t="s">
        <v>4726</v>
      </c>
      <c r="H134" s="131" t="str">
        <f t="shared" si="2"/>
        <v>CO15</v>
      </c>
      <c r="I134" s="131" t="str" cm="1">
        <f t="array" ref="I134">LEFT(G134, MIN(IF(ISNUMBER(--MID(G134, _xlfn.SEQUENCE(LEN(G134)), 1)), _xlfn.SEQUENCE(LEN(G134)))) - 1)</f>
        <v>CO</v>
      </c>
      <c r="J134" s="129" t="str">
        <f>_xlfn.XLOOKUP(H134,'GK IFT SDM POSTCODES'!A:A,'GK IFT SDM POSTCODES'!B:B,"")</f>
        <v>Nikki Hayter</v>
      </c>
      <c r="K134" s="129"/>
    </row>
    <row r="135" spans="1:11" ht="17.25" x14ac:dyDescent="0.35">
      <c r="A135" s="131" t="s">
        <v>4160</v>
      </c>
      <c r="B135" s="128" t="s">
        <v>4161</v>
      </c>
      <c r="C135" s="129"/>
      <c r="D135" s="129"/>
      <c r="E135" s="129"/>
      <c r="F135" s="129"/>
      <c r="G135" s="128" t="s">
        <v>4518</v>
      </c>
      <c r="H135" s="131" t="str">
        <f t="shared" si="2"/>
        <v>CO15</v>
      </c>
      <c r="I135" s="131" t="str" cm="1">
        <f t="array" ref="I135">LEFT(G135, MIN(IF(ISNUMBER(--MID(G135, _xlfn.SEQUENCE(LEN(G135)), 1)), _xlfn.SEQUENCE(LEN(G135)))) - 1)</f>
        <v>CO</v>
      </c>
      <c r="J135" s="129" t="str">
        <f>_xlfn.XLOOKUP(H135,'GK IFT SDM POSTCODES'!A:A,'GK IFT SDM POSTCODES'!B:B,"")</f>
        <v>Nikki Hayter</v>
      </c>
      <c r="K135" s="129"/>
    </row>
    <row r="136" spans="1:11" ht="17.25" x14ac:dyDescent="0.35">
      <c r="A136" s="131" t="s">
        <v>4160</v>
      </c>
      <c r="B136" s="128" t="s">
        <v>4196</v>
      </c>
      <c r="C136" s="129"/>
      <c r="D136" s="129"/>
      <c r="E136" s="129"/>
      <c r="F136" s="129"/>
      <c r="G136" s="128" t="s">
        <v>4518</v>
      </c>
      <c r="H136" s="131" t="str">
        <f t="shared" si="2"/>
        <v>CO15</v>
      </c>
      <c r="I136" s="131" t="str" cm="1">
        <f t="array" ref="I136">LEFT(G136, MIN(IF(ISNUMBER(--MID(G136, _xlfn.SEQUENCE(LEN(G136)), 1)), _xlfn.SEQUENCE(LEN(G136)))) - 1)</f>
        <v>CO</v>
      </c>
      <c r="J136" s="129" t="str">
        <f>_xlfn.XLOOKUP(H136,'GK IFT SDM POSTCODES'!A:A,'GK IFT SDM POSTCODES'!B:B,"")</f>
        <v>Nikki Hayter</v>
      </c>
      <c r="K136" s="129"/>
    </row>
    <row r="137" spans="1:11" ht="17.25" x14ac:dyDescent="0.35">
      <c r="A137" s="134" t="s">
        <v>7</v>
      </c>
      <c r="B137" s="134" t="s">
        <v>4014</v>
      </c>
      <c r="C137" s="134" t="s">
        <v>3996</v>
      </c>
      <c r="D137" s="129"/>
      <c r="E137" s="134" t="s">
        <v>4009</v>
      </c>
      <c r="F137" s="134" t="s">
        <v>3183</v>
      </c>
      <c r="G137" s="134" t="s">
        <v>324</v>
      </c>
      <c r="H137" s="131" t="str">
        <f t="shared" si="2"/>
        <v>CO15</v>
      </c>
      <c r="I137" s="131" t="str" cm="1">
        <f t="array" ref="I137">LEFT(G137, MIN(IF(ISNUMBER(--MID(G137, _xlfn.SEQUENCE(LEN(G137)), 1)), _xlfn.SEQUENCE(LEN(G137)))) - 1)</f>
        <v>CO</v>
      </c>
      <c r="J137" s="146" t="s">
        <v>6231</v>
      </c>
      <c r="K137" s="129"/>
    </row>
    <row r="138" spans="1:11" ht="17.25" x14ac:dyDescent="0.35">
      <c r="A138" s="134" t="s">
        <v>3902</v>
      </c>
      <c r="B138" s="134" t="s">
        <v>4021</v>
      </c>
      <c r="C138" s="134" t="s">
        <v>4003</v>
      </c>
      <c r="D138" s="129"/>
      <c r="E138" s="134" t="s">
        <v>4009</v>
      </c>
      <c r="F138" s="134" t="s">
        <v>3183</v>
      </c>
      <c r="G138" s="134" t="s">
        <v>66</v>
      </c>
      <c r="H138" s="131" t="str">
        <f t="shared" si="2"/>
        <v>CO15</v>
      </c>
      <c r="I138" s="131" t="str" cm="1">
        <f t="array" ref="I138">LEFT(G138, MIN(IF(ISNUMBER(--MID(G138, _xlfn.SEQUENCE(LEN(G138)), 1)), _xlfn.SEQUENCE(LEN(G138)))) - 1)</f>
        <v>CO</v>
      </c>
      <c r="J138" s="134" t="s">
        <v>3800</v>
      </c>
      <c r="K138" s="129"/>
    </row>
    <row r="139" spans="1:11" ht="17.25" x14ac:dyDescent="0.35">
      <c r="A139" s="131" t="s">
        <v>4160</v>
      </c>
      <c r="B139" s="128" t="s">
        <v>4223</v>
      </c>
      <c r="C139" s="129"/>
      <c r="D139" s="129"/>
      <c r="E139" s="129"/>
      <c r="F139" s="129"/>
      <c r="G139" s="128" t="s">
        <v>4563</v>
      </c>
      <c r="H139" s="131" t="str">
        <f t="shared" si="2"/>
        <v>CO15</v>
      </c>
      <c r="I139" s="131" t="str" cm="1">
        <f t="array" ref="I139">LEFT(G139, MIN(IF(ISNUMBER(--MID(G139, _xlfn.SEQUENCE(LEN(G139)), 1)), _xlfn.SEQUENCE(LEN(G139)))) - 1)</f>
        <v>CO</v>
      </c>
      <c r="J139" s="129" t="str">
        <f>_xlfn.XLOOKUP(H139,'GK IFT SDM POSTCODES'!A:A,'GK IFT SDM POSTCODES'!B:B,"")</f>
        <v>Nikki Hayter</v>
      </c>
      <c r="K139" s="129"/>
    </row>
    <row r="140" spans="1:11" ht="21" x14ac:dyDescent="0.35">
      <c r="A140" s="130" t="s">
        <v>4065</v>
      </c>
      <c r="B140" s="127" t="s">
        <v>380</v>
      </c>
      <c r="C140" s="127" t="s">
        <v>576</v>
      </c>
      <c r="D140" s="133"/>
      <c r="E140" s="127" t="s">
        <v>1865</v>
      </c>
      <c r="F140" s="133"/>
      <c r="G140" s="127" t="s">
        <v>381</v>
      </c>
      <c r="H140" s="131" t="str">
        <f t="shared" si="2"/>
        <v>CO15</v>
      </c>
      <c r="I140" s="131" t="str" cm="1">
        <f t="array" ref="I140">LEFT(G140, MIN(IF(ISNUMBER(--MID(G140, _xlfn.SEQUENCE(LEN(G140)), 1)), _xlfn.SEQUENCE(LEN(G140)))) - 1)</f>
        <v>CO</v>
      </c>
      <c r="J140" s="127" t="s">
        <v>4064</v>
      </c>
      <c r="K140" s="129"/>
    </row>
    <row r="141" spans="1:11" ht="21" x14ac:dyDescent="0.35">
      <c r="A141" s="130" t="s">
        <v>4065</v>
      </c>
      <c r="B141" s="127" t="s">
        <v>43</v>
      </c>
      <c r="C141" s="127" t="s">
        <v>2192</v>
      </c>
      <c r="D141" s="133"/>
      <c r="E141" s="127" t="s">
        <v>1865</v>
      </c>
      <c r="F141" s="133"/>
      <c r="G141" s="127" t="s">
        <v>323</v>
      </c>
      <c r="H141" s="131" t="str">
        <f t="shared" si="2"/>
        <v>CO15</v>
      </c>
      <c r="I141" s="131" t="str" cm="1">
        <f t="array" ref="I141">LEFT(G141, MIN(IF(ISNUMBER(--MID(G141, _xlfn.SEQUENCE(LEN(G141)), 1)), _xlfn.SEQUENCE(LEN(G141)))) - 1)</f>
        <v>CO</v>
      </c>
      <c r="J141" s="127" t="s">
        <v>4064</v>
      </c>
      <c r="K141" s="129"/>
    </row>
    <row r="142" spans="1:11" ht="17.25" x14ac:dyDescent="0.35">
      <c r="A142" s="131" t="s">
        <v>4160</v>
      </c>
      <c r="B142" s="128" t="s">
        <v>4390</v>
      </c>
      <c r="C142" s="129"/>
      <c r="D142" s="129"/>
      <c r="E142" s="129"/>
      <c r="F142" s="129"/>
      <c r="G142" s="128" t="s">
        <v>4676</v>
      </c>
      <c r="H142" s="131" t="str">
        <f t="shared" si="2"/>
        <v>CO15</v>
      </c>
      <c r="I142" s="131" t="str" cm="1">
        <f t="array" ref="I142">LEFT(G142, MIN(IF(ISNUMBER(--MID(G142, _xlfn.SEQUENCE(LEN(G142)), 1)), _xlfn.SEQUENCE(LEN(G142)))) - 1)</f>
        <v>CO</v>
      </c>
      <c r="J142" s="129" t="str">
        <f>_xlfn.XLOOKUP(H142,'GK IFT SDM POSTCODES'!A:A,'GK IFT SDM POSTCODES'!B:B,"")</f>
        <v>Nikki Hayter</v>
      </c>
      <c r="K142" s="129"/>
    </row>
    <row r="143" spans="1:11" ht="17.25" x14ac:dyDescent="0.35">
      <c r="A143" s="131" t="s">
        <v>4160</v>
      </c>
      <c r="B143" s="128" t="s">
        <v>4421</v>
      </c>
      <c r="C143" s="129"/>
      <c r="D143" s="129"/>
      <c r="E143" s="129"/>
      <c r="F143" s="129"/>
      <c r="G143" s="128" t="s">
        <v>67</v>
      </c>
      <c r="H143" s="131" t="str">
        <f t="shared" si="2"/>
        <v>CO15</v>
      </c>
      <c r="I143" s="131" t="str" cm="1">
        <f t="array" ref="I143">LEFT(G143, MIN(IF(ISNUMBER(--MID(G143, _xlfn.SEQUENCE(LEN(G143)), 1)), _xlfn.SEQUENCE(LEN(G143)))) - 1)</f>
        <v>CO</v>
      </c>
      <c r="J143" s="129" t="str">
        <f>_xlfn.XLOOKUP(H143,'GK IFT SDM POSTCODES'!A:A,'GK IFT SDM POSTCODES'!B:B,"")</f>
        <v>Nikki Hayter</v>
      </c>
      <c r="K143" s="129"/>
    </row>
    <row r="144" spans="1:11" ht="17.25" x14ac:dyDescent="0.35">
      <c r="A144" s="131" t="s">
        <v>4160</v>
      </c>
      <c r="B144" s="128" t="s">
        <v>4333</v>
      </c>
      <c r="C144" s="129"/>
      <c r="D144" s="129"/>
      <c r="E144" s="129"/>
      <c r="F144" s="129"/>
      <c r="G144" s="128" t="s">
        <v>4636</v>
      </c>
      <c r="H144" s="131" t="str">
        <f t="shared" si="2"/>
        <v>CO15</v>
      </c>
      <c r="I144" s="131" t="str" cm="1">
        <f t="array" ref="I144">LEFT(G144, MIN(IF(ISNUMBER(--MID(G144, _xlfn.SEQUENCE(LEN(G144)), 1)), _xlfn.SEQUENCE(LEN(G144)))) - 1)</f>
        <v>CO</v>
      </c>
      <c r="J144" s="129" t="str">
        <f>_xlfn.XLOOKUP(H144,'GK IFT SDM POSTCODES'!A:A,'GK IFT SDM POSTCODES'!B:B,"")</f>
        <v>Nikki Hayter</v>
      </c>
      <c r="K144" s="129"/>
    </row>
    <row r="145" spans="1:11" ht="17.25" x14ac:dyDescent="0.35">
      <c r="A145" s="134" t="s">
        <v>7</v>
      </c>
      <c r="B145" s="134" t="s">
        <v>4020</v>
      </c>
      <c r="C145" s="134" t="s">
        <v>4002</v>
      </c>
      <c r="D145" s="129"/>
      <c r="E145" s="134" t="s">
        <v>4009</v>
      </c>
      <c r="F145" s="134" t="s">
        <v>3183</v>
      </c>
      <c r="G145" s="134" t="s">
        <v>432</v>
      </c>
      <c r="H145" s="131" t="str">
        <f t="shared" si="2"/>
        <v>CO15</v>
      </c>
      <c r="I145" s="131" t="str" cm="1">
        <f t="array" ref="I145">LEFT(G145, MIN(IF(ISNUMBER(--MID(G145, _xlfn.SEQUENCE(LEN(G145)), 1)), _xlfn.SEQUENCE(LEN(G145)))) - 1)</f>
        <v>CO</v>
      </c>
      <c r="J145" s="146" t="s">
        <v>6231</v>
      </c>
      <c r="K145" s="129"/>
    </row>
    <row r="146" spans="1:11" ht="17.25" x14ac:dyDescent="0.35">
      <c r="A146" s="131" t="s">
        <v>4160</v>
      </c>
      <c r="B146" s="128" t="s">
        <v>4361</v>
      </c>
      <c r="C146" s="129"/>
      <c r="D146" s="129"/>
      <c r="E146" s="129"/>
      <c r="F146" s="129"/>
      <c r="G146" s="128" t="s">
        <v>4655</v>
      </c>
      <c r="H146" s="131" t="str">
        <f t="shared" si="2"/>
        <v>CO15</v>
      </c>
      <c r="I146" s="131" t="str" cm="1">
        <f t="array" ref="I146">LEFT(G146, MIN(IF(ISNUMBER(--MID(G146, _xlfn.SEQUENCE(LEN(G146)), 1)), _xlfn.SEQUENCE(LEN(G146)))) - 1)</f>
        <v>CO</v>
      </c>
      <c r="J146" s="129" t="str">
        <f>_xlfn.XLOOKUP(H146,'GK IFT SDM POSTCODES'!A:A,'GK IFT SDM POSTCODES'!B:B,"")</f>
        <v>Nikki Hayter</v>
      </c>
      <c r="K146" s="129"/>
    </row>
    <row r="147" spans="1:11" ht="17.25" x14ac:dyDescent="0.35">
      <c r="A147" s="131" t="s">
        <v>4160</v>
      </c>
      <c r="B147" s="128" t="s">
        <v>4210</v>
      </c>
      <c r="C147" s="129"/>
      <c r="D147" s="129"/>
      <c r="E147" s="129"/>
      <c r="F147" s="129"/>
      <c r="G147" s="128" t="s">
        <v>4555</v>
      </c>
      <c r="H147" s="131" t="str">
        <f t="shared" si="2"/>
        <v>CO15</v>
      </c>
      <c r="I147" s="131" t="str" cm="1">
        <f t="array" ref="I147">LEFT(G147, MIN(IF(ISNUMBER(--MID(G147, _xlfn.SEQUENCE(LEN(G147)), 1)), _xlfn.SEQUENCE(LEN(G147)))) - 1)</f>
        <v>CO</v>
      </c>
      <c r="J147" s="129" t="str">
        <f>_xlfn.XLOOKUP(H147,'GK IFT SDM POSTCODES'!A:A,'GK IFT SDM POSTCODES'!B:B,"")</f>
        <v>Nikki Hayter</v>
      </c>
      <c r="K147" s="129"/>
    </row>
    <row r="148" spans="1:11" ht="17.25" x14ac:dyDescent="0.35">
      <c r="A148" s="134" t="s">
        <v>7</v>
      </c>
      <c r="B148" s="134" t="s">
        <v>4018</v>
      </c>
      <c r="C148" s="134" t="s">
        <v>4000</v>
      </c>
      <c r="D148" s="129"/>
      <c r="E148" s="134" t="s">
        <v>4009</v>
      </c>
      <c r="F148" s="134" t="s">
        <v>3183</v>
      </c>
      <c r="G148" s="134" t="s">
        <v>3992</v>
      </c>
      <c r="H148" s="131" t="str">
        <f t="shared" si="2"/>
        <v>CO16</v>
      </c>
      <c r="I148" s="131" t="str" cm="1">
        <f t="array" ref="I148">LEFT(G148, MIN(IF(ISNUMBER(--MID(G148, _xlfn.SEQUENCE(LEN(G148)), 1)), _xlfn.SEQUENCE(LEN(G148)))) - 1)</f>
        <v>CO</v>
      </c>
      <c r="J148" s="146" t="s">
        <v>6231</v>
      </c>
      <c r="K148" s="129"/>
    </row>
    <row r="149" spans="1:11" ht="17.25" x14ac:dyDescent="0.35">
      <c r="A149" s="131" t="s">
        <v>4160</v>
      </c>
      <c r="B149" s="128" t="s">
        <v>4428</v>
      </c>
      <c r="C149" s="129"/>
      <c r="D149" s="129"/>
      <c r="E149" s="129"/>
      <c r="F149" s="129"/>
      <c r="G149" s="128" t="s">
        <v>4697</v>
      </c>
      <c r="H149" s="131" t="str">
        <f t="shared" si="2"/>
        <v>CO16</v>
      </c>
      <c r="I149" s="131" t="str" cm="1">
        <f t="array" ref="I149">LEFT(G149, MIN(IF(ISNUMBER(--MID(G149, _xlfn.SEQUENCE(LEN(G149)), 1)), _xlfn.SEQUENCE(LEN(G149)))) - 1)</f>
        <v>CO</v>
      </c>
      <c r="J149" s="129" t="str">
        <f>_xlfn.XLOOKUP(H149,'GK IFT SDM POSTCODES'!A:A,'GK IFT SDM POSTCODES'!B:B,"")</f>
        <v>Nikki Hayter</v>
      </c>
      <c r="K149" s="129"/>
    </row>
    <row r="150" spans="1:11" ht="17.25" x14ac:dyDescent="0.35">
      <c r="A150" s="134" t="s">
        <v>3902</v>
      </c>
      <c r="B150" s="134" t="s">
        <v>4017</v>
      </c>
      <c r="C150" s="134" t="s">
        <v>3999</v>
      </c>
      <c r="D150" s="129"/>
      <c r="E150" s="134" t="s">
        <v>4009</v>
      </c>
      <c r="F150" s="134" t="s">
        <v>3183</v>
      </c>
      <c r="G150" s="134" t="s">
        <v>3599</v>
      </c>
      <c r="H150" s="131" t="str">
        <f t="shared" si="2"/>
        <v>CO16</v>
      </c>
      <c r="I150" s="131" t="str" cm="1">
        <f t="array" ref="I150">LEFT(G150, MIN(IF(ISNUMBER(--MID(G150, _xlfn.SEQUENCE(LEN(G150)), 1)), _xlfn.SEQUENCE(LEN(G150)))) - 1)</f>
        <v>CO</v>
      </c>
      <c r="J150" s="134" t="s">
        <v>3800</v>
      </c>
      <c r="K150" s="129"/>
    </row>
    <row r="151" spans="1:11" ht="17.25" x14ac:dyDescent="0.35">
      <c r="A151" s="131" t="s">
        <v>4160</v>
      </c>
      <c r="B151" s="128" t="s">
        <v>4486</v>
      </c>
      <c r="C151" s="129"/>
      <c r="D151" s="129"/>
      <c r="E151" s="129"/>
      <c r="F151" s="129"/>
      <c r="G151" s="128" t="s">
        <v>322</v>
      </c>
      <c r="H151" s="131" t="str">
        <f t="shared" si="2"/>
        <v>CO16</v>
      </c>
      <c r="I151" s="131" t="str" cm="1">
        <f t="array" ref="I151">LEFT(G151, MIN(IF(ISNUMBER(--MID(G151, _xlfn.SEQUENCE(LEN(G151)), 1)), _xlfn.SEQUENCE(LEN(G151)))) - 1)</f>
        <v>CO</v>
      </c>
      <c r="J151" s="129" t="str">
        <f>_xlfn.XLOOKUP(H151,'GK IFT SDM POSTCODES'!A:A,'GK IFT SDM POSTCODES'!B:B,"")</f>
        <v>Nikki Hayter</v>
      </c>
      <c r="K151" s="129"/>
    </row>
    <row r="152" spans="1:11" ht="17.25" x14ac:dyDescent="0.35">
      <c r="A152" s="131" t="s">
        <v>4160</v>
      </c>
      <c r="B152" s="128" t="s">
        <v>4386</v>
      </c>
      <c r="C152" s="129"/>
      <c r="D152" s="129"/>
      <c r="E152" s="129"/>
      <c r="F152" s="129"/>
      <c r="G152" s="128" t="s">
        <v>330</v>
      </c>
      <c r="H152" s="131" t="str">
        <f t="shared" si="2"/>
        <v>CO16</v>
      </c>
      <c r="I152" s="131" t="str" cm="1">
        <f t="array" ref="I152">LEFT(G152, MIN(IF(ISNUMBER(--MID(G152, _xlfn.SEQUENCE(LEN(G152)), 1)), _xlfn.SEQUENCE(LEN(G152)))) - 1)</f>
        <v>CO</v>
      </c>
      <c r="J152" s="129" t="str">
        <f>_xlfn.XLOOKUP(H152,'GK IFT SDM POSTCODES'!A:A,'GK IFT SDM POSTCODES'!B:B,"")</f>
        <v>Nikki Hayter</v>
      </c>
      <c r="K152" s="129"/>
    </row>
    <row r="153" spans="1:11" ht="17.25" x14ac:dyDescent="0.35">
      <c r="A153" s="131" t="s">
        <v>4160</v>
      </c>
      <c r="B153" s="128" t="s">
        <v>3686</v>
      </c>
      <c r="C153" s="129"/>
      <c r="D153" s="129"/>
      <c r="E153" s="129"/>
      <c r="F153" s="129"/>
      <c r="G153" s="128" t="s">
        <v>330</v>
      </c>
      <c r="H153" s="131" t="str">
        <f t="shared" si="2"/>
        <v>CO16</v>
      </c>
      <c r="I153" s="131" t="str" cm="1">
        <f t="array" ref="I153">LEFT(G153, MIN(IF(ISNUMBER(--MID(G153, _xlfn.SEQUENCE(LEN(G153)), 1)), _xlfn.SEQUENCE(LEN(G153)))) - 1)</f>
        <v>CO</v>
      </c>
      <c r="J153" s="129" t="str">
        <f>_xlfn.XLOOKUP(H153,'GK IFT SDM POSTCODES'!A:A,'GK IFT SDM POSTCODES'!B:B,"")</f>
        <v>Nikki Hayter</v>
      </c>
      <c r="K153" s="129"/>
    </row>
    <row r="154" spans="1:11" ht="17.25" x14ac:dyDescent="0.35">
      <c r="A154" s="131" t="s">
        <v>4160</v>
      </c>
      <c r="B154" s="128" t="s">
        <v>4403</v>
      </c>
      <c r="C154" s="129"/>
      <c r="D154" s="129"/>
      <c r="E154" s="129"/>
      <c r="F154" s="129"/>
      <c r="G154" s="128" t="s">
        <v>4682</v>
      </c>
      <c r="H154" s="131" t="str">
        <f t="shared" si="2"/>
        <v>CO16</v>
      </c>
      <c r="I154" s="131" t="str" cm="1">
        <f t="array" ref="I154">LEFT(G154, MIN(IF(ISNUMBER(--MID(G154, _xlfn.SEQUENCE(LEN(G154)), 1)), _xlfn.SEQUENCE(LEN(G154)))) - 1)</f>
        <v>CO</v>
      </c>
      <c r="J154" s="129" t="str">
        <f>_xlfn.XLOOKUP(H154,'GK IFT SDM POSTCODES'!A:A,'GK IFT SDM POSTCODES'!B:B,"")</f>
        <v>Nikki Hayter</v>
      </c>
      <c r="K154" s="129"/>
    </row>
    <row r="155" spans="1:11" ht="17.25" x14ac:dyDescent="0.35">
      <c r="A155" s="131" t="s">
        <v>4160</v>
      </c>
      <c r="B155" s="128" t="s">
        <v>4436</v>
      </c>
      <c r="C155" s="129"/>
      <c r="D155" s="129"/>
      <c r="E155" s="129"/>
      <c r="F155" s="129"/>
      <c r="G155" s="128" t="s">
        <v>4682</v>
      </c>
      <c r="H155" s="131" t="str">
        <f t="shared" si="2"/>
        <v>CO16</v>
      </c>
      <c r="I155" s="131" t="str" cm="1">
        <f t="array" ref="I155">LEFT(G155, MIN(IF(ISNUMBER(--MID(G155, _xlfn.SEQUENCE(LEN(G155)), 1)), _xlfn.SEQUENCE(LEN(G155)))) - 1)</f>
        <v>CO</v>
      </c>
      <c r="J155" s="129" t="str">
        <f>_xlfn.XLOOKUP(H155,'GK IFT SDM POSTCODES'!A:A,'GK IFT SDM POSTCODES'!B:B,"")</f>
        <v>Nikki Hayter</v>
      </c>
      <c r="K155" s="129"/>
    </row>
    <row r="156" spans="1:11" ht="17.25" x14ac:dyDescent="0.35">
      <c r="A156" s="131" t="s">
        <v>4160</v>
      </c>
      <c r="B156" s="128" t="s">
        <v>4458</v>
      </c>
      <c r="C156" s="129"/>
      <c r="D156" s="129"/>
      <c r="E156" s="129"/>
      <c r="F156" s="129"/>
      <c r="G156" s="128" t="s">
        <v>4716</v>
      </c>
      <c r="H156" s="131" t="str">
        <f t="shared" si="2"/>
        <v>CO16</v>
      </c>
      <c r="I156" s="131" t="str" cm="1">
        <f t="array" ref="I156">LEFT(G156, MIN(IF(ISNUMBER(--MID(G156, _xlfn.SEQUENCE(LEN(G156)), 1)), _xlfn.SEQUENCE(LEN(G156)))) - 1)</f>
        <v>CO</v>
      </c>
      <c r="J156" s="129" t="str">
        <f>_xlfn.XLOOKUP(H156,'GK IFT SDM POSTCODES'!A:A,'GK IFT SDM POSTCODES'!B:B,"")</f>
        <v>Nikki Hayter</v>
      </c>
      <c r="K156" s="129"/>
    </row>
    <row r="157" spans="1:11" ht="17.25" x14ac:dyDescent="0.35">
      <c r="A157" s="131" t="s">
        <v>3718</v>
      </c>
      <c r="B157" s="131" t="s">
        <v>2708</v>
      </c>
      <c r="C157" s="131" t="s">
        <v>3551</v>
      </c>
      <c r="D157" s="131" t="s">
        <v>3768</v>
      </c>
      <c r="E157" s="131" t="s">
        <v>1865</v>
      </c>
      <c r="F157" s="131" t="s">
        <v>3183</v>
      </c>
      <c r="G157" s="131" t="s">
        <v>68</v>
      </c>
      <c r="H157" s="131" t="str">
        <f t="shared" si="2"/>
        <v>CO16</v>
      </c>
      <c r="I157" s="131" t="str" cm="1">
        <f t="array" ref="I157">LEFT(G157, MIN(IF(ISNUMBER(--MID(G157, _xlfn.SEQUENCE(LEN(G157)), 1)), _xlfn.SEQUENCE(LEN(G157)))) - 1)</f>
        <v>CO</v>
      </c>
      <c r="J157" s="131" t="s">
        <v>3756</v>
      </c>
      <c r="K157" s="129"/>
    </row>
    <row r="158" spans="1:11" ht="17.25" x14ac:dyDescent="0.35">
      <c r="A158" s="131" t="s">
        <v>4160</v>
      </c>
      <c r="B158" s="128" t="s">
        <v>4261</v>
      </c>
      <c r="C158" s="129"/>
      <c r="D158" s="129"/>
      <c r="E158" s="129"/>
      <c r="F158" s="129"/>
      <c r="G158" s="128" t="s">
        <v>4584</v>
      </c>
      <c r="H158" s="131" t="str">
        <f t="shared" si="2"/>
        <v>CO16</v>
      </c>
      <c r="I158" s="131" t="str" cm="1">
        <f t="array" ref="I158">LEFT(G158, MIN(IF(ISNUMBER(--MID(G158, _xlfn.SEQUENCE(LEN(G158)), 1)), _xlfn.SEQUENCE(LEN(G158)))) - 1)</f>
        <v>CO</v>
      </c>
      <c r="J158" s="129" t="str">
        <f>_xlfn.XLOOKUP(H158,'GK IFT SDM POSTCODES'!A:A,'GK IFT SDM POSTCODES'!B:B,"")</f>
        <v>Nikki Hayter</v>
      </c>
      <c r="K158" s="129"/>
    </row>
    <row r="159" spans="1:11" ht="17.25" x14ac:dyDescent="0.35">
      <c r="A159" s="131" t="s">
        <v>4160</v>
      </c>
      <c r="B159" s="128" t="s">
        <v>4372</v>
      </c>
      <c r="C159" s="129"/>
      <c r="D159" s="129"/>
      <c r="E159" s="129"/>
      <c r="F159" s="129"/>
      <c r="G159" s="128" t="s">
        <v>4584</v>
      </c>
      <c r="H159" s="131" t="str">
        <f t="shared" si="2"/>
        <v>CO16</v>
      </c>
      <c r="I159" s="131" t="str" cm="1">
        <f t="array" ref="I159">LEFT(G159, MIN(IF(ISNUMBER(--MID(G159, _xlfn.SEQUENCE(LEN(G159)), 1)), _xlfn.SEQUENCE(LEN(G159)))) - 1)</f>
        <v>CO</v>
      </c>
      <c r="J159" s="129" t="str">
        <f>_xlfn.XLOOKUP(H159,'GK IFT SDM POSTCODES'!A:A,'GK IFT SDM POSTCODES'!B:B,"")</f>
        <v>Nikki Hayter</v>
      </c>
      <c r="K159" s="129"/>
    </row>
    <row r="160" spans="1:11" ht="17.25" x14ac:dyDescent="0.35">
      <c r="A160" s="131" t="s">
        <v>4160</v>
      </c>
      <c r="B160" s="128" t="s">
        <v>4176</v>
      </c>
      <c r="C160" s="129"/>
      <c r="D160" s="129"/>
      <c r="E160" s="129"/>
      <c r="F160" s="129"/>
      <c r="G160" s="128" t="s">
        <v>4531</v>
      </c>
      <c r="H160" s="131" t="str">
        <f t="shared" si="2"/>
        <v>CO2</v>
      </c>
      <c r="I160" s="131" t="str" cm="1">
        <f t="array" ref="I160">LEFT(G160, MIN(IF(ISNUMBER(--MID(G160, _xlfn.SEQUENCE(LEN(G160)), 1)), _xlfn.SEQUENCE(LEN(G160)))) - 1)</f>
        <v>CO</v>
      </c>
      <c r="J160" s="129" t="str">
        <f>_xlfn.XLOOKUP(H160,'GK IFT SDM POSTCODES'!A:A,'GK IFT SDM POSTCODES'!B:B,"")</f>
        <v>Nikki Hayter</v>
      </c>
      <c r="K160" s="129"/>
    </row>
    <row r="161" spans="1:11" ht="17.25" x14ac:dyDescent="0.35">
      <c r="A161" s="131" t="s">
        <v>4160</v>
      </c>
      <c r="B161" s="128" t="s">
        <v>4238</v>
      </c>
      <c r="C161" s="129"/>
      <c r="D161" s="129"/>
      <c r="E161" s="129"/>
      <c r="F161" s="129"/>
      <c r="G161" s="128" t="s">
        <v>263</v>
      </c>
      <c r="H161" s="131" t="str">
        <f t="shared" si="2"/>
        <v>CO2</v>
      </c>
      <c r="I161" s="131" t="str" cm="1">
        <f t="array" ref="I161">LEFT(G161, MIN(IF(ISNUMBER(--MID(G161, _xlfn.SEQUENCE(LEN(G161)), 1)), _xlfn.SEQUENCE(LEN(G161)))) - 1)</f>
        <v>CO</v>
      </c>
      <c r="J161" s="129" t="str">
        <f>_xlfn.XLOOKUP(H161,'GK IFT SDM POSTCODES'!A:A,'GK IFT SDM POSTCODES'!B:B,"")</f>
        <v>Nikki Hayter</v>
      </c>
      <c r="K161" s="129"/>
    </row>
    <row r="162" spans="1:11" ht="17.25" x14ac:dyDescent="0.35">
      <c r="A162" s="131" t="s">
        <v>4160</v>
      </c>
      <c r="B162" s="128" t="s">
        <v>4320</v>
      </c>
      <c r="C162" s="129"/>
      <c r="D162" s="129"/>
      <c r="E162" s="129"/>
      <c r="F162" s="129"/>
      <c r="G162" s="128" t="s">
        <v>264</v>
      </c>
      <c r="H162" s="131" t="str">
        <f t="shared" si="2"/>
        <v>CO2</v>
      </c>
      <c r="I162" s="131" t="str" cm="1">
        <f t="array" ref="I162">LEFT(G162, MIN(IF(ISNUMBER(--MID(G162, _xlfn.SEQUENCE(LEN(G162)), 1)), _xlfn.SEQUENCE(LEN(G162)))) - 1)</f>
        <v>CO</v>
      </c>
      <c r="J162" s="129" t="str">
        <f>_xlfn.XLOOKUP(H162,'GK IFT SDM POSTCODES'!A:A,'GK IFT SDM POSTCODES'!B:B,"")</f>
        <v>Nikki Hayter</v>
      </c>
      <c r="K162" s="129"/>
    </row>
    <row r="163" spans="1:11" ht="17.25" x14ac:dyDescent="0.35">
      <c r="A163" s="131" t="s">
        <v>4160</v>
      </c>
      <c r="B163" s="128" t="s">
        <v>4295</v>
      </c>
      <c r="C163" s="129"/>
      <c r="D163" s="129"/>
      <c r="E163" s="129"/>
      <c r="F163" s="129"/>
      <c r="G163" s="128" t="s">
        <v>4610</v>
      </c>
      <c r="H163" s="131" t="str">
        <f t="shared" si="2"/>
        <v>CO2</v>
      </c>
      <c r="I163" s="131" t="str" cm="1">
        <f t="array" ref="I163">LEFT(G163, MIN(IF(ISNUMBER(--MID(G163, _xlfn.SEQUENCE(LEN(G163)), 1)), _xlfn.SEQUENCE(LEN(G163)))) - 1)</f>
        <v>CO</v>
      </c>
      <c r="J163" s="129" t="str">
        <f>_xlfn.XLOOKUP(H163,'GK IFT SDM POSTCODES'!A:A,'GK IFT SDM POSTCODES'!B:B,"")</f>
        <v>Nikki Hayter</v>
      </c>
      <c r="K163" s="129"/>
    </row>
    <row r="164" spans="1:11" ht="17.25" x14ac:dyDescent="0.35">
      <c r="A164" s="131" t="s">
        <v>4160</v>
      </c>
      <c r="B164" s="128" t="s">
        <v>4476</v>
      </c>
      <c r="C164" s="129"/>
      <c r="D164" s="129"/>
      <c r="E164" s="129"/>
      <c r="F164" s="129"/>
      <c r="G164" s="128" t="s">
        <v>229</v>
      </c>
      <c r="H164" s="131" t="str">
        <f t="shared" si="2"/>
        <v>CO2</v>
      </c>
      <c r="I164" s="131" t="str" cm="1">
        <f t="array" ref="I164">LEFT(G164, MIN(IF(ISNUMBER(--MID(G164, _xlfn.SEQUENCE(LEN(G164)), 1)), _xlfn.SEQUENCE(LEN(G164)))) - 1)</f>
        <v>CO</v>
      </c>
      <c r="J164" s="129" t="str">
        <f>_xlfn.XLOOKUP(H164,'GK IFT SDM POSTCODES'!A:A,'GK IFT SDM POSTCODES'!B:B,"")</f>
        <v>Nikki Hayter</v>
      </c>
      <c r="K164" s="129"/>
    </row>
    <row r="165" spans="1:11" ht="17.25" x14ac:dyDescent="0.35">
      <c r="A165" s="131" t="s">
        <v>4160</v>
      </c>
      <c r="B165" s="128" t="s">
        <v>4193</v>
      </c>
      <c r="C165" s="129"/>
      <c r="D165" s="129"/>
      <c r="E165" s="129"/>
      <c r="F165" s="129"/>
      <c r="G165" s="128" t="s">
        <v>4542</v>
      </c>
      <c r="H165" s="131" t="str">
        <f t="shared" si="2"/>
        <v>CO2</v>
      </c>
      <c r="I165" s="131" t="str" cm="1">
        <f t="array" ref="I165">LEFT(G165, MIN(IF(ISNUMBER(--MID(G165, _xlfn.SEQUENCE(LEN(G165)), 1)), _xlfn.SEQUENCE(LEN(G165)))) - 1)</f>
        <v>CO</v>
      </c>
      <c r="J165" s="129" t="str">
        <f>_xlfn.XLOOKUP(H165,'GK IFT SDM POSTCODES'!A:A,'GK IFT SDM POSTCODES'!B:B,"")</f>
        <v>Nikki Hayter</v>
      </c>
      <c r="K165" s="129"/>
    </row>
    <row r="166" spans="1:11" ht="17.25" x14ac:dyDescent="0.35">
      <c r="A166" s="131" t="s">
        <v>4160</v>
      </c>
      <c r="B166" s="128" t="s">
        <v>3689</v>
      </c>
      <c r="C166" s="129"/>
      <c r="D166" s="129"/>
      <c r="E166" s="129"/>
      <c r="F166" s="129"/>
      <c r="G166" s="128" t="s">
        <v>3690</v>
      </c>
      <c r="H166" s="131" t="str">
        <f t="shared" si="2"/>
        <v>CO2</v>
      </c>
      <c r="I166" s="131" t="str" cm="1">
        <f t="array" ref="I166">LEFT(G166, MIN(IF(ISNUMBER(--MID(G166, _xlfn.SEQUENCE(LEN(G166)), 1)), _xlfn.SEQUENCE(LEN(G166)))) - 1)</f>
        <v>CO</v>
      </c>
      <c r="J166" s="129" t="str">
        <f>_xlfn.XLOOKUP(H166,'GK IFT SDM POSTCODES'!A:A,'GK IFT SDM POSTCODES'!B:B,"")</f>
        <v>Nikki Hayter</v>
      </c>
      <c r="K166" s="129"/>
    </row>
    <row r="167" spans="1:11" ht="17.25" x14ac:dyDescent="0.35">
      <c r="A167" s="131" t="s">
        <v>4160</v>
      </c>
      <c r="B167" s="128" t="s">
        <v>4409</v>
      </c>
      <c r="C167" s="129"/>
      <c r="D167" s="129"/>
      <c r="E167" s="129"/>
      <c r="F167" s="129"/>
      <c r="G167" s="128" t="s">
        <v>16</v>
      </c>
      <c r="H167" s="131" t="str">
        <f t="shared" si="2"/>
        <v>CO2</v>
      </c>
      <c r="I167" s="131" t="str" cm="1">
        <f t="array" ref="I167">LEFT(G167, MIN(IF(ISNUMBER(--MID(G167, _xlfn.SEQUENCE(LEN(G167)), 1)), _xlfn.SEQUENCE(LEN(G167)))) - 1)</f>
        <v>CO</v>
      </c>
      <c r="J167" s="129" t="str">
        <f>_xlfn.XLOOKUP(H167,'GK IFT SDM POSTCODES'!A:A,'GK IFT SDM POSTCODES'!B:B,"")</f>
        <v>Nikki Hayter</v>
      </c>
      <c r="K167" s="129"/>
    </row>
    <row r="168" spans="1:11" ht="17.25" x14ac:dyDescent="0.35">
      <c r="A168" s="129" t="s">
        <v>498</v>
      </c>
      <c r="B168" s="137" t="s">
        <v>5212</v>
      </c>
      <c r="C168" s="137" t="s">
        <v>5213</v>
      </c>
      <c r="D168" s="129"/>
      <c r="E168" s="137" t="s">
        <v>13</v>
      </c>
      <c r="F168" s="129"/>
      <c r="G168" s="137" t="s">
        <v>233</v>
      </c>
      <c r="H168" s="131" t="str">
        <f t="shared" si="2"/>
        <v>CO2</v>
      </c>
      <c r="I168" s="131" t="str" cm="1">
        <f t="array" ref="I168">LEFT(G168, MIN(IF(ISNUMBER(--MID(G168, _xlfn.SEQUENCE(LEN(G168)), 1)), _xlfn.SEQUENCE(LEN(G168)))) - 1)</f>
        <v>CO</v>
      </c>
      <c r="J168" s="137" t="s">
        <v>5141</v>
      </c>
      <c r="K168" s="129"/>
    </row>
    <row r="169" spans="1:11" ht="17.25" x14ac:dyDescent="0.35">
      <c r="A169" s="129" t="s">
        <v>498</v>
      </c>
      <c r="B169" s="137" t="s">
        <v>5188</v>
      </c>
      <c r="C169" s="137" t="s">
        <v>5189</v>
      </c>
      <c r="D169" s="129"/>
      <c r="E169" s="137" t="s">
        <v>13</v>
      </c>
      <c r="F169" s="129"/>
      <c r="G169" s="137" t="s">
        <v>14</v>
      </c>
      <c r="H169" s="131" t="str">
        <f t="shared" si="2"/>
        <v>CO2</v>
      </c>
      <c r="I169" s="131" t="str" cm="1">
        <f t="array" ref="I169">LEFT(G169, MIN(IF(ISNUMBER(--MID(G169, _xlfn.SEQUENCE(LEN(G169)), 1)), _xlfn.SEQUENCE(LEN(G169)))) - 1)</f>
        <v>CO</v>
      </c>
      <c r="J169" s="137" t="s">
        <v>5141</v>
      </c>
      <c r="K169" s="129"/>
    </row>
    <row r="170" spans="1:11" ht="17.25" x14ac:dyDescent="0.35">
      <c r="A170" s="130" t="s">
        <v>4106</v>
      </c>
      <c r="B170" s="136" t="s">
        <v>618</v>
      </c>
      <c r="C170" s="136" t="s">
        <v>619</v>
      </c>
      <c r="D170" s="129"/>
      <c r="E170" s="136" t="s">
        <v>13</v>
      </c>
      <c r="F170" s="136" t="s">
        <v>3183</v>
      </c>
      <c r="G170" s="136" t="s">
        <v>4104</v>
      </c>
      <c r="H170" s="131" t="str">
        <f t="shared" si="2"/>
        <v>CO3</v>
      </c>
      <c r="I170" s="131" t="str" cm="1">
        <f t="array" ref="I170">LEFT(G170, MIN(IF(ISNUMBER(--MID(G170, _xlfn.SEQUENCE(LEN(G170)), 1)), _xlfn.SEQUENCE(LEN(G170)))) - 1)</f>
        <v>CO</v>
      </c>
      <c r="J170" s="136" t="s">
        <v>4103</v>
      </c>
      <c r="K170" s="129"/>
    </row>
    <row r="171" spans="1:11" ht="17.25" x14ac:dyDescent="0.35">
      <c r="A171" s="130" t="s">
        <v>4106</v>
      </c>
      <c r="B171" s="136" t="s">
        <v>591</v>
      </c>
      <c r="C171" s="136" t="s">
        <v>592</v>
      </c>
      <c r="D171" s="129"/>
      <c r="E171" s="136" t="s">
        <v>13</v>
      </c>
      <c r="F171" s="136" t="s">
        <v>3183</v>
      </c>
      <c r="G171" s="136" t="s">
        <v>4102</v>
      </c>
      <c r="H171" s="131" t="str">
        <f t="shared" si="2"/>
        <v>CO3</v>
      </c>
      <c r="I171" s="131" t="str" cm="1">
        <f t="array" ref="I171">LEFT(G171, MIN(IF(ISNUMBER(--MID(G171, _xlfn.SEQUENCE(LEN(G171)), 1)), _xlfn.SEQUENCE(LEN(G171)))) - 1)</f>
        <v>CO</v>
      </c>
      <c r="J171" s="136" t="s">
        <v>4103</v>
      </c>
      <c r="K171" s="129"/>
    </row>
    <row r="172" spans="1:11" ht="17.25" x14ac:dyDescent="0.35">
      <c r="A172" s="131" t="s">
        <v>4160</v>
      </c>
      <c r="B172" s="128" t="s">
        <v>4322</v>
      </c>
      <c r="C172" s="129"/>
      <c r="D172" s="129"/>
      <c r="E172" s="129"/>
      <c r="F172" s="129"/>
      <c r="G172" s="128" t="s">
        <v>4628</v>
      </c>
      <c r="H172" s="131" t="str">
        <f t="shared" si="2"/>
        <v>CO3</v>
      </c>
      <c r="I172" s="131" t="str" cm="1">
        <f t="array" ref="I172">LEFT(G172, MIN(IF(ISNUMBER(--MID(G172, _xlfn.SEQUENCE(LEN(G172)), 1)), _xlfn.SEQUENCE(LEN(G172)))) - 1)</f>
        <v>CO</v>
      </c>
      <c r="J172" s="129" t="str">
        <f>_xlfn.XLOOKUP(H172,'GK IFT SDM POSTCODES'!A:A,'GK IFT SDM POSTCODES'!B:B,"")</f>
        <v>Nikki Hayter</v>
      </c>
      <c r="K172" s="129"/>
    </row>
    <row r="173" spans="1:11" ht="17.25" x14ac:dyDescent="0.35">
      <c r="A173" s="131" t="s">
        <v>4160</v>
      </c>
      <c r="B173" s="128" t="s">
        <v>4424</v>
      </c>
      <c r="C173" s="129"/>
      <c r="D173" s="129"/>
      <c r="E173" s="129"/>
      <c r="F173" s="129"/>
      <c r="G173" s="128" t="s">
        <v>4628</v>
      </c>
      <c r="H173" s="131" t="str">
        <f t="shared" si="2"/>
        <v>CO3</v>
      </c>
      <c r="I173" s="131" t="str" cm="1">
        <f t="array" ref="I173">LEFT(G173, MIN(IF(ISNUMBER(--MID(G173, _xlfn.SEQUENCE(LEN(G173)), 1)), _xlfn.SEQUENCE(LEN(G173)))) - 1)</f>
        <v>CO</v>
      </c>
      <c r="J173" s="129" t="str">
        <f>_xlfn.XLOOKUP(H173,'GK IFT SDM POSTCODES'!A:A,'GK IFT SDM POSTCODES'!B:B,"")</f>
        <v>Nikki Hayter</v>
      </c>
      <c r="K173" s="129"/>
    </row>
    <row r="174" spans="1:11" ht="17.25" x14ac:dyDescent="0.35">
      <c r="A174" s="134" t="s">
        <v>7</v>
      </c>
      <c r="B174" s="134" t="s">
        <v>4023</v>
      </c>
      <c r="C174" s="134" t="s">
        <v>2790</v>
      </c>
      <c r="D174" s="129"/>
      <c r="E174" s="134" t="s">
        <v>13</v>
      </c>
      <c r="F174" s="134" t="s">
        <v>3183</v>
      </c>
      <c r="G174" s="134" t="s">
        <v>12</v>
      </c>
      <c r="H174" s="131" t="str">
        <f t="shared" si="2"/>
        <v>CO3</v>
      </c>
      <c r="I174" s="131" t="str" cm="1">
        <f t="array" ref="I174">LEFT(G174, MIN(IF(ISNUMBER(--MID(G174, _xlfn.SEQUENCE(LEN(G174)), 1)), _xlfn.SEQUENCE(LEN(G174)))) - 1)</f>
        <v>CO</v>
      </c>
      <c r="J174" s="146" t="s">
        <v>6231</v>
      </c>
      <c r="K174" s="129"/>
    </row>
    <row r="175" spans="1:11" ht="17.25" x14ac:dyDescent="0.35">
      <c r="A175" s="131" t="s">
        <v>4160</v>
      </c>
      <c r="B175" s="128" t="s">
        <v>4323</v>
      </c>
      <c r="C175" s="129"/>
      <c r="D175" s="129"/>
      <c r="E175" s="129"/>
      <c r="F175" s="129"/>
      <c r="G175" s="128" t="s">
        <v>4629</v>
      </c>
      <c r="H175" s="131" t="str">
        <f t="shared" si="2"/>
        <v>CO3</v>
      </c>
      <c r="I175" s="131" t="str" cm="1">
        <f t="array" ref="I175">LEFT(G175, MIN(IF(ISNUMBER(--MID(G175, _xlfn.SEQUENCE(LEN(G175)), 1)), _xlfn.SEQUENCE(LEN(G175)))) - 1)</f>
        <v>CO</v>
      </c>
      <c r="J175" s="129" t="str">
        <f>_xlfn.XLOOKUP(H175,'GK IFT SDM POSTCODES'!A:A,'GK IFT SDM POSTCODES'!B:B,"")</f>
        <v>Nikki Hayter</v>
      </c>
      <c r="K175" s="129"/>
    </row>
    <row r="176" spans="1:11" ht="17.25" x14ac:dyDescent="0.35">
      <c r="A176" s="131" t="s">
        <v>3718</v>
      </c>
      <c r="B176" s="131" t="s">
        <v>483</v>
      </c>
      <c r="C176" s="131" t="s">
        <v>3769</v>
      </c>
      <c r="D176" s="131" t="s">
        <v>3770</v>
      </c>
      <c r="E176" s="131" t="s">
        <v>13</v>
      </c>
      <c r="F176" s="131" t="s">
        <v>3183</v>
      </c>
      <c r="G176" s="131" t="s">
        <v>314</v>
      </c>
      <c r="H176" s="131" t="str">
        <f t="shared" si="2"/>
        <v>CO3</v>
      </c>
      <c r="I176" s="131" t="str" cm="1">
        <f t="array" ref="I176">LEFT(G176, MIN(IF(ISNUMBER(--MID(G176, _xlfn.SEQUENCE(LEN(G176)), 1)), _xlfn.SEQUENCE(LEN(G176)))) - 1)</f>
        <v>CO</v>
      </c>
      <c r="J176" s="131" t="s">
        <v>3756</v>
      </c>
      <c r="K176" s="129"/>
    </row>
    <row r="177" spans="1:11" ht="17.25" x14ac:dyDescent="0.35">
      <c r="A177" s="130" t="s">
        <v>3752</v>
      </c>
      <c r="B177" s="131" t="s">
        <v>3771</v>
      </c>
      <c r="C177" s="131" t="s">
        <v>3772</v>
      </c>
      <c r="D177" s="131" t="s">
        <v>13</v>
      </c>
      <c r="E177" s="131"/>
      <c r="F177" s="131" t="s">
        <v>3183</v>
      </c>
      <c r="G177" s="131" t="s">
        <v>3773</v>
      </c>
      <c r="H177" s="131" t="str">
        <f t="shared" si="2"/>
        <v>CO4</v>
      </c>
      <c r="I177" s="131" t="str" cm="1">
        <f t="array" ref="I177">LEFT(G177, MIN(IF(ISNUMBER(--MID(G177, _xlfn.SEQUENCE(LEN(G177)), 1)), _xlfn.SEQUENCE(LEN(G177)))) - 1)</f>
        <v>CO</v>
      </c>
      <c r="J177" s="131" t="s">
        <v>3751</v>
      </c>
      <c r="K177" s="129"/>
    </row>
    <row r="178" spans="1:11" ht="17.25" x14ac:dyDescent="0.35">
      <c r="A178" s="131" t="s">
        <v>4160</v>
      </c>
      <c r="B178" s="128" t="s">
        <v>4283</v>
      </c>
      <c r="C178" s="129"/>
      <c r="D178" s="129"/>
      <c r="E178" s="129"/>
      <c r="F178" s="129"/>
      <c r="G178" s="128" t="s">
        <v>4601</v>
      </c>
      <c r="H178" s="131" t="str">
        <f t="shared" si="2"/>
        <v>CO4</v>
      </c>
      <c r="I178" s="131" t="str" cm="1">
        <f t="array" ref="I178">LEFT(G178, MIN(IF(ISNUMBER(--MID(G178, _xlfn.SEQUENCE(LEN(G178)), 1)), _xlfn.SEQUENCE(LEN(G178)))) - 1)</f>
        <v>CO</v>
      </c>
      <c r="J178" s="129" t="str">
        <f>_xlfn.XLOOKUP(H178,'GK IFT SDM POSTCODES'!A:A,'GK IFT SDM POSTCODES'!B:B,"")</f>
        <v>Nikki Hayter</v>
      </c>
      <c r="K178" s="129"/>
    </row>
    <row r="179" spans="1:11" ht="17.25" x14ac:dyDescent="0.35">
      <c r="A179" s="131" t="s">
        <v>4160</v>
      </c>
      <c r="B179" s="128" t="s">
        <v>4218</v>
      </c>
      <c r="C179" s="129"/>
      <c r="D179" s="129"/>
      <c r="E179" s="129"/>
      <c r="F179" s="129"/>
      <c r="G179" s="128" t="s">
        <v>4561</v>
      </c>
      <c r="H179" s="131" t="str">
        <f t="shared" si="2"/>
        <v>CO4</v>
      </c>
      <c r="I179" s="131" t="str" cm="1">
        <f t="array" ref="I179">LEFT(G179, MIN(IF(ISNUMBER(--MID(G179, _xlfn.SEQUENCE(LEN(G179)), 1)), _xlfn.SEQUENCE(LEN(G179)))) - 1)</f>
        <v>CO</v>
      </c>
      <c r="J179" s="129" t="str">
        <f>_xlfn.XLOOKUP(H179,'GK IFT SDM POSTCODES'!A:A,'GK IFT SDM POSTCODES'!B:B,"")</f>
        <v>Nikki Hayter</v>
      </c>
      <c r="K179" s="129"/>
    </row>
    <row r="180" spans="1:11" ht="17.25" x14ac:dyDescent="0.35">
      <c r="A180" s="131" t="s">
        <v>4160</v>
      </c>
      <c r="B180" s="128" t="s">
        <v>4220</v>
      </c>
      <c r="C180" s="129"/>
      <c r="D180" s="129"/>
      <c r="E180" s="129"/>
      <c r="F180" s="129"/>
      <c r="G180" s="128" t="s">
        <v>4562</v>
      </c>
      <c r="H180" s="131" t="str">
        <f t="shared" si="2"/>
        <v>CO4</v>
      </c>
      <c r="I180" s="131" t="str" cm="1">
        <f t="array" ref="I180">LEFT(G180, MIN(IF(ISNUMBER(--MID(G180, _xlfn.SEQUENCE(LEN(G180)), 1)), _xlfn.SEQUENCE(LEN(G180)))) - 1)</f>
        <v>CO</v>
      </c>
      <c r="J180" s="129" t="str">
        <f>_xlfn.XLOOKUP(H180,'GK IFT SDM POSTCODES'!A:A,'GK IFT SDM POSTCODES'!B:B,"")</f>
        <v>Nikki Hayter</v>
      </c>
      <c r="K180" s="129"/>
    </row>
    <row r="181" spans="1:11" ht="17.25" x14ac:dyDescent="0.35">
      <c r="A181" s="131" t="s">
        <v>4160</v>
      </c>
      <c r="B181" s="128" t="s">
        <v>4219</v>
      </c>
      <c r="C181" s="129"/>
      <c r="D181" s="129"/>
      <c r="E181" s="129"/>
      <c r="F181" s="129"/>
      <c r="G181" s="128" t="s">
        <v>206</v>
      </c>
      <c r="H181" s="131" t="str">
        <f t="shared" si="2"/>
        <v>CO4</v>
      </c>
      <c r="I181" s="131" t="str" cm="1">
        <f t="array" ref="I181">LEFT(G181, MIN(IF(ISNUMBER(--MID(G181, _xlfn.SEQUENCE(LEN(G181)), 1)), _xlfn.SEQUENCE(LEN(G181)))) - 1)</f>
        <v>CO</v>
      </c>
      <c r="J181" s="129" t="str">
        <f>_xlfn.XLOOKUP(H181,'GK IFT SDM POSTCODES'!A:A,'GK IFT SDM POSTCODES'!B:B,"")</f>
        <v>Nikki Hayter</v>
      </c>
      <c r="K181" s="129"/>
    </row>
    <row r="182" spans="1:11" ht="17.25" x14ac:dyDescent="0.35">
      <c r="A182" s="131" t="s">
        <v>4160</v>
      </c>
      <c r="B182" s="128" t="s">
        <v>4346</v>
      </c>
      <c r="C182" s="129"/>
      <c r="D182" s="129"/>
      <c r="E182" s="129"/>
      <c r="F182" s="129"/>
      <c r="G182" s="128" t="s">
        <v>328</v>
      </c>
      <c r="H182" s="131" t="str">
        <f t="shared" si="2"/>
        <v>CO4</v>
      </c>
      <c r="I182" s="131" t="str" cm="1">
        <f t="array" ref="I182">LEFT(G182, MIN(IF(ISNUMBER(--MID(G182, _xlfn.SEQUENCE(LEN(G182)), 1)), _xlfn.SEQUENCE(LEN(G182)))) - 1)</f>
        <v>CO</v>
      </c>
      <c r="J182" s="129" t="str">
        <f>_xlfn.XLOOKUP(H182,'GK IFT SDM POSTCODES'!A:A,'GK IFT SDM POSTCODES'!B:B,"")</f>
        <v>Nikki Hayter</v>
      </c>
      <c r="K182" s="129"/>
    </row>
    <row r="183" spans="1:11" ht="17.25" x14ac:dyDescent="0.35">
      <c r="A183" s="131" t="s">
        <v>4160</v>
      </c>
      <c r="B183" s="128" t="s">
        <v>4367</v>
      </c>
      <c r="C183" s="129"/>
      <c r="D183" s="129"/>
      <c r="E183" s="129"/>
      <c r="F183" s="129"/>
      <c r="G183" s="128" t="s">
        <v>4661</v>
      </c>
      <c r="H183" s="131" t="str">
        <f t="shared" si="2"/>
        <v>CO5</v>
      </c>
      <c r="I183" s="131" t="str" cm="1">
        <f t="array" ref="I183">LEFT(G183, MIN(IF(ISNUMBER(--MID(G183, _xlfn.SEQUENCE(LEN(G183)), 1)), _xlfn.SEQUENCE(LEN(G183)))) - 1)</f>
        <v>CO</v>
      </c>
      <c r="J183" s="129" t="str">
        <f>_xlfn.XLOOKUP(H183,'GK IFT SDM POSTCODES'!A:A,'GK IFT SDM POSTCODES'!B:B,"")</f>
        <v>Nikki Hayter</v>
      </c>
      <c r="K183" s="129"/>
    </row>
    <row r="184" spans="1:11" ht="17.25" x14ac:dyDescent="0.35">
      <c r="A184" s="131" t="s">
        <v>4160</v>
      </c>
      <c r="B184" s="128" t="s">
        <v>4343</v>
      </c>
      <c r="C184" s="129"/>
      <c r="D184" s="129"/>
      <c r="E184" s="129"/>
      <c r="F184" s="129"/>
      <c r="G184" s="128" t="s">
        <v>4643</v>
      </c>
      <c r="H184" s="131" t="str">
        <f t="shared" si="2"/>
        <v>CO5</v>
      </c>
      <c r="I184" s="131" t="str" cm="1">
        <f t="array" ref="I184">LEFT(G184, MIN(IF(ISNUMBER(--MID(G184, _xlfn.SEQUENCE(LEN(G184)), 1)), _xlfn.SEQUENCE(LEN(G184)))) - 1)</f>
        <v>CO</v>
      </c>
      <c r="J184" s="129" t="str">
        <f>_xlfn.XLOOKUP(H184,'GK IFT SDM POSTCODES'!A:A,'GK IFT SDM POSTCODES'!B:B,"")</f>
        <v>Nikki Hayter</v>
      </c>
      <c r="K184" s="129"/>
    </row>
    <row r="185" spans="1:11" ht="17.25" x14ac:dyDescent="0.35">
      <c r="A185" s="131" t="s">
        <v>4160</v>
      </c>
      <c r="B185" s="128" t="s">
        <v>4344</v>
      </c>
      <c r="C185" s="129"/>
      <c r="D185" s="129"/>
      <c r="E185" s="129"/>
      <c r="F185" s="129"/>
      <c r="G185" s="128" t="s">
        <v>4643</v>
      </c>
      <c r="H185" s="131" t="str">
        <f t="shared" si="2"/>
        <v>CO5</v>
      </c>
      <c r="I185" s="131" t="str" cm="1">
        <f t="array" ref="I185">LEFT(G185, MIN(IF(ISNUMBER(--MID(G185, _xlfn.SEQUENCE(LEN(G185)), 1)), _xlfn.SEQUENCE(LEN(G185)))) - 1)</f>
        <v>CO</v>
      </c>
      <c r="J185" s="129" t="str">
        <f>_xlfn.XLOOKUP(H185,'GK IFT SDM POSTCODES'!A:A,'GK IFT SDM POSTCODES'!B:B,"")</f>
        <v>Nikki Hayter</v>
      </c>
      <c r="K185" s="129"/>
    </row>
    <row r="186" spans="1:11" ht="17.25" x14ac:dyDescent="0.35">
      <c r="A186" s="131" t="s">
        <v>4160</v>
      </c>
      <c r="B186" s="128" t="s">
        <v>4345</v>
      </c>
      <c r="C186" s="129"/>
      <c r="D186" s="129"/>
      <c r="E186" s="129"/>
      <c r="F186" s="129"/>
      <c r="G186" s="128" t="s">
        <v>4644</v>
      </c>
      <c r="H186" s="131" t="str">
        <f t="shared" si="2"/>
        <v>CO5</v>
      </c>
      <c r="I186" s="131" t="str" cm="1">
        <f t="array" ref="I186">LEFT(G186, MIN(IF(ISNUMBER(--MID(G186, _xlfn.SEQUENCE(LEN(G186)), 1)), _xlfn.SEQUENCE(LEN(G186)))) - 1)</f>
        <v>CO</v>
      </c>
      <c r="J186" s="129" t="str">
        <f>_xlfn.XLOOKUP(H186,'GK IFT SDM POSTCODES'!A:A,'GK IFT SDM POSTCODES'!B:B,"")</f>
        <v>Nikki Hayter</v>
      </c>
      <c r="K186" s="129"/>
    </row>
    <row r="187" spans="1:11" ht="17.25" x14ac:dyDescent="0.35">
      <c r="A187" s="131" t="s">
        <v>4160</v>
      </c>
      <c r="B187" s="128" t="s">
        <v>4269</v>
      </c>
      <c r="C187" s="129"/>
      <c r="D187" s="129"/>
      <c r="E187" s="129"/>
      <c r="F187" s="129"/>
      <c r="G187" s="128" t="s">
        <v>309</v>
      </c>
      <c r="H187" s="131" t="str">
        <f t="shared" si="2"/>
        <v>CO5</v>
      </c>
      <c r="I187" s="131" t="str" cm="1">
        <f t="array" ref="I187">LEFT(G187, MIN(IF(ISNUMBER(--MID(G187, _xlfn.SEQUENCE(LEN(G187)), 1)), _xlfn.SEQUENCE(LEN(G187)))) - 1)</f>
        <v>CO</v>
      </c>
      <c r="J187" s="129" t="str">
        <f>_xlfn.XLOOKUP(H187,'GK IFT SDM POSTCODES'!A:A,'GK IFT SDM POSTCODES'!B:B,"")</f>
        <v>Nikki Hayter</v>
      </c>
      <c r="K187" s="129"/>
    </row>
    <row r="188" spans="1:11" ht="17.25" x14ac:dyDescent="0.35">
      <c r="A188" s="131" t="s">
        <v>4160</v>
      </c>
      <c r="B188" s="128" t="s">
        <v>4423</v>
      </c>
      <c r="C188" s="129"/>
      <c r="D188" s="129"/>
      <c r="E188" s="129"/>
      <c r="F188" s="129"/>
      <c r="G188" s="128" t="s">
        <v>310</v>
      </c>
      <c r="H188" s="131" t="str">
        <f t="shared" si="2"/>
        <v>CO5</v>
      </c>
      <c r="I188" s="131" t="str" cm="1">
        <f t="array" ref="I188">LEFT(G188, MIN(IF(ISNUMBER(--MID(G188, _xlfn.SEQUENCE(LEN(G188)), 1)), _xlfn.SEQUENCE(LEN(G188)))) - 1)</f>
        <v>CO</v>
      </c>
      <c r="J188" s="129" t="str">
        <f>_xlfn.XLOOKUP(H188,'GK IFT SDM POSTCODES'!A:A,'GK IFT SDM POSTCODES'!B:B,"")</f>
        <v>Nikki Hayter</v>
      </c>
      <c r="K188" s="129"/>
    </row>
    <row r="189" spans="1:11" ht="17.25" x14ac:dyDescent="0.35">
      <c r="A189" s="131" t="s">
        <v>4160</v>
      </c>
      <c r="B189" s="128" t="s">
        <v>4425</v>
      </c>
      <c r="C189" s="129"/>
      <c r="D189" s="129"/>
      <c r="E189" s="129"/>
      <c r="F189" s="129"/>
      <c r="G189" s="128" t="s">
        <v>310</v>
      </c>
      <c r="H189" s="131" t="str">
        <f t="shared" si="2"/>
        <v>CO5</v>
      </c>
      <c r="I189" s="131" t="str" cm="1">
        <f t="array" ref="I189">LEFT(G189, MIN(IF(ISNUMBER(--MID(G189, _xlfn.SEQUENCE(LEN(G189)), 1)), _xlfn.SEQUENCE(LEN(G189)))) - 1)</f>
        <v>CO</v>
      </c>
      <c r="J189" s="129" t="str">
        <f>_xlfn.XLOOKUP(H189,'GK IFT SDM POSTCODES'!A:A,'GK IFT SDM POSTCODES'!B:B,"")</f>
        <v>Nikki Hayter</v>
      </c>
      <c r="K189" s="129"/>
    </row>
    <row r="190" spans="1:11" ht="17.25" x14ac:dyDescent="0.35">
      <c r="A190" s="131" t="s">
        <v>4160</v>
      </c>
      <c r="B190" s="128" t="s">
        <v>4254</v>
      </c>
      <c r="C190" s="129"/>
      <c r="D190" s="129"/>
      <c r="E190" s="129"/>
      <c r="F190" s="129"/>
      <c r="G190" s="128" t="s">
        <v>4578</v>
      </c>
      <c r="H190" s="131" t="str">
        <f t="shared" si="2"/>
        <v>CO5</v>
      </c>
      <c r="I190" s="131" t="str" cm="1">
        <f t="array" ref="I190">LEFT(G190, MIN(IF(ISNUMBER(--MID(G190, _xlfn.SEQUENCE(LEN(G190)), 1)), _xlfn.SEQUENCE(LEN(G190)))) - 1)</f>
        <v>CO</v>
      </c>
      <c r="J190" s="129" t="str">
        <f>_xlfn.XLOOKUP(H190,'GK IFT SDM POSTCODES'!A:A,'GK IFT SDM POSTCODES'!B:B,"")</f>
        <v>Nikki Hayter</v>
      </c>
      <c r="K190" s="129"/>
    </row>
    <row r="191" spans="1:11" ht="17.25" x14ac:dyDescent="0.35">
      <c r="A191" s="131" t="s">
        <v>4160</v>
      </c>
      <c r="B191" s="128" t="s">
        <v>4307</v>
      </c>
      <c r="C191" s="129"/>
      <c r="D191" s="129"/>
      <c r="E191" s="129"/>
      <c r="F191" s="129"/>
      <c r="G191" s="128" t="s">
        <v>208</v>
      </c>
      <c r="H191" s="131" t="str">
        <f t="shared" si="2"/>
        <v>CO5</v>
      </c>
      <c r="I191" s="131" t="str" cm="1">
        <f t="array" ref="I191">LEFT(G191, MIN(IF(ISNUMBER(--MID(G191, _xlfn.SEQUENCE(LEN(G191)), 1)), _xlfn.SEQUENCE(LEN(G191)))) - 1)</f>
        <v>CO</v>
      </c>
      <c r="J191" s="129" t="str">
        <f>_xlfn.XLOOKUP(H191,'GK IFT SDM POSTCODES'!A:A,'GK IFT SDM POSTCODES'!B:B,"")</f>
        <v>Nikki Hayter</v>
      </c>
      <c r="K191" s="129"/>
    </row>
    <row r="192" spans="1:11" ht="17.25" x14ac:dyDescent="0.35">
      <c r="A192" s="131" t="s">
        <v>4160</v>
      </c>
      <c r="B192" s="128" t="s">
        <v>3676</v>
      </c>
      <c r="C192" s="129"/>
      <c r="D192" s="129"/>
      <c r="E192" s="129"/>
      <c r="F192" s="129"/>
      <c r="G192" s="128" t="s">
        <v>3677</v>
      </c>
      <c r="H192" s="131" t="str">
        <f t="shared" si="2"/>
        <v>CO5</v>
      </c>
      <c r="I192" s="131" t="str" cm="1">
        <f t="array" ref="I192">LEFT(G192, MIN(IF(ISNUMBER(--MID(G192, _xlfn.SEQUENCE(LEN(G192)), 1)), _xlfn.SEQUENCE(LEN(G192)))) - 1)</f>
        <v>CO</v>
      </c>
      <c r="J192" s="129" t="str">
        <f>_xlfn.XLOOKUP(H192,'GK IFT SDM POSTCODES'!A:A,'GK IFT SDM POSTCODES'!B:B,"")</f>
        <v>Nikki Hayter</v>
      </c>
      <c r="K192" s="129"/>
    </row>
    <row r="193" spans="1:11" ht="21" x14ac:dyDescent="0.35">
      <c r="A193" s="130" t="s">
        <v>4065</v>
      </c>
      <c r="B193" s="127" t="s">
        <v>209</v>
      </c>
      <c r="C193" s="127" t="s">
        <v>3341</v>
      </c>
      <c r="D193" s="133"/>
      <c r="E193" s="127" t="s">
        <v>13</v>
      </c>
      <c r="F193" s="133"/>
      <c r="G193" s="127" t="s">
        <v>210</v>
      </c>
      <c r="H193" s="131" t="str">
        <f t="shared" si="2"/>
        <v>CO5</v>
      </c>
      <c r="I193" s="131" t="str" cm="1">
        <f t="array" ref="I193">LEFT(G193, MIN(IF(ISNUMBER(--MID(G193, _xlfn.SEQUENCE(LEN(G193)), 1)), _xlfn.SEQUENCE(LEN(G193)))) - 1)</f>
        <v>CO</v>
      </c>
      <c r="J193" s="127" t="s">
        <v>4079</v>
      </c>
      <c r="K193" s="129"/>
    </row>
    <row r="194" spans="1:11" ht="17.25" x14ac:dyDescent="0.35">
      <c r="A194" s="131" t="s">
        <v>4160</v>
      </c>
      <c r="B194" s="128" t="s">
        <v>4306</v>
      </c>
      <c r="C194" s="129"/>
      <c r="D194" s="129"/>
      <c r="E194" s="129"/>
      <c r="F194" s="129"/>
      <c r="G194" s="128" t="s">
        <v>4618</v>
      </c>
      <c r="H194" s="131" t="str">
        <f t="shared" ref="H194:H257" si="3">_xlfn.TEXTBEFORE(G194," ")</f>
        <v>CO5</v>
      </c>
      <c r="I194" s="131" t="str" cm="1">
        <f t="array" ref="I194">LEFT(G194, MIN(IF(ISNUMBER(--MID(G194, _xlfn.SEQUENCE(LEN(G194)), 1)), _xlfn.SEQUENCE(LEN(G194)))) - 1)</f>
        <v>CO</v>
      </c>
      <c r="J194" s="129" t="str">
        <f>_xlfn.XLOOKUP(H194,'GK IFT SDM POSTCODES'!A:A,'GK IFT SDM POSTCODES'!B:B,"")</f>
        <v>Nikki Hayter</v>
      </c>
      <c r="K194" s="129"/>
    </row>
    <row r="195" spans="1:11" ht="17.25" x14ac:dyDescent="0.35">
      <c r="A195" s="131" t="s">
        <v>3718</v>
      </c>
      <c r="B195" s="131" t="s">
        <v>479</v>
      </c>
      <c r="C195" s="131" t="s">
        <v>3774</v>
      </c>
      <c r="D195" s="131" t="s">
        <v>3775</v>
      </c>
      <c r="E195" s="131" t="s">
        <v>13</v>
      </c>
      <c r="F195" s="131" t="s">
        <v>3183</v>
      </c>
      <c r="G195" s="131" t="s">
        <v>377</v>
      </c>
      <c r="H195" s="131" t="str">
        <f t="shared" si="3"/>
        <v>CO6</v>
      </c>
      <c r="I195" s="131" t="str" cm="1">
        <f t="array" ref="I195">LEFT(G195, MIN(IF(ISNUMBER(--MID(G195, _xlfn.SEQUENCE(LEN(G195)), 1)), _xlfn.SEQUENCE(LEN(G195)))) - 1)</f>
        <v>CO</v>
      </c>
      <c r="J195" s="131" t="s">
        <v>3756</v>
      </c>
      <c r="K195" s="129"/>
    </row>
    <row r="196" spans="1:11" ht="17.25" x14ac:dyDescent="0.35">
      <c r="A196" s="129" t="s">
        <v>498</v>
      </c>
      <c r="B196" s="137" t="s">
        <v>5196</v>
      </c>
      <c r="C196" s="137" t="s">
        <v>5197</v>
      </c>
      <c r="D196" s="129"/>
      <c r="E196" s="137" t="s">
        <v>13</v>
      </c>
      <c r="F196" s="129"/>
      <c r="G196" s="137" t="s">
        <v>373</v>
      </c>
      <c r="H196" s="131" t="str">
        <f t="shared" si="3"/>
        <v>CO6</v>
      </c>
      <c r="I196" s="131" t="str" cm="1">
        <f t="array" ref="I196">LEFT(G196, MIN(IF(ISNUMBER(--MID(G196, _xlfn.SEQUENCE(LEN(G196)), 1)), _xlfn.SEQUENCE(LEN(G196)))) - 1)</f>
        <v>CO</v>
      </c>
      <c r="J196" s="137" t="s">
        <v>5141</v>
      </c>
      <c r="K196" s="129"/>
    </row>
    <row r="197" spans="1:11" ht="17.25" x14ac:dyDescent="0.35">
      <c r="A197" s="131" t="s">
        <v>4160</v>
      </c>
      <c r="B197" s="128" t="s">
        <v>4164</v>
      </c>
      <c r="C197" s="129"/>
      <c r="D197" s="129"/>
      <c r="E197" s="129"/>
      <c r="F197" s="129"/>
      <c r="G197" s="128" t="s">
        <v>4521</v>
      </c>
      <c r="H197" s="131" t="str">
        <f t="shared" si="3"/>
        <v>CO6</v>
      </c>
      <c r="I197" s="131" t="str" cm="1">
        <f t="array" ref="I197">LEFT(G197, MIN(IF(ISNUMBER(--MID(G197, _xlfn.SEQUENCE(LEN(G197)), 1)), _xlfn.SEQUENCE(LEN(G197)))) - 1)</f>
        <v>CO</v>
      </c>
      <c r="J197" s="129" t="str">
        <f>_xlfn.XLOOKUP(H197,'GK IFT SDM POSTCODES'!A:A,'GK IFT SDM POSTCODES'!B:B,"")</f>
        <v>Nikki Hayter</v>
      </c>
      <c r="K197" s="129"/>
    </row>
    <row r="198" spans="1:11" ht="17.25" x14ac:dyDescent="0.35">
      <c r="A198" s="129" t="s">
        <v>498</v>
      </c>
      <c r="B198" s="137" t="s">
        <v>5257</v>
      </c>
      <c r="C198" s="137" t="s">
        <v>5256</v>
      </c>
      <c r="D198" s="129"/>
      <c r="E198" s="137" t="s">
        <v>5254</v>
      </c>
      <c r="F198" s="129"/>
      <c r="G198" s="137" t="s">
        <v>5253</v>
      </c>
      <c r="H198" s="131" t="str">
        <f t="shared" si="3"/>
        <v>CO6</v>
      </c>
      <c r="I198" s="131" t="str" cm="1">
        <f t="array" ref="I198">LEFT(G198, MIN(IF(ISNUMBER(--MID(G198, _xlfn.SEQUENCE(LEN(G198)), 1)), _xlfn.SEQUENCE(LEN(G198)))) - 1)</f>
        <v>CO</v>
      </c>
      <c r="J198" s="137" t="s">
        <v>5141</v>
      </c>
      <c r="K198" s="129"/>
    </row>
    <row r="199" spans="1:11" ht="17.25" x14ac:dyDescent="0.35">
      <c r="A199" s="131" t="s">
        <v>4160</v>
      </c>
      <c r="B199" s="128" t="s">
        <v>4221</v>
      </c>
      <c r="C199" s="129"/>
      <c r="D199" s="129"/>
      <c r="E199" s="129"/>
      <c r="F199" s="129"/>
      <c r="G199" s="128" t="s">
        <v>376</v>
      </c>
      <c r="H199" s="131" t="str">
        <f t="shared" si="3"/>
        <v>CO6</v>
      </c>
      <c r="I199" s="131" t="str" cm="1">
        <f t="array" ref="I199">LEFT(G199, MIN(IF(ISNUMBER(--MID(G199, _xlfn.SEQUENCE(LEN(G199)), 1)), _xlfn.SEQUENCE(LEN(G199)))) - 1)</f>
        <v>CO</v>
      </c>
      <c r="J199" s="129" t="str">
        <f>_xlfn.XLOOKUP(H199,'GK IFT SDM POSTCODES'!A:A,'GK IFT SDM POSTCODES'!B:B,"")</f>
        <v>Nikki Hayter</v>
      </c>
      <c r="K199" s="129"/>
    </row>
    <row r="200" spans="1:11" ht="17.25" x14ac:dyDescent="0.35">
      <c r="A200" s="131" t="s">
        <v>4160</v>
      </c>
      <c r="B200" s="128" t="s">
        <v>4244</v>
      </c>
      <c r="C200" s="129"/>
      <c r="D200" s="129"/>
      <c r="E200" s="129"/>
      <c r="F200" s="129"/>
      <c r="G200" s="128" t="s">
        <v>452</v>
      </c>
      <c r="H200" s="131" t="str">
        <f t="shared" si="3"/>
        <v>CO6</v>
      </c>
      <c r="I200" s="131" t="str" cm="1">
        <f t="array" ref="I200">LEFT(G200, MIN(IF(ISNUMBER(--MID(G200, _xlfn.SEQUENCE(LEN(G200)), 1)), _xlfn.SEQUENCE(LEN(G200)))) - 1)</f>
        <v>CO</v>
      </c>
      <c r="J200" s="129" t="str">
        <f>_xlfn.XLOOKUP(H200,'GK IFT SDM POSTCODES'!A:A,'GK IFT SDM POSTCODES'!B:B,"")</f>
        <v>Nikki Hayter</v>
      </c>
    </row>
    <row r="201" spans="1:11" ht="17.25" x14ac:dyDescent="0.35">
      <c r="A201" s="131" t="s">
        <v>4160</v>
      </c>
      <c r="B201" s="128" t="s">
        <v>4241</v>
      </c>
      <c r="C201" s="129"/>
      <c r="D201" s="129"/>
      <c r="E201" s="129"/>
      <c r="F201" s="129"/>
      <c r="G201" s="128" t="s">
        <v>374</v>
      </c>
      <c r="H201" s="131" t="str">
        <f t="shared" si="3"/>
        <v>CO6</v>
      </c>
      <c r="I201" s="131" t="str" cm="1">
        <f t="array" ref="I201">LEFT(G201, MIN(IF(ISNUMBER(--MID(G201, _xlfn.SEQUENCE(LEN(G201)), 1)), _xlfn.SEQUENCE(LEN(G201)))) - 1)</f>
        <v>CO</v>
      </c>
      <c r="J201" s="129" t="str">
        <f>_xlfn.XLOOKUP(H201,'GK IFT SDM POSTCODES'!A:A,'GK IFT SDM POSTCODES'!B:B,"")</f>
        <v>Nikki Hayter</v>
      </c>
    </row>
    <row r="202" spans="1:11" ht="17.25" x14ac:dyDescent="0.35">
      <c r="A202" s="129" t="s">
        <v>498</v>
      </c>
      <c r="B202" s="137" t="s">
        <v>5258</v>
      </c>
      <c r="C202" s="137" t="s">
        <v>89</v>
      </c>
      <c r="D202" s="129"/>
      <c r="E202" s="137" t="s">
        <v>5255</v>
      </c>
      <c r="F202" s="129"/>
      <c r="G202" s="137" t="s">
        <v>374</v>
      </c>
      <c r="H202" s="131" t="str">
        <f t="shared" si="3"/>
        <v>CO6</v>
      </c>
      <c r="I202" s="131" t="str" cm="1">
        <f t="array" ref="I202">LEFT(G202, MIN(IF(ISNUMBER(--MID(G202, _xlfn.SEQUENCE(LEN(G202)), 1)), _xlfn.SEQUENCE(LEN(G202)))) - 1)</f>
        <v>CO</v>
      </c>
      <c r="J202" s="137" t="s">
        <v>5141</v>
      </c>
      <c r="K202" s="129"/>
    </row>
    <row r="203" spans="1:11" ht="17.25" x14ac:dyDescent="0.35">
      <c r="A203" s="131" t="s">
        <v>4160</v>
      </c>
      <c r="B203" s="128" t="s">
        <v>4454</v>
      </c>
      <c r="C203" s="129"/>
      <c r="D203" s="129"/>
      <c r="E203" s="129"/>
      <c r="F203" s="129"/>
      <c r="G203" s="128" t="s">
        <v>4714</v>
      </c>
      <c r="H203" s="131" t="str">
        <f t="shared" si="3"/>
        <v>CO6</v>
      </c>
      <c r="I203" s="131" t="str" cm="1">
        <f t="array" ref="I203">LEFT(G203, MIN(IF(ISNUMBER(--MID(G203, _xlfn.SEQUENCE(LEN(G203)), 1)), _xlfn.SEQUENCE(LEN(G203)))) - 1)</f>
        <v>CO</v>
      </c>
      <c r="J203" s="129" t="str">
        <f>_xlfn.XLOOKUP(H203,'GK IFT SDM POSTCODES'!A:A,'GK IFT SDM POSTCODES'!B:B,"")</f>
        <v>Nikki Hayter</v>
      </c>
      <c r="K203" s="129"/>
    </row>
    <row r="204" spans="1:11" s="133" customFormat="1" ht="17.25" x14ac:dyDescent="0.35">
      <c r="A204" s="131" t="s">
        <v>4160</v>
      </c>
      <c r="B204" s="128" t="s">
        <v>4453</v>
      </c>
      <c r="C204" s="129"/>
      <c r="D204" s="129"/>
      <c r="E204" s="129"/>
      <c r="F204" s="129"/>
      <c r="G204" s="128" t="s">
        <v>4713</v>
      </c>
      <c r="H204" s="131" t="str">
        <f t="shared" si="3"/>
        <v>CO6</v>
      </c>
      <c r="I204" s="131" t="str" cm="1">
        <f t="array" ref="I204">LEFT(G204, MIN(IF(ISNUMBER(--MID(G204, _xlfn.SEQUENCE(LEN(G204)), 1)), _xlfn.SEQUENCE(LEN(G204)))) - 1)</f>
        <v>CO</v>
      </c>
      <c r="J204" s="129" t="str">
        <f>_xlfn.XLOOKUP(H204,'GK IFT SDM POSTCODES'!A:A,'GK IFT SDM POSTCODES'!B:B,"")</f>
        <v>Nikki Hayter</v>
      </c>
    </row>
    <row r="205" spans="1:11" s="133" customFormat="1" ht="17.25" x14ac:dyDescent="0.35">
      <c r="A205" s="134" t="s">
        <v>7</v>
      </c>
      <c r="B205" s="134" t="s">
        <v>4019</v>
      </c>
      <c r="C205" s="134" t="s">
        <v>4001</v>
      </c>
      <c r="D205" s="129"/>
      <c r="E205" s="134" t="s">
        <v>13</v>
      </c>
      <c r="F205" s="134" t="s">
        <v>3183</v>
      </c>
      <c r="G205" s="134" t="s">
        <v>3993</v>
      </c>
      <c r="H205" s="131" t="str">
        <f t="shared" si="3"/>
        <v>CO6</v>
      </c>
      <c r="I205" s="131" t="str" cm="1">
        <f t="array" ref="I205">LEFT(G205, MIN(IF(ISNUMBER(--MID(G205, _xlfn.SEQUENCE(LEN(G205)), 1)), _xlfn.SEQUENCE(LEN(G205)))) - 1)</f>
        <v>CO</v>
      </c>
      <c r="J205" s="146" t="s">
        <v>6231</v>
      </c>
    </row>
    <row r="206" spans="1:11" s="133" customFormat="1" ht="17.25" x14ac:dyDescent="0.35">
      <c r="A206" s="131" t="s">
        <v>4160</v>
      </c>
      <c r="B206" s="128" t="s">
        <v>4287</v>
      </c>
      <c r="C206" s="129"/>
      <c r="D206" s="129"/>
      <c r="E206" s="129"/>
      <c r="F206" s="129"/>
      <c r="G206" s="128" t="s">
        <v>4604</v>
      </c>
      <c r="H206" s="131" t="str">
        <f t="shared" si="3"/>
        <v>CO6</v>
      </c>
      <c r="I206" s="131" t="str" cm="1">
        <f t="array" ref="I206">LEFT(G206, MIN(IF(ISNUMBER(--MID(G206, _xlfn.SEQUENCE(LEN(G206)), 1)), _xlfn.SEQUENCE(LEN(G206)))) - 1)</f>
        <v>CO</v>
      </c>
      <c r="J206" s="129" t="str">
        <f>_xlfn.XLOOKUP(H206,'GK IFT SDM POSTCODES'!A:A,'GK IFT SDM POSTCODES'!B:B,"")</f>
        <v>Nikki Hayter</v>
      </c>
    </row>
    <row r="207" spans="1:11" s="133" customFormat="1" ht="17.25" x14ac:dyDescent="0.35">
      <c r="A207" s="131" t="s">
        <v>4160</v>
      </c>
      <c r="B207" s="128" t="s">
        <v>4215</v>
      </c>
      <c r="C207" s="129"/>
      <c r="D207" s="129"/>
      <c r="E207" s="129"/>
      <c r="F207" s="129"/>
      <c r="G207" s="128" t="s">
        <v>4558</v>
      </c>
      <c r="H207" s="131" t="str">
        <f t="shared" si="3"/>
        <v>CO6</v>
      </c>
      <c r="I207" s="131" t="str" cm="1">
        <f t="array" ref="I207">LEFT(G207, MIN(IF(ISNUMBER(--MID(G207, _xlfn.SEQUENCE(LEN(G207)), 1)), _xlfn.SEQUENCE(LEN(G207)))) - 1)</f>
        <v>CO</v>
      </c>
      <c r="J207" s="129" t="str">
        <f>_xlfn.XLOOKUP(H207,'GK IFT SDM POSTCODES'!A:A,'GK IFT SDM POSTCODES'!B:B,"")</f>
        <v>Nikki Hayter</v>
      </c>
    </row>
    <row r="208" spans="1:11" s="133" customFormat="1" ht="17.25" x14ac:dyDescent="0.35">
      <c r="A208" s="131" t="s">
        <v>4160</v>
      </c>
      <c r="B208" s="128" t="s">
        <v>4189</v>
      </c>
      <c r="C208" s="129"/>
      <c r="D208" s="129"/>
      <c r="E208" s="129"/>
      <c r="F208" s="129"/>
      <c r="G208" s="128" t="s">
        <v>4539</v>
      </c>
      <c r="H208" s="131" t="str">
        <f t="shared" si="3"/>
        <v>CO6</v>
      </c>
      <c r="I208" s="131" t="str" cm="1">
        <f t="array" ref="I208">LEFT(G208, MIN(IF(ISNUMBER(--MID(G208, _xlfn.SEQUENCE(LEN(G208)), 1)), _xlfn.SEQUENCE(LEN(G208)))) - 1)</f>
        <v>CO</v>
      </c>
      <c r="J208" s="129" t="str">
        <f>_xlfn.XLOOKUP(H208,'GK IFT SDM POSTCODES'!A:A,'GK IFT SDM POSTCODES'!B:B,"")</f>
        <v>Nikki Hayter</v>
      </c>
    </row>
    <row r="209" spans="1:10" s="133" customFormat="1" ht="21" x14ac:dyDescent="0.35">
      <c r="A209" s="130" t="s">
        <v>4065</v>
      </c>
      <c r="B209" s="127" t="s">
        <v>111</v>
      </c>
      <c r="C209" s="127" t="s">
        <v>617</v>
      </c>
      <c r="E209" s="127" t="s">
        <v>13</v>
      </c>
      <c r="G209" s="127" t="s">
        <v>112</v>
      </c>
      <c r="H209" s="131" t="str">
        <f t="shared" si="3"/>
        <v>CO7</v>
      </c>
      <c r="I209" s="131" t="str" cm="1">
        <f t="array" ref="I209">LEFT(G209, MIN(IF(ISNUMBER(--MID(G209, _xlfn.SEQUENCE(LEN(G209)), 1)), _xlfn.SEQUENCE(LEN(G209)))) - 1)</f>
        <v>CO</v>
      </c>
      <c r="J209" s="127" t="s">
        <v>4064</v>
      </c>
    </row>
    <row r="210" spans="1:10" s="133" customFormat="1" ht="17.25" x14ac:dyDescent="0.35">
      <c r="A210" s="131" t="s">
        <v>3718</v>
      </c>
      <c r="B210" s="131" t="s">
        <v>467</v>
      </c>
      <c r="C210" s="131" t="s">
        <v>3188</v>
      </c>
      <c r="D210" s="131" t="s">
        <v>3776</v>
      </c>
      <c r="E210" s="131" t="s">
        <v>13</v>
      </c>
      <c r="F210" s="131" t="s">
        <v>3183</v>
      </c>
      <c r="G210" s="131" t="s">
        <v>117</v>
      </c>
      <c r="H210" s="131" t="str">
        <f t="shared" si="3"/>
        <v>CO7</v>
      </c>
      <c r="I210" s="131" t="str" cm="1">
        <f t="array" ref="I210">LEFT(G210, MIN(IF(ISNUMBER(--MID(G210, _xlfn.SEQUENCE(LEN(G210)), 1)), _xlfn.SEQUENCE(LEN(G210)))) - 1)</f>
        <v>CO</v>
      </c>
      <c r="J210" s="131" t="s">
        <v>3756</v>
      </c>
    </row>
    <row r="211" spans="1:10" s="133" customFormat="1" ht="17.25" x14ac:dyDescent="0.35">
      <c r="A211" s="131" t="s">
        <v>4160</v>
      </c>
      <c r="B211" s="128" t="s">
        <v>4271</v>
      </c>
      <c r="C211" s="129"/>
      <c r="D211" s="129"/>
      <c r="E211" s="129"/>
      <c r="F211" s="129"/>
      <c r="G211" s="128" t="s">
        <v>4590</v>
      </c>
      <c r="H211" s="131" t="str">
        <f t="shared" si="3"/>
        <v>CO7</v>
      </c>
      <c r="I211" s="131" t="str" cm="1">
        <f t="array" ref="I211">LEFT(G211, MIN(IF(ISNUMBER(--MID(G211, _xlfn.SEQUENCE(LEN(G211)), 1)), _xlfn.SEQUENCE(LEN(G211)))) - 1)</f>
        <v>CO</v>
      </c>
      <c r="J211" s="129" t="str">
        <f>_xlfn.XLOOKUP(H211,'GK IFT SDM POSTCODES'!A:A,'GK IFT SDM POSTCODES'!B:B,"")</f>
        <v>Nikki Hayter</v>
      </c>
    </row>
    <row r="212" spans="1:10" s="133" customFormat="1" ht="17.25" x14ac:dyDescent="0.35">
      <c r="A212" s="131" t="s">
        <v>4160</v>
      </c>
      <c r="B212" s="128" t="s">
        <v>4341</v>
      </c>
      <c r="C212" s="129"/>
      <c r="D212" s="129"/>
      <c r="E212" s="129"/>
      <c r="F212" s="129"/>
      <c r="G212" s="128" t="s">
        <v>4590</v>
      </c>
      <c r="H212" s="131" t="str">
        <f t="shared" si="3"/>
        <v>CO7</v>
      </c>
      <c r="I212" s="131" t="str" cm="1">
        <f t="array" ref="I212">LEFT(G212, MIN(IF(ISNUMBER(--MID(G212, _xlfn.SEQUENCE(LEN(G212)), 1)), _xlfn.SEQUENCE(LEN(G212)))) - 1)</f>
        <v>CO</v>
      </c>
      <c r="J212" s="129" t="str">
        <f>_xlfn.XLOOKUP(H212,'GK IFT SDM POSTCODES'!A:A,'GK IFT SDM POSTCODES'!B:B,"")</f>
        <v>Nikki Hayter</v>
      </c>
    </row>
    <row r="213" spans="1:10" s="133" customFormat="1" ht="17.25" x14ac:dyDescent="0.35">
      <c r="A213" s="131" t="s">
        <v>4160</v>
      </c>
      <c r="B213" s="128" t="s">
        <v>4188</v>
      </c>
      <c r="C213" s="129"/>
      <c r="D213" s="129"/>
      <c r="E213" s="129"/>
      <c r="F213" s="129"/>
      <c r="G213" s="128" t="s">
        <v>115</v>
      </c>
      <c r="H213" s="131" t="str">
        <f t="shared" si="3"/>
        <v>CO7</v>
      </c>
      <c r="I213" s="131" t="str" cm="1">
        <f t="array" ref="I213">LEFT(G213, MIN(IF(ISNUMBER(--MID(G213, _xlfn.SEQUENCE(LEN(G213)), 1)), _xlfn.SEQUENCE(LEN(G213)))) - 1)</f>
        <v>CO</v>
      </c>
      <c r="J213" s="129" t="str">
        <f>_xlfn.XLOOKUP(H213,'GK IFT SDM POSTCODES'!A:A,'GK IFT SDM POSTCODES'!B:B,"")</f>
        <v>Nikki Hayter</v>
      </c>
    </row>
    <row r="214" spans="1:10" s="133" customFormat="1" ht="17.25" x14ac:dyDescent="0.35">
      <c r="A214" s="131" t="s">
        <v>4160</v>
      </c>
      <c r="B214" s="128" t="s">
        <v>4313</v>
      </c>
      <c r="C214" s="129"/>
      <c r="D214" s="129"/>
      <c r="E214" s="129"/>
      <c r="F214" s="129"/>
      <c r="G214" s="128" t="s">
        <v>114</v>
      </c>
      <c r="H214" s="131" t="str">
        <f t="shared" si="3"/>
        <v>CO7</v>
      </c>
      <c r="I214" s="131" t="str" cm="1">
        <f t="array" ref="I214">LEFT(G214, MIN(IF(ISNUMBER(--MID(G214, _xlfn.SEQUENCE(LEN(G214)), 1)), _xlfn.SEQUENCE(LEN(G214)))) - 1)</f>
        <v>CO</v>
      </c>
      <c r="J214" s="129" t="str">
        <f>_xlfn.XLOOKUP(H214,'GK IFT SDM POSTCODES'!A:A,'GK IFT SDM POSTCODES'!B:B,"")</f>
        <v>Nikki Hayter</v>
      </c>
    </row>
    <row r="215" spans="1:10" s="133" customFormat="1" ht="17.25" x14ac:dyDescent="0.35">
      <c r="A215" s="129" t="s">
        <v>498</v>
      </c>
      <c r="B215" s="137" t="s">
        <v>5198</v>
      </c>
      <c r="C215" s="137" t="s">
        <v>5199</v>
      </c>
      <c r="D215" s="129"/>
      <c r="E215" s="137" t="s">
        <v>13</v>
      </c>
      <c r="F215" s="129"/>
      <c r="G215" s="137" t="s">
        <v>3610</v>
      </c>
      <c r="H215" s="131" t="str">
        <f t="shared" si="3"/>
        <v>CO7</v>
      </c>
      <c r="I215" s="131" t="str" cm="1">
        <f t="array" ref="I215">LEFT(G215, MIN(IF(ISNUMBER(--MID(G215, _xlfn.SEQUENCE(LEN(G215)), 1)), _xlfn.SEQUENCE(LEN(G215)))) - 1)</f>
        <v>CO</v>
      </c>
      <c r="J215" s="137" t="s">
        <v>5141</v>
      </c>
    </row>
    <row r="216" spans="1:10" s="133" customFormat="1" ht="17.25" x14ac:dyDescent="0.35">
      <c r="A216" s="131" t="s">
        <v>4160</v>
      </c>
      <c r="B216" s="128" t="s">
        <v>4192</v>
      </c>
      <c r="C216" s="129"/>
      <c r="D216" s="129"/>
      <c r="E216" s="129"/>
      <c r="F216" s="129"/>
      <c r="G216" s="128" t="s">
        <v>4541</v>
      </c>
      <c r="H216" s="131" t="str">
        <f t="shared" si="3"/>
        <v>CO7</v>
      </c>
      <c r="I216" s="131" t="str" cm="1">
        <f t="array" ref="I216">LEFT(G216, MIN(IF(ISNUMBER(--MID(G216, _xlfn.SEQUENCE(LEN(G216)), 1)), _xlfn.SEQUENCE(LEN(G216)))) - 1)</f>
        <v>CO</v>
      </c>
      <c r="J216" s="129" t="str">
        <f>_xlfn.XLOOKUP(H216,'GK IFT SDM POSTCODES'!A:A,'GK IFT SDM POSTCODES'!B:B,"")</f>
        <v>Nikki Hayter</v>
      </c>
    </row>
    <row r="217" spans="1:10" s="133" customFormat="1" ht="17.25" x14ac:dyDescent="0.35">
      <c r="A217" s="131" t="s">
        <v>4160</v>
      </c>
      <c r="B217" s="128" t="s">
        <v>4438</v>
      </c>
      <c r="C217" s="129"/>
      <c r="D217" s="129"/>
      <c r="E217" s="129"/>
      <c r="F217" s="129"/>
      <c r="G217" s="128" t="s">
        <v>4703</v>
      </c>
      <c r="H217" s="131" t="str">
        <f t="shared" si="3"/>
        <v>CO7</v>
      </c>
      <c r="I217" s="131" t="str" cm="1">
        <f t="array" ref="I217">LEFT(G217, MIN(IF(ISNUMBER(--MID(G217, _xlfn.SEQUENCE(LEN(G217)), 1)), _xlfn.SEQUENCE(LEN(G217)))) - 1)</f>
        <v>CO</v>
      </c>
      <c r="J217" s="129" t="str">
        <f>_xlfn.XLOOKUP(H217,'GK IFT SDM POSTCODES'!A:A,'GK IFT SDM POSTCODES'!B:B,"")</f>
        <v>Nikki Hayter</v>
      </c>
    </row>
    <row r="218" spans="1:10" s="133" customFormat="1" ht="17.25" x14ac:dyDescent="0.35">
      <c r="A218" s="131" t="s">
        <v>4160</v>
      </c>
      <c r="B218" s="136" t="s">
        <v>4504</v>
      </c>
      <c r="C218" s="129"/>
      <c r="D218" s="129"/>
      <c r="E218" s="129"/>
      <c r="F218" s="129"/>
      <c r="G218" s="136" t="s">
        <v>4745</v>
      </c>
      <c r="H218" s="131" t="str">
        <f t="shared" si="3"/>
        <v>CO7</v>
      </c>
      <c r="I218" s="131" t="str" cm="1">
        <f t="array" ref="I218">LEFT(G218, MIN(IF(ISNUMBER(--MID(G218, _xlfn.SEQUENCE(LEN(G218)), 1)), _xlfn.SEQUENCE(LEN(G218)))) - 1)</f>
        <v>CO</v>
      </c>
      <c r="J218" s="129" t="str">
        <f>_xlfn.XLOOKUP(H218,'GK IFT SDM POSTCODES'!A:A,'GK IFT SDM POSTCODES'!B:B,"")</f>
        <v>Nikki Hayter</v>
      </c>
    </row>
    <row r="219" spans="1:10" s="133" customFormat="1" ht="17.25" x14ac:dyDescent="0.35">
      <c r="A219" s="131" t="s">
        <v>4160</v>
      </c>
      <c r="B219" s="136" t="s">
        <v>4512</v>
      </c>
      <c r="C219" s="129"/>
      <c r="D219" s="129"/>
      <c r="E219" s="129"/>
      <c r="F219" s="129"/>
      <c r="G219" s="136" t="s">
        <v>4753</v>
      </c>
      <c r="H219" s="131" t="str">
        <f t="shared" si="3"/>
        <v>CO7</v>
      </c>
      <c r="I219" s="131" t="str" cm="1">
        <f t="array" ref="I219">LEFT(G219, MIN(IF(ISNUMBER(--MID(G219, _xlfn.SEQUENCE(LEN(G219)), 1)), _xlfn.SEQUENCE(LEN(G219)))) - 1)</f>
        <v>CO</v>
      </c>
      <c r="J219" s="129" t="str">
        <f>_xlfn.XLOOKUP(H219,'GK IFT SDM POSTCODES'!A:A,'GK IFT SDM POSTCODES'!B:B,"")</f>
        <v>Nikki Hayter</v>
      </c>
    </row>
    <row r="220" spans="1:10" s="133" customFormat="1" ht="17.25" x14ac:dyDescent="0.35">
      <c r="A220" s="131" t="s">
        <v>4160</v>
      </c>
      <c r="B220" s="128" t="s">
        <v>4279</v>
      </c>
      <c r="C220" s="129"/>
      <c r="D220" s="129"/>
      <c r="E220" s="129"/>
      <c r="F220" s="129"/>
      <c r="G220" s="128" t="s">
        <v>4598</v>
      </c>
      <c r="H220" s="131" t="str">
        <f t="shared" si="3"/>
        <v>CO7</v>
      </c>
      <c r="I220" s="131" t="str" cm="1">
        <f t="array" ref="I220">LEFT(G220, MIN(IF(ISNUMBER(--MID(G220, _xlfn.SEQUENCE(LEN(G220)), 1)), _xlfn.SEQUENCE(LEN(G220)))) - 1)</f>
        <v>CO</v>
      </c>
      <c r="J220" s="129" t="str">
        <f>_xlfn.XLOOKUP(H220,'GK IFT SDM POSTCODES'!A:A,'GK IFT SDM POSTCODES'!B:B,"")</f>
        <v>Nikki Hayter</v>
      </c>
    </row>
    <row r="221" spans="1:10" s="133" customFormat="1" ht="17.25" x14ac:dyDescent="0.35">
      <c r="A221" s="131" t="s">
        <v>4160</v>
      </c>
      <c r="B221" s="128" t="s">
        <v>4280</v>
      </c>
      <c r="C221" s="129"/>
      <c r="D221" s="129"/>
      <c r="E221" s="129"/>
      <c r="F221" s="129"/>
      <c r="G221" s="128" t="s">
        <v>4598</v>
      </c>
      <c r="H221" s="131" t="str">
        <f t="shared" si="3"/>
        <v>CO7</v>
      </c>
      <c r="I221" s="131" t="str" cm="1">
        <f t="array" ref="I221">LEFT(G221, MIN(IF(ISNUMBER(--MID(G221, _xlfn.SEQUENCE(LEN(G221)), 1)), _xlfn.SEQUENCE(LEN(G221)))) - 1)</f>
        <v>CO</v>
      </c>
      <c r="J221" s="129" t="str">
        <f>_xlfn.XLOOKUP(H221,'GK IFT SDM POSTCODES'!A:A,'GK IFT SDM POSTCODES'!B:B,"")</f>
        <v>Nikki Hayter</v>
      </c>
    </row>
    <row r="222" spans="1:10" s="133" customFormat="1" ht="17.25" x14ac:dyDescent="0.35">
      <c r="A222" s="129" t="s">
        <v>498</v>
      </c>
      <c r="B222" s="137" t="s">
        <v>5210</v>
      </c>
      <c r="C222" s="137" t="s">
        <v>5211</v>
      </c>
      <c r="D222" s="129"/>
      <c r="E222" s="137" t="s">
        <v>13</v>
      </c>
      <c r="F222" s="129"/>
      <c r="G222" s="137" t="s">
        <v>419</v>
      </c>
      <c r="H222" s="131" t="str">
        <f t="shared" si="3"/>
        <v>CO7</v>
      </c>
      <c r="I222" s="131" t="str" cm="1">
        <f t="array" ref="I222">LEFT(G222, MIN(IF(ISNUMBER(--MID(G222, _xlfn.SEQUENCE(LEN(G222)), 1)), _xlfn.SEQUENCE(LEN(G222)))) - 1)</f>
        <v>CO</v>
      </c>
      <c r="J222" s="137" t="s">
        <v>5141</v>
      </c>
    </row>
    <row r="223" spans="1:10" s="133" customFormat="1" ht="17.25" x14ac:dyDescent="0.35">
      <c r="A223" s="131" t="s">
        <v>4160</v>
      </c>
      <c r="B223" s="128" t="s">
        <v>4252</v>
      </c>
      <c r="C223" s="129"/>
      <c r="D223" s="129"/>
      <c r="E223" s="129"/>
      <c r="F223" s="129"/>
      <c r="G223" s="128" t="s">
        <v>4576</v>
      </c>
      <c r="H223" s="131" t="str">
        <f t="shared" si="3"/>
        <v>CO7</v>
      </c>
      <c r="I223" s="131" t="str" cm="1">
        <f t="array" ref="I223">LEFT(G223, MIN(IF(ISNUMBER(--MID(G223, _xlfn.SEQUENCE(LEN(G223)), 1)), _xlfn.SEQUENCE(LEN(G223)))) - 1)</f>
        <v>CO</v>
      </c>
      <c r="J223" s="129" t="str">
        <f>_xlfn.XLOOKUP(H223,'GK IFT SDM POSTCODES'!A:A,'GK IFT SDM POSTCODES'!B:B,"")</f>
        <v>Nikki Hayter</v>
      </c>
    </row>
    <row r="224" spans="1:10" s="133" customFormat="1" ht="17.25" x14ac:dyDescent="0.35">
      <c r="A224" s="134" t="s">
        <v>7</v>
      </c>
      <c r="B224" s="134" t="s">
        <v>4027</v>
      </c>
      <c r="C224" s="134" t="s">
        <v>4007</v>
      </c>
      <c r="D224" s="129"/>
      <c r="E224" s="134" t="s">
        <v>13</v>
      </c>
      <c r="F224" s="134" t="s">
        <v>3183</v>
      </c>
      <c r="G224" s="134" t="s">
        <v>234</v>
      </c>
      <c r="H224" s="131" t="str">
        <f t="shared" si="3"/>
        <v>CO7</v>
      </c>
      <c r="I224" s="131" t="str" cm="1">
        <f t="array" ref="I224">LEFT(G224, MIN(IF(ISNUMBER(--MID(G224, _xlfn.SEQUENCE(LEN(G224)), 1)), _xlfn.SEQUENCE(LEN(G224)))) - 1)</f>
        <v>CO</v>
      </c>
      <c r="J224" s="146" t="s">
        <v>6231</v>
      </c>
    </row>
    <row r="225" spans="1:10" s="133" customFormat="1" ht="17.25" x14ac:dyDescent="0.35">
      <c r="A225" s="131" t="s">
        <v>4160</v>
      </c>
      <c r="B225" s="128" t="s">
        <v>4408</v>
      </c>
      <c r="C225" s="129"/>
      <c r="D225" s="129"/>
      <c r="E225" s="129"/>
      <c r="F225" s="129"/>
      <c r="G225" s="128" t="s">
        <v>4686</v>
      </c>
      <c r="H225" s="131" t="str">
        <f t="shared" si="3"/>
        <v>CO7</v>
      </c>
      <c r="I225" s="131" t="str" cm="1">
        <f t="array" ref="I225">LEFT(G225, MIN(IF(ISNUMBER(--MID(G225, _xlfn.SEQUENCE(LEN(G225)), 1)), _xlfn.SEQUENCE(LEN(G225)))) - 1)</f>
        <v>CO</v>
      </c>
      <c r="J225" s="129" t="str">
        <f>_xlfn.XLOOKUP(H225,'GK IFT SDM POSTCODES'!A:A,'GK IFT SDM POSTCODES'!B:B,"")</f>
        <v>Nikki Hayter</v>
      </c>
    </row>
    <row r="226" spans="1:10" s="133" customFormat="1" ht="17.25" x14ac:dyDescent="0.35">
      <c r="A226" s="131" t="s">
        <v>4160</v>
      </c>
      <c r="B226" s="128" t="s">
        <v>4483</v>
      </c>
      <c r="C226" s="129"/>
      <c r="D226" s="129"/>
      <c r="E226" s="129"/>
      <c r="F226" s="129"/>
      <c r="G226" s="128" t="s">
        <v>4731</v>
      </c>
      <c r="H226" s="131" t="str">
        <f t="shared" si="3"/>
        <v>CO7</v>
      </c>
      <c r="I226" s="131" t="str" cm="1">
        <f t="array" ref="I226">LEFT(G226, MIN(IF(ISNUMBER(--MID(G226, _xlfn.SEQUENCE(LEN(G226)), 1)), _xlfn.SEQUENCE(LEN(G226)))) - 1)</f>
        <v>CO</v>
      </c>
      <c r="J226" s="129" t="str">
        <f>_xlfn.XLOOKUP(H226,'GK IFT SDM POSTCODES'!A:A,'GK IFT SDM POSTCODES'!B:B,"")</f>
        <v>Nikki Hayter</v>
      </c>
    </row>
    <row r="227" spans="1:10" s="133" customFormat="1" ht="21" x14ac:dyDescent="0.35">
      <c r="A227" s="130" t="s">
        <v>4065</v>
      </c>
      <c r="B227" s="127" t="s">
        <v>528</v>
      </c>
      <c r="C227" s="127" t="s">
        <v>529</v>
      </c>
      <c r="E227" s="127" t="s">
        <v>13</v>
      </c>
      <c r="G227" s="127" t="s">
        <v>4077</v>
      </c>
      <c r="H227" s="131" t="str">
        <f t="shared" si="3"/>
        <v>CO7</v>
      </c>
      <c r="I227" s="131" t="str" cm="1">
        <f t="array" ref="I227">LEFT(G227, MIN(IF(ISNUMBER(--MID(G227, _xlfn.SEQUENCE(LEN(G227)), 1)), _xlfn.SEQUENCE(LEN(G227)))) - 1)</f>
        <v>CO</v>
      </c>
      <c r="J227" s="127" t="s">
        <v>4064</v>
      </c>
    </row>
    <row r="228" spans="1:10" s="133" customFormat="1" ht="17.25" x14ac:dyDescent="0.35">
      <c r="A228" s="131" t="s">
        <v>4160</v>
      </c>
      <c r="B228" s="136" t="s">
        <v>4511</v>
      </c>
      <c r="C228" s="129"/>
      <c r="D228" s="129"/>
      <c r="E228" s="129"/>
      <c r="F228" s="129"/>
      <c r="G228" s="136" t="s">
        <v>4752</v>
      </c>
      <c r="H228" s="131" t="str">
        <f t="shared" si="3"/>
        <v>CO7</v>
      </c>
      <c r="I228" s="131" t="str" cm="1">
        <f t="array" ref="I228">LEFT(G228, MIN(IF(ISNUMBER(--MID(G228, _xlfn.SEQUENCE(LEN(G228)), 1)), _xlfn.SEQUENCE(LEN(G228)))) - 1)</f>
        <v>CO</v>
      </c>
      <c r="J228" s="129" t="str">
        <f>_xlfn.XLOOKUP(H228,'GK IFT SDM POSTCODES'!A:A,'GK IFT SDM POSTCODES'!B:B,"")</f>
        <v>Nikki Hayter</v>
      </c>
    </row>
    <row r="229" spans="1:10" s="133" customFormat="1" ht="17.25" x14ac:dyDescent="0.35">
      <c r="A229" s="131" t="s">
        <v>4160</v>
      </c>
      <c r="B229" s="128" t="s">
        <v>4274</v>
      </c>
      <c r="C229" s="129"/>
      <c r="D229" s="129"/>
      <c r="E229" s="129"/>
      <c r="F229" s="129"/>
      <c r="G229" s="128" t="s">
        <v>4593</v>
      </c>
      <c r="H229" s="131" t="str">
        <f t="shared" si="3"/>
        <v>CO7</v>
      </c>
      <c r="I229" s="131" t="str" cm="1">
        <f t="array" ref="I229">LEFT(G229, MIN(IF(ISNUMBER(--MID(G229, _xlfn.SEQUENCE(LEN(G229)), 1)), _xlfn.SEQUENCE(LEN(G229)))) - 1)</f>
        <v>CO</v>
      </c>
      <c r="J229" s="129" t="str">
        <f>_xlfn.XLOOKUP(H229,'GK IFT SDM POSTCODES'!A:A,'GK IFT SDM POSTCODES'!B:B,"")</f>
        <v>Nikki Hayter</v>
      </c>
    </row>
    <row r="230" spans="1:10" s="133" customFormat="1" ht="17.25" x14ac:dyDescent="0.35">
      <c r="A230" s="131" t="s">
        <v>4160</v>
      </c>
      <c r="B230" s="136" t="s">
        <v>4514</v>
      </c>
      <c r="C230" s="129"/>
      <c r="D230" s="129"/>
      <c r="E230" s="129"/>
      <c r="F230" s="129"/>
      <c r="G230" s="136" t="s">
        <v>4593</v>
      </c>
      <c r="H230" s="131" t="str">
        <f t="shared" si="3"/>
        <v>CO7</v>
      </c>
      <c r="I230" s="131" t="str" cm="1">
        <f t="array" ref="I230">LEFT(G230, MIN(IF(ISNUMBER(--MID(G230, _xlfn.SEQUENCE(LEN(G230)), 1)), _xlfn.SEQUENCE(LEN(G230)))) - 1)</f>
        <v>CO</v>
      </c>
      <c r="J230" s="129" t="str">
        <f>_xlfn.XLOOKUP(H230,'GK IFT SDM POSTCODES'!A:A,'GK IFT SDM POSTCODES'!B:B,"")</f>
        <v>Nikki Hayter</v>
      </c>
    </row>
    <row r="231" spans="1:10" s="133" customFormat="1" ht="17.25" x14ac:dyDescent="0.35">
      <c r="A231" s="131" t="s">
        <v>4160</v>
      </c>
      <c r="B231" s="128" t="s">
        <v>4190</v>
      </c>
      <c r="C231" s="129"/>
      <c r="D231" s="129"/>
      <c r="E231" s="129"/>
      <c r="F231" s="129"/>
      <c r="G231" s="128" t="s">
        <v>4540</v>
      </c>
      <c r="H231" s="131" t="str">
        <f t="shared" si="3"/>
        <v>CO7</v>
      </c>
      <c r="I231" s="131" t="str" cm="1">
        <f t="array" ref="I231">LEFT(G231, MIN(IF(ISNUMBER(--MID(G231, _xlfn.SEQUENCE(LEN(G231)), 1)), _xlfn.SEQUENCE(LEN(G231)))) - 1)</f>
        <v>CO</v>
      </c>
      <c r="J231" s="129" t="str">
        <f>_xlfn.XLOOKUP(H231,'GK IFT SDM POSTCODES'!A:A,'GK IFT SDM POSTCODES'!B:B,"")</f>
        <v>Nikki Hayter</v>
      </c>
    </row>
    <row r="232" spans="1:10" s="133" customFormat="1" ht="21" x14ac:dyDescent="0.35">
      <c r="A232" s="130" t="s">
        <v>4065</v>
      </c>
      <c r="B232" s="127" t="s">
        <v>549</v>
      </c>
      <c r="C232" s="127" t="s">
        <v>1915</v>
      </c>
      <c r="E232" s="127" t="s">
        <v>13</v>
      </c>
      <c r="G232" s="127" t="s">
        <v>4076</v>
      </c>
      <c r="H232" s="131" t="str">
        <f t="shared" si="3"/>
        <v>CO7</v>
      </c>
      <c r="I232" s="131" t="str" cm="1">
        <f t="array" ref="I232">LEFT(G232, MIN(IF(ISNUMBER(--MID(G232, _xlfn.SEQUENCE(LEN(G232)), 1)), _xlfn.SEQUENCE(LEN(G232)))) - 1)</f>
        <v>CO</v>
      </c>
      <c r="J232" s="127" t="s">
        <v>4064</v>
      </c>
    </row>
    <row r="233" spans="1:10" s="133" customFormat="1" ht="17.25" x14ac:dyDescent="0.35">
      <c r="A233" s="131" t="s">
        <v>3718</v>
      </c>
      <c r="B233" s="131" t="s">
        <v>868</v>
      </c>
      <c r="C233" s="131" t="s">
        <v>603</v>
      </c>
      <c r="D233" s="131" t="s">
        <v>3777</v>
      </c>
      <c r="E233" s="131" t="s">
        <v>13</v>
      </c>
      <c r="F233" s="131" t="s">
        <v>3183</v>
      </c>
      <c r="G233" s="131" t="s">
        <v>3778</v>
      </c>
      <c r="H233" s="131" t="str">
        <f t="shared" si="3"/>
        <v>CO7</v>
      </c>
      <c r="I233" s="131" t="str" cm="1">
        <f t="array" ref="I233">LEFT(G233, MIN(IF(ISNUMBER(--MID(G233, _xlfn.SEQUENCE(LEN(G233)), 1)), _xlfn.SEQUENCE(LEN(G233)))) - 1)</f>
        <v>CO</v>
      </c>
      <c r="J233" s="131" t="s">
        <v>3756</v>
      </c>
    </row>
    <row r="234" spans="1:10" s="133" customFormat="1" ht="21" x14ac:dyDescent="0.35">
      <c r="A234" s="130" t="s">
        <v>4065</v>
      </c>
      <c r="B234" s="127" t="s">
        <v>363</v>
      </c>
      <c r="C234" s="127" t="s">
        <v>132</v>
      </c>
      <c r="E234" s="127" t="s">
        <v>13</v>
      </c>
      <c r="G234" s="127" t="s">
        <v>4078</v>
      </c>
      <c r="H234" s="131" t="str">
        <f t="shared" si="3"/>
        <v>CO7</v>
      </c>
      <c r="I234" s="131" t="str" cm="1">
        <f t="array" ref="I234">LEFT(G234, MIN(IF(ISNUMBER(--MID(G234, _xlfn.SEQUENCE(LEN(G234)), 1)), _xlfn.SEQUENCE(LEN(G234)))) - 1)</f>
        <v>CO</v>
      </c>
      <c r="J234" s="127" t="s">
        <v>4064</v>
      </c>
    </row>
    <row r="235" spans="1:10" s="133" customFormat="1" ht="17.25" x14ac:dyDescent="0.35">
      <c r="A235" s="131" t="s">
        <v>4160</v>
      </c>
      <c r="B235" s="128" t="s">
        <v>4469</v>
      </c>
      <c r="C235" s="129"/>
      <c r="D235" s="129"/>
      <c r="E235" s="129"/>
      <c r="F235" s="129"/>
      <c r="G235" s="128" t="s">
        <v>4723</v>
      </c>
      <c r="H235" s="131" t="str">
        <f t="shared" si="3"/>
        <v>CO7</v>
      </c>
      <c r="I235" s="131" t="str" cm="1">
        <f t="array" ref="I235">LEFT(G235, MIN(IF(ISNUMBER(--MID(G235, _xlfn.SEQUENCE(LEN(G235)), 1)), _xlfn.SEQUENCE(LEN(G235)))) - 1)</f>
        <v>CO</v>
      </c>
      <c r="J235" s="129" t="str">
        <f>_xlfn.XLOOKUP(H235,'GK IFT SDM POSTCODES'!A:A,'GK IFT SDM POSTCODES'!B:B,"")</f>
        <v>Nikki Hayter</v>
      </c>
    </row>
    <row r="236" spans="1:10" s="133" customFormat="1" ht="17.25" x14ac:dyDescent="0.35">
      <c r="A236" s="131" t="s">
        <v>4160</v>
      </c>
      <c r="B236" s="128" t="s">
        <v>4468</v>
      </c>
      <c r="C236" s="129"/>
      <c r="D236" s="129"/>
      <c r="E236" s="129"/>
      <c r="F236" s="129"/>
      <c r="G236" s="128" t="s">
        <v>4722</v>
      </c>
      <c r="H236" s="131" t="str">
        <f t="shared" si="3"/>
        <v>CO7</v>
      </c>
      <c r="I236" s="131" t="str" cm="1">
        <f t="array" ref="I236">LEFT(G236, MIN(IF(ISNUMBER(--MID(G236, _xlfn.SEQUENCE(LEN(G236)), 1)), _xlfn.SEQUENCE(LEN(G236)))) - 1)</f>
        <v>CO</v>
      </c>
      <c r="J236" s="129" t="str">
        <f>_xlfn.XLOOKUP(H236,'GK IFT SDM POSTCODES'!A:A,'GK IFT SDM POSTCODES'!B:B,"")</f>
        <v>Nikki Hayter</v>
      </c>
    </row>
    <row r="237" spans="1:10" s="133" customFormat="1" ht="17.25" x14ac:dyDescent="0.35">
      <c r="A237" s="131" t="s">
        <v>4160</v>
      </c>
      <c r="B237" s="128" t="s">
        <v>4251</v>
      </c>
      <c r="C237" s="129"/>
      <c r="D237" s="129"/>
      <c r="E237" s="129"/>
      <c r="F237" s="129"/>
      <c r="G237" s="128" t="s">
        <v>346</v>
      </c>
      <c r="H237" s="131" t="str">
        <f t="shared" si="3"/>
        <v>CO8</v>
      </c>
      <c r="I237" s="131" t="str" cm="1">
        <f t="array" ref="I237">LEFT(G237, MIN(IF(ISNUMBER(--MID(G237, _xlfn.SEQUENCE(LEN(G237)), 1)), _xlfn.SEQUENCE(LEN(G237)))) - 1)</f>
        <v>CO</v>
      </c>
      <c r="J237" s="129" t="str">
        <f>_xlfn.XLOOKUP(H237,'GK IFT SDM POSTCODES'!A:A,'GK IFT SDM POSTCODES'!B:B,"")</f>
        <v>Kate Rayson</v>
      </c>
    </row>
    <row r="238" spans="1:10" s="133" customFormat="1" ht="17.25" x14ac:dyDescent="0.35">
      <c r="A238" s="131" t="s">
        <v>4160</v>
      </c>
      <c r="B238" s="128" t="s">
        <v>4430</v>
      </c>
      <c r="C238" s="129"/>
      <c r="D238" s="129"/>
      <c r="E238" s="129"/>
      <c r="F238" s="129"/>
      <c r="G238" s="128" t="s">
        <v>304</v>
      </c>
      <c r="H238" s="131" t="str">
        <f t="shared" si="3"/>
        <v>CO8</v>
      </c>
      <c r="I238" s="131" t="str" cm="1">
        <f t="array" ref="I238">LEFT(G238, MIN(IF(ISNUMBER(--MID(G238, _xlfn.SEQUENCE(LEN(G238)), 1)), _xlfn.SEQUENCE(LEN(G238)))) - 1)</f>
        <v>CO</v>
      </c>
      <c r="J238" s="129" t="str">
        <f>_xlfn.XLOOKUP(H238,'GK IFT SDM POSTCODES'!A:A,'GK IFT SDM POSTCODES'!B:B,"")</f>
        <v>Kate Rayson</v>
      </c>
    </row>
    <row r="239" spans="1:10" s="133" customFormat="1" ht="17.25" x14ac:dyDescent="0.35">
      <c r="A239" s="131" t="s">
        <v>4160</v>
      </c>
      <c r="B239" s="136" t="s">
        <v>4506</v>
      </c>
      <c r="C239" s="129"/>
      <c r="D239" s="129"/>
      <c r="E239" s="129"/>
      <c r="F239" s="129"/>
      <c r="G239" s="136" t="s">
        <v>4747</v>
      </c>
      <c r="H239" s="131" t="str">
        <f t="shared" si="3"/>
        <v>CO8</v>
      </c>
      <c r="I239" s="131" t="str" cm="1">
        <f t="array" ref="I239">LEFT(G239, MIN(IF(ISNUMBER(--MID(G239, _xlfn.SEQUENCE(LEN(G239)), 1)), _xlfn.SEQUENCE(LEN(G239)))) - 1)</f>
        <v>CO</v>
      </c>
      <c r="J239" s="129" t="str">
        <f>_xlfn.XLOOKUP(H239,'GK IFT SDM POSTCODES'!A:A,'GK IFT SDM POSTCODES'!B:B,"")</f>
        <v>Kate Rayson</v>
      </c>
    </row>
    <row r="240" spans="1:10" s="133" customFormat="1" ht="17.25" x14ac:dyDescent="0.35">
      <c r="A240" s="131" t="s">
        <v>4160</v>
      </c>
      <c r="B240" s="128" t="s">
        <v>4380</v>
      </c>
      <c r="C240" s="129"/>
      <c r="D240" s="129"/>
      <c r="E240" s="129"/>
      <c r="F240" s="129"/>
      <c r="G240" s="128" t="s">
        <v>4669</v>
      </c>
      <c r="H240" s="131" t="str">
        <f t="shared" si="3"/>
        <v>CO9</v>
      </c>
      <c r="I240" s="131" t="str" cm="1">
        <f t="array" ref="I240">LEFT(G240, MIN(IF(ISNUMBER(--MID(G240, _xlfn.SEQUENCE(LEN(G240)), 1)), _xlfn.SEQUENCE(LEN(G240)))) - 1)</f>
        <v>CO</v>
      </c>
      <c r="J240" s="129" t="str">
        <f>_xlfn.XLOOKUP(H240,'GK IFT SDM POSTCODES'!A:A,'GK IFT SDM POSTCODES'!B:B,"")</f>
        <v>Nikki Hayter</v>
      </c>
    </row>
    <row r="241" spans="1:11" s="133" customFormat="1" ht="17.25" x14ac:dyDescent="0.35">
      <c r="A241" s="134" t="s">
        <v>7</v>
      </c>
      <c r="B241" s="134" t="s">
        <v>4016</v>
      </c>
      <c r="C241" s="134" t="s">
        <v>3998</v>
      </c>
      <c r="D241" s="129"/>
      <c r="E241" s="134" t="s">
        <v>541</v>
      </c>
      <c r="F241" s="134" t="s">
        <v>3183</v>
      </c>
      <c r="G241" s="134" t="s">
        <v>450</v>
      </c>
      <c r="H241" s="131" t="str">
        <f t="shared" si="3"/>
        <v>CO9</v>
      </c>
      <c r="I241" s="131" t="str" cm="1">
        <f t="array" ref="I241">LEFT(G241, MIN(IF(ISNUMBER(--MID(G241, _xlfn.SEQUENCE(LEN(G241)), 1)), _xlfn.SEQUENCE(LEN(G241)))) - 1)</f>
        <v>CO</v>
      </c>
      <c r="J241" s="146" t="s">
        <v>6231</v>
      </c>
    </row>
    <row r="242" spans="1:11" s="133" customFormat="1" ht="17.25" x14ac:dyDescent="0.35">
      <c r="A242" s="131" t="s">
        <v>4160</v>
      </c>
      <c r="B242" s="128" t="s">
        <v>4278</v>
      </c>
      <c r="C242" s="129"/>
      <c r="D242" s="129"/>
      <c r="E242" s="129"/>
      <c r="F242" s="129"/>
      <c r="G242" s="128" t="s">
        <v>4597</v>
      </c>
      <c r="H242" s="131" t="str">
        <f t="shared" si="3"/>
        <v>CO9</v>
      </c>
      <c r="I242" s="131" t="str" cm="1">
        <f t="array" ref="I242">LEFT(G242, MIN(IF(ISNUMBER(--MID(G242, _xlfn.SEQUENCE(LEN(G242)), 1)), _xlfn.SEQUENCE(LEN(G242)))) - 1)</f>
        <v>CO</v>
      </c>
      <c r="J242" s="129" t="str">
        <f>_xlfn.XLOOKUP(H242,'GK IFT SDM POSTCODES'!A:A,'GK IFT SDM POSTCODES'!B:B,"")</f>
        <v>Nikki Hayter</v>
      </c>
    </row>
    <row r="243" spans="1:11" s="133" customFormat="1" ht="17.25" x14ac:dyDescent="0.35">
      <c r="A243" s="134" t="s">
        <v>7</v>
      </c>
      <c r="B243" s="134" t="s">
        <v>4015</v>
      </c>
      <c r="C243" s="134" t="s">
        <v>3997</v>
      </c>
      <c r="D243" s="129"/>
      <c r="E243" s="134" t="s">
        <v>541</v>
      </c>
      <c r="F243" s="134" t="s">
        <v>3183</v>
      </c>
      <c r="G243" s="134" t="s">
        <v>3991</v>
      </c>
      <c r="H243" s="131" t="str">
        <f t="shared" si="3"/>
        <v>CO9</v>
      </c>
      <c r="I243" s="131" t="str" cm="1">
        <f t="array" ref="I243">LEFT(G243, MIN(IF(ISNUMBER(--MID(G243, _xlfn.SEQUENCE(LEN(G243)), 1)), _xlfn.SEQUENCE(LEN(G243)))) - 1)</f>
        <v>CO</v>
      </c>
      <c r="J243" s="146" t="s">
        <v>6231</v>
      </c>
    </row>
    <row r="244" spans="1:11" s="133" customFormat="1" ht="17.25" x14ac:dyDescent="0.35">
      <c r="A244" s="131" t="s">
        <v>4160</v>
      </c>
      <c r="B244" s="128" t="s">
        <v>4457</v>
      </c>
      <c r="C244" s="129"/>
      <c r="D244" s="129"/>
      <c r="E244" s="129"/>
      <c r="F244" s="129"/>
      <c r="G244" s="128" t="s">
        <v>451</v>
      </c>
      <c r="H244" s="131" t="str">
        <f t="shared" si="3"/>
        <v>CO9</v>
      </c>
      <c r="I244" s="131" t="str" cm="1">
        <f t="array" ref="I244">LEFT(G244, MIN(IF(ISNUMBER(--MID(G244, _xlfn.SEQUENCE(LEN(G244)), 1)), _xlfn.SEQUENCE(LEN(G244)))) - 1)</f>
        <v>CO</v>
      </c>
      <c r="J244" s="129" t="str">
        <f>_xlfn.XLOOKUP(H244,'GK IFT SDM POSTCODES'!A:A,'GK IFT SDM POSTCODES'!B:B,"")</f>
        <v>Nikki Hayter</v>
      </c>
    </row>
    <row r="245" spans="1:11" s="133" customFormat="1" ht="17.25" x14ac:dyDescent="0.35">
      <c r="A245" s="131" t="s">
        <v>4160</v>
      </c>
      <c r="B245" s="136" t="s">
        <v>4501</v>
      </c>
      <c r="C245" s="129"/>
      <c r="D245" s="129"/>
      <c r="E245" s="129"/>
      <c r="F245" s="129"/>
      <c r="G245" s="136" t="s">
        <v>4742</v>
      </c>
      <c r="H245" s="131" t="str">
        <f t="shared" si="3"/>
        <v>CO9</v>
      </c>
      <c r="I245" s="131" t="str" cm="1">
        <f t="array" ref="I245">LEFT(G245, MIN(IF(ISNUMBER(--MID(G245, _xlfn.SEQUENCE(LEN(G245)), 1)), _xlfn.SEQUENCE(LEN(G245)))) - 1)</f>
        <v>CO</v>
      </c>
      <c r="J245" s="129" t="str">
        <f>_xlfn.XLOOKUP(H245,'GK IFT SDM POSTCODES'!A:A,'GK IFT SDM POSTCODES'!B:B,"")</f>
        <v>Nikki Hayter</v>
      </c>
    </row>
    <row r="246" spans="1:11" s="133" customFormat="1" ht="17.25" x14ac:dyDescent="0.35">
      <c r="A246" s="131" t="s">
        <v>4160</v>
      </c>
      <c r="B246" s="128" t="s">
        <v>4490</v>
      </c>
      <c r="C246" s="129"/>
      <c r="D246" s="129"/>
      <c r="E246" s="129"/>
      <c r="F246" s="129"/>
      <c r="G246" s="128" t="s">
        <v>4734</v>
      </c>
      <c r="H246" s="131" t="str">
        <f t="shared" si="3"/>
        <v>CO9</v>
      </c>
      <c r="I246" s="131" t="str" cm="1">
        <f t="array" ref="I246">LEFT(G246, MIN(IF(ISNUMBER(--MID(G246, _xlfn.SEQUENCE(LEN(G246)), 1)), _xlfn.SEQUENCE(LEN(G246)))) - 1)</f>
        <v>CO</v>
      </c>
      <c r="J246" s="129" t="str">
        <f>_xlfn.XLOOKUP(H246,'GK IFT SDM POSTCODES'!A:A,'GK IFT SDM POSTCODES'!B:B,"")</f>
        <v>Nikki Hayter</v>
      </c>
    </row>
    <row r="247" spans="1:11" s="133" customFormat="1" ht="17.25" x14ac:dyDescent="0.35">
      <c r="A247" s="131" t="s">
        <v>4160</v>
      </c>
      <c r="B247" s="128" t="s">
        <v>4316</v>
      </c>
      <c r="C247" s="129"/>
      <c r="D247" s="129"/>
      <c r="E247" s="129"/>
      <c r="F247" s="129"/>
      <c r="G247" s="128" t="s">
        <v>4624</v>
      </c>
      <c r="H247" s="131" t="str">
        <f t="shared" si="3"/>
        <v>CO9</v>
      </c>
      <c r="I247" s="131" t="str" cm="1">
        <f t="array" ref="I247">LEFT(G247, MIN(IF(ISNUMBER(--MID(G247, _xlfn.SEQUENCE(LEN(G247)), 1)), _xlfn.SEQUENCE(LEN(G247)))) - 1)</f>
        <v>CO</v>
      </c>
      <c r="J247" s="129" t="str">
        <f>_xlfn.XLOOKUP(H247,'GK IFT SDM POSTCODES'!A:A,'GK IFT SDM POSTCODES'!B:B,"")</f>
        <v>Nikki Hayter</v>
      </c>
    </row>
    <row r="248" spans="1:11" s="133" customFormat="1" ht="17.25" x14ac:dyDescent="0.35">
      <c r="A248" s="131" t="s">
        <v>4160</v>
      </c>
      <c r="B248" s="136" t="s">
        <v>4509</v>
      </c>
      <c r="C248" s="129"/>
      <c r="D248" s="129"/>
      <c r="E248" s="129"/>
      <c r="F248" s="129"/>
      <c r="G248" s="136" t="s">
        <v>4750</v>
      </c>
      <c r="H248" s="131" t="str">
        <f t="shared" si="3"/>
        <v>CO9</v>
      </c>
      <c r="I248" s="131" t="str" cm="1">
        <f t="array" ref="I248">LEFT(G248, MIN(IF(ISNUMBER(--MID(G248, _xlfn.SEQUENCE(LEN(G248)), 1)), _xlfn.SEQUENCE(LEN(G248)))) - 1)</f>
        <v>CO</v>
      </c>
      <c r="J248" s="129" t="str">
        <f>_xlfn.XLOOKUP(H248,'GK IFT SDM POSTCODES'!A:A,'GK IFT SDM POSTCODES'!B:B,"")</f>
        <v>Nikki Hayter</v>
      </c>
    </row>
    <row r="249" spans="1:11" s="133" customFormat="1" ht="17.25" x14ac:dyDescent="0.35">
      <c r="A249" s="131" t="s">
        <v>4160</v>
      </c>
      <c r="B249" s="128" t="s">
        <v>4300</v>
      </c>
      <c r="C249" s="129"/>
      <c r="D249" s="129"/>
      <c r="E249" s="129"/>
      <c r="F249" s="129"/>
      <c r="G249" s="128" t="s">
        <v>4615</v>
      </c>
      <c r="H249" s="131" t="str">
        <f t="shared" si="3"/>
        <v>CO9</v>
      </c>
      <c r="I249" s="131" t="str" cm="1">
        <f t="array" ref="I249">LEFT(G249, MIN(IF(ISNUMBER(--MID(G249, _xlfn.SEQUENCE(LEN(G249)), 1)), _xlfn.SEQUENCE(LEN(G249)))) - 1)</f>
        <v>CO</v>
      </c>
      <c r="J249" s="129" t="str">
        <f>_xlfn.XLOOKUP(H249,'GK IFT SDM POSTCODES'!A:A,'GK IFT SDM POSTCODES'!B:B,"")</f>
        <v>Nikki Hayter</v>
      </c>
    </row>
    <row r="250" spans="1:11" s="133" customFormat="1" ht="17.25" x14ac:dyDescent="0.35">
      <c r="A250" s="129" t="s">
        <v>498</v>
      </c>
      <c r="B250" s="137" t="s">
        <v>5221</v>
      </c>
      <c r="C250" s="137" t="s">
        <v>5222</v>
      </c>
      <c r="D250" s="129"/>
      <c r="E250" s="137" t="s">
        <v>541</v>
      </c>
      <c r="F250" s="129"/>
      <c r="G250" s="137" t="s">
        <v>3612</v>
      </c>
      <c r="H250" s="131" t="str">
        <f t="shared" si="3"/>
        <v>CO9</v>
      </c>
      <c r="I250" s="131" t="str" cm="1">
        <f t="array" ref="I250">LEFT(G250, MIN(IF(ISNUMBER(--MID(G250, _xlfn.SEQUENCE(LEN(G250)), 1)), _xlfn.SEQUENCE(LEN(G250)))) - 1)</f>
        <v>CO</v>
      </c>
      <c r="J250" s="137" t="s">
        <v>5141</v>
      </c>
    </row>
    <row r="251" spans="1:11" s="133" customFormat="1" ht="17.25" x14ac:dyDescent="0.35">
      <c r="A251" s="131" t="s">
        <v>4160</v>
      </c>
      <c r="B251" s="128" t="s">
        <v>4282</v>
      </c>
      <c r="C251" s="129"/>
      <c r="D251" s="129"/>
      <c r="E251" s="129"/>
      <c r="F251" s="129"/>
      <c r="G251" s="128" t="s">
        <v>4600</v>
      </c>
      <c r="H251" s="131" t="str">
        <f t="shared" si="3"/>
        <v>CO9</v>
      </c>
      <c r="I251" s="131" t="str" cm="1">
        <f t="array" ref="I251">LEFT(G251, MIN(IF(ISNUMBER(--MID(G251, _xlfn.SEQUENCE(LEN(G251)), 1)), _xlfn.SEQUENCE(LEN(G251)))) - 1)</f>
        <v>CO</v>
      </c>
      <c r="J251" s="129" t="str">
        <f>_xlfn.XLOOKUP(H251,'GK IFT SDM POSTCODES'!A:A,'GK IFT SDM POSTCODES'!B:B,"")</f>
        <v>Nikki Hayter</v>
      </c>
    </row>
    <row r="252" spans="1:11" ht="17.25" x14ac:dyDescent="0.35">
      <c r="A252" s="129" t="s">
        <v>498</v>
      </c>
      <c r="B252" s="137" t="s">
        <v>5215</v>
      </c>
      <c r="C252" s="137" t="s">
        <v>5216</v>
      </c>
      <c r="D252" s="129"/>
      <c r="E252" s="137" t="s">
        <v>541</v>
      </c>
      <c r="F252" s="129"/>
      <c r="G252" s="137" t="s">
        <v>3585</v>
      </c>
      <c r="H252" s="131" t="str">
        <f t="shared" si="3"/>
        <v>CO9</v>
      </c>
      <c r="I252" s="131" t="str" cm="1">
        <f t="array" ref="I252">LEFT(G252, MIN(IF(ISNUMBER(--MID(G252, _xlfn.SEQUENCE(LEN(G252)), 1)), _xlfn.SEQUENCE(LEN(G252)))) - 1)</f>
        <v>CO</v>
      </c>
      <c r="J252" s="137" t="s">
        <v>5141</v>
      </c>
      <c r="K252" s="129"/>
    </row>
    <row r="253" spans="1:11" ht="17.25" x14ac:dyDescent="0.35">
      <c r="A253" s="131" t="s">
        <v>4160</v>
      </c>
      <c r="B253" s="128" t="s">
        <v>4477</v>
      </c>
      <c r="C253" s="129"/>
      <c r="D253" s="129"/>
      <c r="E253" s="129"/>
      <c r="F253" s="129"/>
      <c r="G253" s="128" t="s">
        <v>4727</v>
      </c>
      <c r="H253" s="131" t="str">
        <f t="shared" si="3"/>
        <v>CO9</v>
      </c>
      <c r="I253" s="131" t="str" cm="1">
        <f t="array" ref="I253">LEFT(G253, MIN(IF(ISNUMBER(--MID(G253, _xlfn.SEQUENCE(LEN(G253)), 1)), _xlfn.SEQUENCE(LEN(G253)))) - 1)</f>
        <v>CO</v>
      </c>
      <c r="J253" s="129" t="str">
        <f>_xlfn.XLOOKUP(H253,'GK IFT SDM POSTCODES'!A:A,'GK IFT SDM POSTCODES'!B:B,"")</f>
        <v>Nikki Hayter</v>
      </c>
      <c r="K253" s="129"/>
    </row>
    <row r="254" spans="1:11" ht="17.25" x14ac:dyDescent="0.35">
      <c r="A254" s="134" t="s">
        <v>3902</v>
      </c>
      <c r="B254" s="134" t="s">
        <v>4044</v>
      </c>
      <c r="C254" s="134" t="s">
        <v>4032</v>
      </c>
      <c r="D254" s="129"/>
      <c r="E254" s="134" t="s">
        <v>1</v>
      </c>
      <c r="F254" s="134" t="s">
        <v>45</v>
      </c>
      <c r="G254" s="134" t="s">
        <v>3588</v>
      </c>
      <c r="H254" s="131" t="str">
        <f t="shared" si="3"/>
        <v>IP1</v>
      </c>
      <c r="I254" s="131" t="str" cm="1">
        <f t="array" ref="I254">LEFT(G254, MIN(IF(ISNUMBER(--MID(G254, _xlfn.SEQUENCE(LEN(G254)), 1)), _xlfn.SEQUENCE(LEN(G254)))) - 1)</f>
        <v>IP</v>
      </c>
      <c r="J254" s="134" t="s">
        <v>3800</v>
      </c>
      <c r="K254" s="129"/>
    </row>
    <row r="255" spans="1:11" ht="17.25" x14ac:dyDescent="0.35">
      <c r="A255" s="131" t="s">
        <v>4160</v>
      </c>
      <c r="B255" s="128" t="s">
        <v>4757</v>
      </c>
      <c r="C255" s="129"/>
      <c r="D255" s="129"/>
      <c r="E255" s="129"/>
      <c r="F255" s="129"/>
      <c r="G255" s="128" t="s">
        <v>241</v>
      </c>
      <c r="H255" s="131" t="str">
        <f t="shared" si="3"/>
        <v>IP1</v>
      </c>
      <c r="I255" s="131" t="str" cm="1">
        <f t="array" ref="I255">LEFT(G255, MIN(IF(ISNUMBER(--MID(G255, _xlfn.SEQUENCE(LEN(G255)), 1)), _xlfn.SEQUENCE(LEN(G255)))) - 1)</f>
        <v>IP</v>
      </c>
      <c r="J255" s="129" t="str">
        <f>_xlfn.XLOOKUP(H255,'GK IFT SDM POSTCODES'!A:A,'GK IFT SDM POSTCODES'!B:B,"")</f>
        <v>Kate Rayson</v>
      </c>
    </row>
    <row r="256" spans="1:11" ht="17.25" x14ac:dyDescent="0.35">
      <c r="A256" s="131" t="s">
        <v>4160</v>
      </c>
      <c r="B256" s="128" t="s">
        <v>4758</v>
      </c>
      <c r="C256" s="129"/>
      <c r="D256" s="129"/>
      <c r="E256" s="129"/>
      <c r="F256" s="129"/>
      <c r="G256" s="128" t="s">
        <v>4914</v>
      </c>
      <c r="H256" s="131" t="str">
        <f t="shared" si="3"/>
        <v>IP1</v>
      </c>
      <c r="I256" s="131" t="str" cm="1">
        <f t="array" ref="I256">LEFT(G256, MIN(IF(ISNUMBER(--MID(G256, _xlfn.SEQUENCE(LEN(G256)), 1)), _xlfn.SEQUENCE(LEN(G256)))) - 1)</f>
        <v>IP</v>
      </c>
      <c r="J256" s="129" t="str">
        <f>_xlfn.XLOOKUP(H256,'GK IFT SDM POSTCODES'!A:A,'GK IFT SDM POSTCODES'!B:B,"")</f>
        <v>Kate Rayson</v>
      </c>
    </row>
    <row r="257" spans="1:10" ht="17.25" x14ac:dyDescent="0.35">
      <c r="A257" s="131" t="s">
        <v>4160</v>
      </c>
      <c r="B257" s="128" t="s">
        <v>3675</v>
      </c>
      <c r="C257" s="129"/>
      <c r="D257" s="129"/>
      <c r="E257" s="129"/>
      <c r="F257" s="129"/>
      <c r="G257" s="128" t="s">
        <v>379</v>
      </c>
      <c r="H257" s="131" t="str">
        <f t="shared" si="3"/>
        <v>IP1</v>
      </c>
      <c r="I257" s="131" t="str" cm="1">
        <f t="array" ref="I257">LEFT(G257, MIN(IF(ISNUMBER(--MID(G257, _xlfn.SEQUENCE(LEN(G257)), 1)), _xlfn.SEQUENCE(LEN(G257)))) - 1)</f>
        <v>IP</v>
      </c>
      <c r="J257" s="129" t="str">
        <f>_xlfn.XLOOKUP(H257,'GK IFT SDM POSTCODES'!A:A,'GK IFT SDM POSTCODES'!B:B,"")</f>
        <v>Kate Rayson</v>
      </c>
    </row>
    <row r="258" spans="1:10" ht="17.25" x14ac:dyDescent="0.35">
      <c r="A258" s="131" t="s">
        <v>4160</v>
      </c>
      <c r="B258" s="128" t="s">
        <v>4759</v>
      </c>
      <c r="C258" s="129"/>
      <c r="D258" s="129"/>
      <c r="E258" s="129"/>
      <c r="F258" s="129"/>
      <c r="G258" s="128" t="s">
        <v>4915</v>
      </c>
      <c r="H258" s="131" t="str">
        <f t="shared" ref="H258:H321" si="4">_xlfn.TEXTBEFORE(G258," ")</f>
        <v>IP1</v>
      </c>
      <c r="I258" s="131" t="str" cm="1">
        <f t="array" ref="I258">LEFT(G258, MIN(IF(ISNUMBER(--MID(G258, _xlfn.SEQUENCE(LEN(G258)), 1)), _xlfn.SEQUENCE(LEN(G258)))) - 1)</f>
        <v>IP</v>
      </c>
      <c r="J258" s="129" t="str">
        <f>_xlfn.XLOOKUP(H258,'GK IFT SDM POSTCODES'!A:A,'GK IFT SDM POSTCODES'!B:B,"")</f>
        <v>Kate Rayson</v>
      </c>
    </row>
    <row r="259" spans="1:10" ht="17.25" x14ac:dyDescent="0.35">
      <c r="A259" s="131" t="s">
        <v>4160</v>
      </c>
      <c r="B259" s="128" t="s">
        <v>4760</v>
      </c>
      <c r="C259" s="129"/>
      <c r="D259" s="129"/>
      <c r="E259" s="129"/>
      <c r="F259" s="129"/>
      <c r="G259" s="128" t="s">
        <v>4915</v>
      </c>
      <c r="H259" s="131" t="str">
        <f t="shared" si="4"/>
        <v>IP1</v>
      </c>
      <c r="I259" s="131" t="str" cm="1">
        <f t="array" ref="I259">LEFT(G259, MIN(IF(ISNUMBER(--MID(G259, _xlfn.SEQUENCE(LEN(G259)), 1)), _xlfn.SEQUENCE(LEN(G259)))) - 1)</f>
        <v>IP</v>
      </c>
      <c r="J259" s="129" t="str">
        <f>_xlfn.XLOOKUP(H259,'GK IFT SDM POSTCODES'!A:A,'GK IFT SDM POSTCODES'!B:B,"")</f>
        <v>Kate Rayson</v>
      </c>
    </row>
    <row r="260" spans="1:10" ht="17.25" x14ac:dyDescent="0.35">
      <c r="A260" s="134" t="s">
        <v>7</v>
      </c>
      <c r="B260" s="134" t="s">
        <v>4045</v>
      </c>
      <c r="C260" s="134" t="s">
        <v>588</v>
      </c>
      <c r="D260" s="129"/>
      <c r="E260" s="134" t="s">
        <v>1</v>
      </c>
      <c r="F260" s="134" t="s">
        <v>45</v>
      </c>
      <c r="G260" s="134" t="s">
        <v>280</v>
      </c>
      <c r="H260" s="131" t="str">
        <f t="shared" si="4"/>
        <v>IP1</v>
      </c>
      <c r="I260" s="131" t="str" cm="1">
        <f t="array" ref="I260">LEFT(G260, MIN(IF(ISNUMBER(--MID(G260, _xlfn.SEQUENCE(LEN(G260)), 1)), _xlfn.SEQUENCE(LEN(G260)))) - 1)</f>
        <v>IP</v>
      </c>
      <c r="J260" s="146" t="s">
        <v>6231</v>
      </c>
    </row>
    <row r="261" spans="1:10" ht="17.25" x14ac:dyDescent="0.35">
      <c r="A261" s="131" t="s">
        <v>4160</v>
      </c>
      <c r="B261" s="128" t="s">
        <v>4761</v>
      </c>
      <c r="C261" s="129"/>
      <c r="D261" s="129"/>
      <c r="E261" s="129"/>
      <c r="F261" s="129"/>
      <c r="G261" s="128" t="s">
        <v>4916</v>
      </c>
      <c r="H261" s="131" t="str">
        <f t="shared" si="4"/>
        <v>IP1</v>
      </c>
      <c r="I261" s="131" t="str" cm="1">
        <f t="array" ref="I261">LEFT(G261, MIN(IF(ISNUMBER(--MID(G261, _xlfn.SEQUENCE(LEN(G261)), 1)), _xlfn.SEQUENCE(LEN(G261)))) - 1)</f>
        <v>IP</v>
      </c>
      <c r="J261" s="129" t="str">
        <f>_xlfn.XLOOKUP(H261,'GK IFT SDM POSTCODES'!A:A,'GK IFT SDM POSTCODES'!B:B,"")</f>
        <v>Kate Rayson</v>
      </c>
    </row>
    <row r="262" spans="1:10" ht="31.5" x14ac:dyDescent="0.35">
      <c r="A262" s="130" t="s">
        <v>4065</v>
      </c>
      <c r="B262" s="127" t="s">
        <v>444</v>
      </c>
      <c r="C262" s="127" t="s">
        <v>2203</v>
      </c>
      <c r="D262" s="133"/>
      <c r="E262" s="126" t="s">
        <v>1</v>
      </c>
      <c r="F262" s="133"/>
      <c r="G262" s="126" t="s">
        <v>445</v>
      </c>
      <c r="H262" s="131" t="str">
        <f t="shared" si="4"/>
        <v>IP1</v>
      </c>
      <c r="I262" s="131" t="str" cm="1">
        <f t="array" ref="I262">LEFT(G262, MIN(IF(ISNUMBER(--MID(G262, _xlfn.SEQUENCE(LEN(G262)), 1)), _xlfn.SEQUENCE(LEN(G262)))) - 1)</f>
        <v>IP</v>
      </c>
      <c r="J262" s="126" t="s">
        <v>4079</v>
      </c>
    </row>
    <row r="263" spans="1:10" ht="17.25" x14ac:dyDescent="0.35">
      <c r="A263" s="131" t="s">
        <v>4160</v>
      </c>
      <c r="B263" s="128" t="s">
        <v>4762</v>
      </c>
      <c r="C263" s="129"/>
      <c r="D263" s="129"/>
      <c r="E263" s="129"/>
      <c r="F263" s="129"/>
      <c r="G263" s="128" t="s">
        <v>446</v>
      </c>
      <c r="H263" s="131" t="str">
        <f t="shared" si="4"/>
        <v>IP1</v>
      </c>
      <c r="I263" s="131" t="str" cm="1">
        <f t="array" ref="I263">LEFT(G263, MIN(IF(ISNUMBER(--MID(G263, _xlfn.SEQUENCE(LEN(G263)), 1)), _xlfn.SEQUENCE(LEN(G263)))) - 1)</f>
        <v>IP</v>
      </c>
      <c r="J263" s="129" t="str">
        <f>_xlfn.XLOOKUP(H263,'GK IFT SDM POSTCODES'!A:A,'GK IFT SDM POSTCODES'!B:B,"")</f>
        <v>Kate Rayson</v>
      </c>
    </row>
    <row r="264" spans="1:10" ht="17.25" x14ac:dyDescent="0.35">
      <c r="A264" s="129" t="s">
        <v>498</v>
      </c>
      <c r="B264" s="137" t="s">
        <v>5149</v>
      </c>
      <c r="C264" s="137" t="s">
        <v>5150</v>
      </c>
      <c r="D264" s="129"/>
      <c r="E264" s="137" t="s">
        <v>1</v>
      </c>
      <c r="F264" s="129"/>
      <c r="G264" s="137" t="s">
        <v>4</v>
      </c>
      <c r="H264" s="131" t="str">
        <f t="shared" si="4"/>
        <v>IP1</v>
      </c>
      <c r="I264" s="131" t="str" cm="1">
        <f t="array" ref="I264">LEFT(G264, MIN(IF(ISNUMBER(--MID(G264, _xlfn.SEQUENCE(LEN(G264)), 1)), _xlfn.SEQUENCE(LEN(G264)))) - 1)</f>
        <v>IP</v>
      </c>
      <c r="J264" s="137" t="s">
        <v>5141</v>
      </c>
    </row>
    <row r="265" spans="1:10" ht="17.25" x14ac:dyDescent="0.35">
      <c r="A265" s="131" t="s">
        <v>4160</v>
      </c>
      <c r="B265" s="128" t="s">
        <v>4763</v>
      </c>
      <c r="C265" s="129"/>
      <c r="D265" s="129"/>
      <c r="E265" s="129"/>
      <c r="F265" s="129"/>
      <c r="G265" s="128" t="s">
        <v>4917</v>
      </c>
      <c r="H265" s="131" t="str">
        <f t="shared" si="4"/>
        <v>IP1</v>
      </c>
      <c r="I265" s="131" t="str" cm="1">
        <f t="array" ref="I265">LEFT(G265, MIN(IF(ISNUMBER(--MID(G265, _xlfn.SEQUENCE(LEN(G265)), 1)), _xlfn.SEQUENCE(LEN(G265)))) - 1)</f>
        <v>IP</v>
      </c>
      <c r="J265" s="129" t="str">
        <f>_xlfn.XLOOKUP(H265,'GK IFT SDM POSTCODES'!A:A,'GK IFT SDM POSTCODES'!B:B,"")</f>
        <v>Kate Rayson</v>
      </c>
    </row>
    <row r="266" spans="1:10" ht="17.25" x14ac:dyDescent="0.35">
      <c r="A266" s="134" t="s">
        <v>7</v>
      </c>
      <c r="B266" s="134" t="s">
        <v>4046</v>
      </c>
      <c r="C266" s="134" t="s">
        <v>3440</v>
      </c>
      <c r="D266" s="129"/>
      <c r="E266" s="134" t="s">
        <v>1</v>
      </c>
      <c r="F266" s="134" t="s">
        <v>45</v>
      </c>
      <c r="G266" s="134" t="s">
        <v>6</v>
      </c>
      <c r="H266" s="131" t="str">
        <f t="shared" si="4"/>
        <v>IP1</v>
      </c>
      <c r="I266" s="131" t="str" cm="1">
        <f t="array" ref="I266">LEFT(G266, MIN(IF(ISNUMBER(--MID(G266, _xlfn.SEQUENCE(LEN(G266)), 1)), _xlfn.SEQUENCE(LEN(G266)))) - 1)</f>
        <v>IP</v>
      </c>
      <c r="J266" s="146" t="s">
        <v>6231</v>
      </c>
    </row>
    <row r="267" spans="1:10" ht="17.25" x14ac:dyDescent="0.35">
      <c r="A267" s="131" t="s">
        <v>4160</v>
      </c>
      <c r="B267" s="128" t="s">
        <v>4764</v>
      </c>
      <c r="C267" s="129"/>
      <c r="D267" s="129"/>
      <c r="E267" s="129"/>
      <c r="F267" s="129"/>
      <c r="G267" s="128" t="s">
        <v>0</v>
      </c>
      <c r="H267" s="131" t="str">
        <f t="shared" si="4"/>
        <v>IP1</v>
      </c>
      <c r="I267" s="131" t="str" cm="1">
        <f t="array" ref="I267">LEFT(G267, MIN(IF(ISNUMBER(--MID(G267, _xlfn.SEQUENCE(LEN(G267)), 1)), _xlfn.SEQUENCE(LEN(G267)))) - 1)</f>
        <v>IP</v>
      </c>
      <c r="J267" s="129" t="str">
        <f>_xlfn.XLOOKUP(H267,'GK IFT SDM POSTCODES'!A:A,'GK IFT SDM POSTCODES'!B:B,"")</f>
        <v>Kate Rayson</v>
      </c>
    </row>
    <row r="268" spans="1:10" ht="17.25" x14ac:dyDescent="0.35">
      <c r="A268" s="131" t="s">
        <v>4160</v>
      </c>
      <c r="B268" s="136" t="s">
        <v>4765</v>
      </c>
      <c r="C268" s="129"/>
      <c r="D268" s="129"/>
      <c r="E268" s="129"/>
      <c r="F268" s="129"/>
      <c r="G268" s="136" t="s">
        <v>0</v>
      </c>
      <c r="H268" s="131" t="str">
        <f t="shared" si="4"/>
        <v>IP1</v>
      </c>
      <c r="I268" s="131" t="str" cm="1">
        <f t="array" ref="I268">LEFT(G268, MIN(IF(ISNUMBER(--MID(G268, _xlfn.SEQUENCE(LEN(G268)), 1)), _xlfn.SEQUENCE(LEN(G268)))) - 1)</f>
        <v>IP</v>
      </c>
      <c r="J268" s="129" t="str">
        <f>_xlfn.XLOOKUP(H268,'GK IFT SDM POSTCODES'!A:A,'GK IFT SDM POSTCODES'!B:B,"")</f>
        <v>Kate Rayson</v>
      </c>
    </row>
    <row r="269" spans="1:10" ht="17.25" x14ac:dyDescent="0.35">
      <c r="A269" s="131" t="s">
        <v>4160</v>
      </c>
      <c r="B269" s="128" t="s">
        <v>4766</v>
      </c>
      <c r="C269" s="129"/>
      <c r="D269" s="129"/>
      <c r="E269" s="129"/>
      <c r="F269" s="129"/>
      <c r="G269" s="128" t="s">
        <v>4918</v>
      </c>
      <c r="H269" s="131" t="str">
        <f t="shared" si="4"/>
        <v>IP1</v>
      </c>
      <c r="I269" s="131" t="str" cm="1">
        <f t="array" ref="I269">LEFT(G269, MIN(IF(ISNUMBER(--MID(G269, _xlfn.SEQUENCE(LEN(G269)), 1)), _xlfn.SEQUENCE(LEN(G269)))) - 1)</f>
        <v>IP</v>
      </c>
      <c r="J269" s="129" t="str">
        <f>_xlfn.XLOOKUP(H269,'GK IFT SDM POSTCODES'!A:A,'GK IFT SDM POSTCODES'!B:B,"")</f>
        <v>Kate Rayson</v>
      </c>
    </row>
    <row r="270" spans="1:10" ht="17.25" x14ac:dyDescent="0.35">
      <c r="A270" s="131" t="s">
        <v>4160</v>
      </c>
      <c r="B270" s="128" t="s">
        <v>4767</v>
      </c>
      <c r="C270" s="129"/>
      <c r="D270" s="129"/>
      <c r="E270" s="129"/>
      <c r="F270" s="129"/>
      <c r="G270" s="128" t="s">
        <v>4919</v>
      </c>
      <c r="H270" s="131" t="str">
        <f t="shared" si="4"/>
        <v>IP10</v>
      </c>
      <c r="I270" s="131" t="str" cm="1">
        <f t="array" ref="I270">LEFT(G270, MIN(IF(ISNUMBER(--MID(G270, _xlfn.SEQUENCE(LEN(G270)), 1)), _xlfn.SEQUENCE(LEN(G270)))) - 1)</f>
        <v>IP</v>
      </c>
      <c r="J270" s="129" t="str">
        <f>_xlfn.XLOOKUP(H270,'GK IFT SDM POSTCODES'!A:A,'GK IFT SDM POSTCODES'!B:B,"")</f>
        <v>Rob Brown</v>
      </c>
    </row>
    <row r="271" spans="1:10" ht="21" x14ac:dyDescent="0.35">
      <c r="A271" s="130" t="s">
        <v>4065</v>
      </c>
      <c r="B271" s="127" t="s">
        <v>158</v>
      </c>
      <c r="C271" s="127" t="s">
        <v>2939</v>
      </c>
      <c r="D271" s="133"/>
      <c r="E271" s="126" t="s">
        <v>161</v>
      </c>
      <c r="F271" s="133"/>
      <c r="G271" s="126" t="s">
        <v>159</v>
      </c>
      <c r="H271" s="131" t="str">
        <f t="shared" si="4"/>
        <v>IP11</v>
      </c>
      <c r="I271" s="131" t="str" cm="1">
        <f t="array" ref="I271">LEFT(G271, MIN(IF(ISNUMBER(--MID(G271, _xlfn.SEQUENCE(LEN(G271)), 1)), _xlfn.SEQUENCE(LEN(G271)))) - 1)</f>
        <v>IP</v>
      </c>
      <c r="J271" s="126" t="s">
        <v>4079</v>
      </c>
    </row>
    <row r="272" spans="1:10" ht="17.25" x14ac:dyDescent="0.35">
      <c r="A272" s="131" t="s">
        <v>4160</v>
      </c>
      <c r="B272" s="136" t="s">
        <v>4768</v>
      </c>
      <c r="C272" s="129"/>
      <c r="D272" s="129"/>
      <c r="E272" s="129"/>
      <c r="F272" s="129"/>
      <c r="G272" s="136" t="s">
        <v>4920</v>
      </c>
      <c r="H272" s="131" t="str">
        <f t="shared" si="4"/>
        <v>IP11</v>
      </c>
      <c r="I272" s="131" t="str" cm="1">
        <f t="array" ref="I272">LEFT(G272, MIN(IF(ISNUMBER(--MID(G272, _xlfn.SEQUENCE(LEN(G272)), 1)), _xlfn.SEQUENCE(LEN(G272)))) - 1)</f>
        <v>IP</v>
      </c>
      <c r="J272" s="129" t="str">
        <f>_xlfn.XLOOKUP(H272,'GK IFT SDM POSTCODES'!A:A,'GK IFT SDM POSTCODES'!B:B,"")</f>
        <v>Rob Brown</v>
      </c>
    </row>
    <row r="273" spans="1:11" ht="17.25" x14ac:dyDescent="0.35">
      <c r="A273" s="131" t="s">
        <v>4160</v>
      </c>
      <c r="B273" s="136" t="s">
        <v>4769</v>
      </c>
      <c r="C273" s="129"/>
      <c r="D273" s="129"/>
      <c r="E273" s="129"/>
      <c r="F273" s="129"/>
      <c r="G273" s="136" t="s">
        <v>4921</v>
      </c>
      <c r="H273" s="131" t="str">
        <f t="shared" si="4"/>
        <v>IP11</v>
      </c>
      <c r="I273" s="131" t="str" cm="1">
        <f t="array" ref="I273">LEFT(G273, MIN(IF(ISNUMBER(--MID(G273, _xlfn.SEQUENCE(LEN(G273)), 1)), _xlfn.SEQUENCE(LEN(G273)))) - 1)</f>
        <v>IP</v>
      </c>
      <c r="J273" s="129" t="str">
        <f>_xlfn.XLOOKUP(H273,'GK IFT SDM POSTCODES'!A:A,'GK IFT SDM POSTCODES'!B:B,"")</f>
        <v>Rob Brown</v>
      </c>
    </row>
    <row r="274" spans="1:11" ht="17.25" x14ac:dyDescent="0.35">
      <c r="A274" s="131" t="s">
        <v>4160</v>
      </c>
      <c r="B274" s="128" t="s">
        <v>4770</v>
      </c>
      <c r="C274" s="129"/>
      <c r="D274" s="129"/>
      <c r="E274" s="129"/>
      <c r="F274" s="129"/>
      <c r="G274" s="128" t="s">
        <v>4922</v>
      </c>
      <c r="H274" s="131" t="str">
        <f t="shared" si="4"/>
        <v>IP11</v>
      </c>
      <c r="I274" s="131" t="str" cm="1">
        <f t="array" ref="I274">LEFT(G274, MIN(IF(ISNUMBER(--MID(G274, _xlfn.SEQUENCE(LEN(G274)), 1)), _xlfn.SEQUENCE(LEN(G274)))) - 1)</f>
        <v>IP</v>
      </c>
      <c r="J274" s="129" t="str">
        <f>_xlfn.XLOOKUP(H274,'GK IFT SDM POSTCODES'!A:A,'GK IFT SDM POSTCODES'!B:B,"")</f>
        <v>Rob Brown</v>
      </c>
    </row>
    <row r="275" spans="1:11" ht="17.25" x14ac:dyDescent="0.35">
      <c r="A275" s="131" t="s">
        <v>4160</v>
      </c>
      <c r="B275" s="128" t="s">
        <v>4771</v>
      </c>
      <c r="C275" s="129"/>
      <c r="D275" s="129"/>
      <c r="E275" s="129"/>
      <c r="F275" s="129"/>
      <c r="G275" s="128" t="s">
        <v>4923</v>
      </c>
      <c r="H275" s="131" t="str">
        <f t="shared" si="4"/>
        <v>IP11</v>
      </c>
      <c r="I275" s="131" t="str" cm="1">
        <f t="array" ref="I275">LEFT(G275, MIN(IF(ISNUMBER(--MID(G275, _xlfn.SEQUENCE(LEN(G275)), 1)), _xlfn.SEQUENCE(LEN(G275)))) - 1)</f>
        <v>IP</v>
      </c>
      <c r="J275" s="129" t="str">
        <f>_xlfn.XLOOKUP(H275,'GK IFT SDM POSTCODES'!A:A,'GK IFT SDM POSTCODES'!B:B,"")</f>
        <v>Rob Brown</v>
      </c>
    </row>
    <row r="276" spans="1:11" ht="17.25" x14ac:dyDescent="0.35">
      <c r="A276" s="131" t="s">
        <v>4160</v>
      </c>
      <c r="B276" s="128" t="s">
        <v>4772</v>
      </c>
      <c r="C276" s="129"/>
      <c r="D276" s="129"/>
      <c r="E276" s="129"/>
      <c r="F276" s="129"/>
      <c r="G276" s="128" t="s">
        <v>160</v>
      </c>
      <c r="H276" s="131" t="str">
        <f t="shared" si="4"/>
        <v>IP11</v>
      </c>
      <c r="I276" s="131" t="str" cm="1">
        <f t="array" ref="I276">LEFT(G276, MIN(IF(ISNUMBER(--MID(G276, _xlfn.SEQUENCE(LEN(G276)), 1)), _xlfn.SEQUENCE(LEN(G276)))) - 1)</f>
        <v>IP</v>
      </c>
      <c r="J276" s="129" t="str">
        <f>_xlfn.XLOOKUP(H276,'GK IFT SDM POSTCODES'!A:A,'GK IFT SDM POSTCODES'!B:B,"")</f>
        <v>Rob Brown</v>
      </c>
    </row>
    <row r="277" spans="1:11" ht="17.25" x14ac:dyDescent="0.35">
      <c r="A277" s="131" t="s">
        <v>4160</v>
      </c>
      <c r="B277" s="128" t="s">
        <v>4773</v>
      </c>
      <c r="C277" s="129"/>
      <c r="D277" s="129"/>
      <c r="E277" s="129"/>
      <c r="F277" s="129"/>
      <c r="G277" s="128" t="s">
        <v>160</v>
      </c>
      <c r="H277" s="131" t="str">
        <f t="shared" si="4"/>
        <v>IP11</v>
      </c>
      <c r="I277" s="131" t="str" cm="1">
        <f t="array" ref="I277">LEFT(G277, MIN(IF(ISNUMBER(--MID(G277, _xlfn.SEQUENCE(LEN(G277)), 1)), _xlfn.SEQUENCE(LEN(G277)))) - 1)</f>
        <v>IP</v>
      </c>
      <c r="J277" s="129" t="str">
        <f>_xlfn.XLOOKUP(H277,'GK IFT SDM POSTCODES'!A:A,'GK IFT SDM POSTCODES'!B:B,"")</f>
        <v>Rob Brown</v>
      </c>
    </row>
    <row r="278" spans="1:11" ht="17.25" x14ac:dyDescent="0.35">
      <c r="A278" s="131" t="s">
        <v>4160</v>
      </c>
      <c r="B278" s="128" t="s">
        <v>4774</v>
      </c>
      <c r="C278" s="129"/>
      <c r="D278" s="129"/>
      <c r="E278" s="129"/>
      <c r="F278" s="129"/>
      <c r="G278" s="128" t="s">
        <v>160</v>
      </c>
      <c r="H278" s="131" t="str">
        <f t="shared" si="4"/>
        <v>IP11</v>
      </c>
      <c r="I278" s="131" t="str" cm="1">
        <f t="array" ref="I278">LEFT(G278, MIN(IF(ISNUMBER(--MID(G278, _xlfn.SEQUENCE(LEN(G278)), 1)), _xlfn.SEQUENCE(LEN(G278)))) - 1)</f>
        <v>IP</v>
      </c>
      <c r="J278" s="129" t="str">
        <f>_xlfn.XLOOKUP(H278,'GK IFT SDM POSTCODES'!A:A,'GK IFT SDM POSTCODES'!B:B,"")</f>
        <v>Rob Brown</v>
      </c>
    </row>
    <row r="279" spans="1:11" ht="17.25" x14ac:dyDescent="0.35">
      <c r="A279" s="131" t="s">
        <v>4160</v>
      </c>
      <c r="B279" s="128" t="s">
        <v>4775</v>
      </c>
      <c r="C279" s="129"/>
      <c r="D279" s="129"/>
      <c r="E279" s="129"/>
      <c r="F279" s="129"/>
      <c r="G279" s="128" t="s">
        <v>160</v>
      </c>
      <c r="H279" s="131" t="str">
        <f t="shared" si="4"/>
        <v>IP11</v>
      </c>
      <c r="I279" s="131" t="str" cm="1">
        <f t="array" ref="I279">LEFT(G279, MIN(IF(ISNUMBER(--MID(G279, _xlfn.SEQUENCE(LEN(G279)), 1)), _xlfn.SEQUENCE(LEN(G279)))) - 1)</f>
        <v>IP</v>
      </c>
      <c r="J279" s="129" t="str">
        <f>_xlfn.XLOOKUP(H279,'GK IFT SDM POSTCODES'!A:A,'GK IFT SDM POSTCODES'!B:B,"")</f>
        <v>Rob Brown</v>
      </c>
    </row>
    <row r="280" spans="1:11" ht="17.25" x14ac:dyDescent="0.35">
      <c r="A280" s="131" t="s">
        <v>4160</v>
      </c>
      <c r="B280" s="128" t="s">
        <v>4776</v>
      </c>
      <c r="C280" s="129"/>
      <c r="D280" s="129"/>
      <c r="E280" s="129"/>
      <c r="F280" s="129"/>
      <c r="G280" s="128" t="s">
        <v>4924</v>
      </c>
      <c r="H280" s="131" t="str">
        <f t="shared" si="4"/>
        <v>IP11</v>
      </c>
      <c r="I280" s="131" t="str" cm="1">
        <f t="array" ref="I280">LEFT(G280, MIN(IF(ISNUMBER(--MID(G280, _xlfn.SEQUENCE(LEN(G280)), 1)), _xlfn.SEQUENCE(LEN(G280)))) - 1)</f>
        <v>IP</v>
      </c>
      <c r="J280" s="129" t="str">
        <f>_xlfn.XLOOKUP(H280,'GK IFT SDM POSTCODES'!A:A,'GK IFT SDM POSTCODES'!B:B,"")</f>
        <v>Rob Brown</v>
      </c>
    </row>
    <row r="281" spans="1:11" ht="17.25" x14ac:dyDescent="0.35">
      <c r="A281" s="131" t="s">
        <v>4160</v>
      </c>
      <c r="B281" s="136" t="s">
        <v>4777</v>
      </c>
      <c r="C281" s="129"/>
      <c r="D281" s="129"/>
      <c r="E281" s="129"/>
      <c r="F281" s="129"/>
      <c r="G281" s="136" t="s">
        <v>4924</v>
      </c>
      <c r="H281" s="131" t="str">
        <f t="shared" si="4"/>
        <v>IP11</v>
      </c>
      <c r="I281" s="131" t="str" cm="1">
        <f t="array" ref="I281">LEFT(G281, MIN(IF(ISNUMBER(--MID(G281, _xlfn.SEQUENCE(LEN(G281)), 1)), _xlfn.SEQUENCE(LEN(G281)))) - 1)</f>
        <v>IP</v>
      </c>
      <c r="J281" s="129" t="str">
        <f>_xlfn.XLOOKUP(H281,'GK IFT SDM POSTCODES'!A:A,'GK IFT SDM POSTCODES'!B:B,"")</f>
        <v>Rob Brown</v>
      </c>
    </row>
    <row r="282" spans="1:11" ht="17.25" x14ac:dyDescent="0.35">
      <c r="A282" s="129" t="s">
        <v>498</v>
      </c>
      <c r="B282" s="137" t="s">
        <v>5151</v>
      </c>
      <c r="C282" s="137" t="s">
        <v>5152</v>
      </c>
      <c r="D282" s="129"/>
      <c r="E282" s="137" t="s">
        <v>161</v>
      </c>
      <c r="F282" s="129"/>
      <c r="G282" s="137" t="s">
        <v>3602</v>
      </c>
      <c r="H282" s="131" t="str">
        <f t="shared" si="4"/>
        <v>IP11</v>
      </c>
      <c r="I282" s="131" t="str" cm="1">
        <f t="array" ref="I282">LEFT(G282, MIN(IF(ISNUMBER(--MID(G282, _xlfn.SEQUENCE(LEN(G282)), 1)), _xlfn.SEQUENCE(LEN(G282)))) - 1)</f>
        <v>IP</v>
      </c>
      <c r="J282" s="137" t="s">
        <v>5141</v>
      </c>
    </row>
    <row r="283" spans="1:11" ht="17.25" x14ac:dyDescent="0.35">
      <c r="A283" s="131" t="s">
        <v>4160</v>
      </c>
      <c r="B283" s="128" t="s">
        <v>4778</v>
      </c>
      <c r="C283" s="129"/>
      <c r="D283" s="129"/>
      <c r="E283" s="129"/>
      <c r="F283" s="129"/>
      <c r="G283" s="128" t="s">
        <v>4925</v>
      </c>
      <c r="H283" s="131" t="str">
        <f t="shared" si="4"/>
        <v>IP11</v>
      </c>
      <c r="I283" s="131" t="str" cm="1">
        <f t="array" ref="I283">LEFT(G283, MIN(IF(ISNUMBER(--MID(G283, _xlfn.SEQUENCE(LEN(G283)), 1)), _xlfn.SEQUENCE(LEN(G283)))) - 1)</f>
        <v>IP</v>
      </c>
      <c r="J283" s="129" t="str">
        <f>_xlfn.XLOOKUP(H283,'GK IFT SDM POSTCODES'!A:A,'GK IFT SDM POSTCODES'!B:B,"")</f>
        <v>Rob Brown</v>
      </c>
    </row>
    <row r="284" spans="1:11" ht="17.25" x14ac:dyDescent="0.35">
      <c r="A284" s="131" t="s">
        <v>4160</v>
      </c>
      <c r="B284" s="128" t="s">
        <v>4779</v>
      </c>
      <c r="C284" s="129"/>
      <c r="D284" s="129"/>
      <c r="E284" s="129"/>
      <c r="F284" s="129"/>
      <c r="G284" s="128" t="s">
        <v>4926</v>
      </c>
      <c r="H284" s="131" t="str">
        <f t="shared" si="4"/>
        <v>IP11</v>
      </c>
      <c r="I284" s="131" t="str" cm="1">
        <f t="array" ref="I284">LEFT(G284, MIN(IF(ISNUMBER(--MID(G284, _xlfn.SEQUENCE(LEN(G284)), 1)), _xlfn.SEQUENCE(LEN(G284)))) - 1)</f>
        <v>IP</v>
      </c>
      <c r="J284" s="129" t="str">
        <f>_xlfn.XLOOKUP(H284,'GK IFT SDM POSTCODES'!A:A,'GK IFT SDM POSTCODES'!B:B,"")</f>
        <v>Rob Brown</v>
      </c>
      <c r="K284" s="129"/>
    </row>
    <row r="285" spans="1:11" ht="21" x14ac:dyDescent="0.35">
      <c r="A285" s="130" t="s">
        <v>4065</v>
      </c>
      <c r="B285" s="127" t="s">
        <v>192</v>
      </c>
      <c r="C285" s="127" t="s">
        <v>2204</v>
      </c>
      <c r="D285" s="133"/>
      <c r="E285" s="126" t="s">
        <v>161</v>
      </c>
      <c r="F285" s="133"/>
      <c r="G285" s="126" t="s">
        <v>4091</v>
      </c>
      <c r="H285" s="131" t="str">
        <f t="shared" si="4"/>
        <v>IP11</v>
      </c>
      <c r="I285" s="131" t="str" cm="1">
        <f t="array" ref="I285">LEFT(G285, MIN(IF(ISNUMBER(--MID(G285, _xlfn.SEQUENCE(LEN(G285)), 1)), _xlfn.SEQUENCE(LEN(G285)))) - 1)</f>
        <v>IP</v>
      </c>
      <c r="J285" s="126" t="s">
        <v>4070</v>
      </c>
      <c r="K285" s="129"/>
    </row>
    <row r="286" spans="1:11" ht="17.25" x14ac:dyDescent="0.35">
      <c r="A286" s="134" t="s">
        <v>7</v>
      </c>
      <c r="B286" s="134" t="s">
        <v>4047</v>
      </c>
      <c r="C286" s="134" t="s">
        <v>632</v>
      </c>
      <c r="D286" s="129"/>
      <c r="E286" s="134" t="s">
        <v>161</v>
      </c>
      <c r="F286" s="134" t="s">
        <v>45</v>
      </c>
      <c r="G286" s="134" t="s">
        <v>162</v>
      </c>
      <c r="H286" s="131" t="str">
        <f t="shared" si="4"/>
        <v>IP11</v>
      </c>
      <c r="I286" s="131" t="str" cm="1">
        <f t="array" ref="I286">LEFT(G286, MIN(IF(ISNUMBER(--MID(G286, _xlfn.SEQUENCE(LEN(G286)), 1)), _xlfn.SEQUENCE(LEN(G286)))) - 1)</f>
        <v>IP</v>
      </c>
      <c r="J286" s="146" t="s">
        <v>6231</v>
      </c>
      <c r="K286" s="129"/>
    </row>
    <row r="287" spans="1:11" ht="17.25" x14ac:dyDescent="0.35">
      <c r="A287" s="131" t="s">
        <v>4160</v>
      </c>
      <c r="B287" s="128" t="s">
        <v>4780</v>
      </c>
      <c r="C287" s="129"/>
      <c r="D287" s="129"/>
      <c r="E287" s="129"/>
      <c r="F287" s="129"/>
      <c r="G287" s="128" t="s">
        <v>150</v>
      </c>
      <c r="H287" s="131" t="str">
        <f t="shared" si="4"/>
        <v>IP12</v>
      </c>
      <c r="I287" s="131" t="str" cm="1">
        <f t="array" ref="I287">LEFT(G287, MIN(IF(ISNUMBER(--MID(G287, _xlfn.SEQUENCE(LEN(G287)), 1)), _xlfn.SEQUENCE(LEN(G287)))) - 1)</f>
        <v>IP</v>
      </c>
      <c r="J287" s="129" t="str">
        <f>_xlfn.XLOOKUP(H287,'GK IFT SDM POSTCODES'!A:A,'GK IFT SDM POSTCODES'!B:B,"")</f>
        <v>Rob Brown</v>
      </c>
      <c r="K287" s="129"/>
    </row>
    <row r="288" spans="1:11" ht="31.5" x14ac:dyDescent="0.35">
      <c r="A288" s="130" t="s">
        <v>4065</v>
      </c>
      <c r="B288" s="127" t="s">
        <v>151</v>
      </c>
      <c r="C288" s="127" t="s">
        <v>3493</v>
      </c>
      <c r="D288" s="133"/>
      <c r="E288" s="126" t="s">
        <v>90</v>
      </c>
      <c r="F288" s="133"/>
      <c r="G288" s="126" t="s">
        <v>152</v>
      </c>
      <c r="H288" s="131" t="str">
        <f t="shared" si="4"/>
        <v>IP12</v>
      </c>
      <c r="I288" s="131" t="str" cm="1">
        <f t="array" ref="I288">LEFT(G288, MIN(IF(ISNUMBER(--MID(G288, _xlfn.SEQUENCE(LEN(G288)), 1)), _xlfn.SEQUENCE(LEN(G288)))) - 1)</f>
        <v>IP</v>
      </c>
      <c r="J288" s="126" t="s">
        <v>4079</v>
      </c>
      <c r="K288" s="129"/>
    </row>
    <row r="289" spans="1:11" ht="17.25" x14ac:dyDescent="0.35">
      <c r="A289" s="130" t="s">
        <v>3718</v>
      </c>
      <c r="B289" s="131" t="s">
        <v>1392</v>
      </c>
      <c r="C289" s="131" t="s">
        <v>3173</v>
      </c>
      <c r="D289" s="131" t="s">
        <v>90</v>
      </c>
      <c r="E289" s="131"/>
      <c r="F289" s="131" t="s">
        <v>45</v>
      </c>
      <c r="G289" s="131" t="s">
        <v>148</v>
      </c>
      <c r="H289" s="131" t="str">
        <f t="shared" si="4"/>
        <v>IP12</v>
      </c>
      <c r="I289" s="131" t="str" cm="1">
        <f t="array" ref="I289">LEFT(G289, MIN(IF(ISNUMBER(--MID(G289, _xlfn.SEQUENCE(LEN(G289)), 1)), _xlfn.SEQUENCE(LEN(G289)))) - 1)</f>
        <v>IP</v>
      </c>
      <c r="J289" s="131" t="s">
        <v>3726</v>
      </c>
      <c r="K289" s="129"/>
    </row>
    <row r="290" spans="1:11" ht="21" x14ac:dyDescent="0.35">
      <c r="A290" s="130" t="s">
        <v>4065</v>
      </c>
      <c r="B290" s="127" t="s">
        <v>593</v>
      </c>
      <c r="C290" s="127" t="s">
        <v>594</v>
      </c>
      <c r="D290" s="133"/>
      <c r="E290" s="126" t="s">
        <v>90</v>
      </c>
      <c r="F290" s="133"/>
      <c r="G290" s="126" t="s">
        <v>4092</v>
      </c>
      <c r="H290" s="131" t="str">
        <f t="shared" si="4"/>
        <v>IP12</v>
      </c>
      <c r="I290" s="131" t="str" cm="1">
        <f t="array" ref="I290">LEFT(G290, MIN(IF(ISNUMBER(--MID(G290, _xlfn.SEQUENCE(LEN(G290)), 1)), _xlfn.SEQUENCE(LEN(G290)))) - 1)</f>
        <v>IP</v>
      </c>
      <c r="J290" s="126" t="s">
        <v>4070</v>
      </c>
      <c r="K290" s="129"/>
    </row>
    <row r="291" spans="1:11" ht="17.25" x14ac:dyDescent="0.35">
      <c r="A291" s="130" t="s">
        <v>3718</v>
      </c>
      <c r="B291" s="131" t="s">
        <v>3727</v>
      </c>
      <c r="C291" s="131" t="s">
        <v>2935</v>
      </c>
      <c r="D291" s="131" t="s">
        <v>90</v>
      </c>
      <c r="E291" s="131"/>
      <c r="F291" s="131" t="s">
        <v>45</v>
      </c>
      <c r="G291" s="131" t="s">
        <v>3728</v>
      </c>
      <c r="H291" s="131" t="str">
        <f t="shared" si="4"/>
        <v>IP12</v>
      </c>
      <c r="I291" s="131" t="str" cm="1">
        <f t="array" ref="I291">LEFT(G291, MIN(IF(ISNUMBER(--MID(G291, _xlfn.SEQUENCE(LEN(G291)), 1)), _xlfn.SEQUENCE(LEN(G291)))) - 1)</f>
        <v>IP</v>
      </c>
      <c r="J291" s="131" t="s">
        <v>3726</v>
      </c>
      <c r="K291" s="129"/>
    </row>
    <row r="292" spans="1:11" ht="17.25" x14ac:dyDescent="0.35">
      <c r="A292" s="134" t="s">
        <v>7</v>
      </c>
      <c r="B292" s="134" t="s">
        <v>4048</v>
      </c>
      <c r="C292" s="134" t="s">
        <v>4033</v>
      </c>
      <c r="D292" s="129"/>
      <c r="E292" s="134" t="s">
        <v>90</v>
      </c>
      <c r="F292" s="134" t="s">
        <v>45</v>
      </c>
      <c r="G292" s="134" t="s">
        <v>258</v>
      </c>
      <c r="H292" s="131" t="str">
        <f t="shared" si="4"/>
        <v>IP12</v>
      </c>
      <c r="I292" s="131" t="str" cm="1">
        <f t="array" ref="I292">LEFT(G292, MIN(IF(ISNUMBER(--MID(G292, _xlfn.SEQUENCE(LEN(G292)), 1)), _xlfn.SEQUENCE(LEN(G292)))) - 1)</f>
        <v>IP</v>
      </c>
      <c r="J292" s="146" t="s">
        <v>6231</v>
      </c>
      <c r="K292" s="129"/>
    </row>
    <row r="293" spans="1:11" ht="17.25" x14ac:dyDescent="0.35">
      <c r="A293" s="131" t="s">
        <v>4160</v>
      </c>
      <c r="B293" s="128" t="s">
        <v>4781</v>
      </c>
      <c r="C293" s="129"/>
      <c r="D293" s="129"/>
      <c r="E293" s="129"/>
      <c r="F293" s="129"/>
      <c r="G293" s="128" t="s">
        <v>179</v>
      </c>
      <c r="H293" s="131" t="str">
        <f t="shared" si="4"/>
        <v>IP12</v>
      </c>
      <c r="I293" s="131" t="str" cm="1">
        <f t="array" ref="I293">LEFT(G293, MIN(IF(ISNUMBER(--MID(G293, _xlfn.SEQUENCE(LEN(G293)), 1)), _xlfn.SEQUENCE(LEN(G293)))) - 1)</f>
        <v>IP</v>
      </c>
      <c r="J293" s="129" t="str">
        <f>_xlfn.XLOOKUP(H293,'GK IFT SDM POSTCODES'!A:A,'GK IFT SDM POSTCODES'!B:B,"")</f>
        <v>Rob Brown</v>
      </c>
      <c r="K293" s="129"/>
    </row>
    <row r="294" spans="1:11" ht="17.25" x14ac:dyDescent="0.35">
      <c r="A294" s="131" t="s">
        <v>4160</v>
      </c>
      <c r="B294" s="128" t="s">
        <v>4782</v>
      </c>
      <c r="C294" s="129"/>
      <c r="D294" s="129"/>
      <c r="E294" s="129"/>
      <c r="F294" s="129"/>
      <c r="G294" s="128" t="s">
        <v>4927</v>
      </c>
      <c r="H294" s="131" t="str">
        <f t="shared" si="4"/>
        <v>IP12</v>
      </c>
      <c r="I294" s="131" t="str" cm="1">
        <f t="array" ref="I294">LEFT(G294, MIN(IF(ISNUMBER(--MID(G294, _xlfn.SEQUENCE(LEN(G294)), 1)), _xlfn.SEQUENCE(LEN(G294)))) - 1)</f>
        <v>IP</v>
      </c>
      <c r="J294" s="129" t="str">
        <f>_xlfn.XLOOKUP(H294,'GK IFT SDM POSTCODES'!A:A,'GK IFT SDM POSTCODES'!B:B,"")</f>
        <v>Rob Brown</v>
      </c>
      <c r="K294" s="129"/>
    </row>
    <row r="295" spans="1:11" ht="17.25" x14ac:dyDescent="0.35">
      <c r="A295" s="131" t="s">
        <v>4160</v>
      </c>
      <c r="B295" s="128" t="s">
        <v>4783</v>
      </c>
      <c r="C295" s="129"/>
      <c r="D295" s="129"/>
      <c r="E295" s="129"/>
      <c r="F295" s="129"/>
      <c r="G295" s="128" t="s">
        <v>289</v>
      </c>
      <c r="H295" s="131" t="str">
        <f t="shared" si="4"/>
        <v>IP12</v>
      </c>
      <c r="I295" s="131" t="str" cm="1">
        <f t="array" ref="I295">LEFT(G295, MIN(IF(ISNUMBER(--MID(G295, _xlfn.SEQUENCE(LEN(G295)), 1)), _xlfn.SEQUENCE(LEN(G295)))) - 1)</f>
        <v>IP</v>
      </c>
      <c r="J295" s="129" t="str">
        <f>_xlfn.XLOOKUP(H295,'GK IFT SDM POSTCODES'!A:A,'GK IFT SDM POSTCODES'!B:B,"")</f>
        <v>Rob Brown</v>
      </c>
      <c r="K295" s="129"/>
    </row>
    <row r="296" spans="1:11" ht="17.25" x14ac:dyDescent="0.35">
      <c r="A296" s="131" t="s">
        <v>4160</v>
      </c>
      <c r="B296" s="128" t="s">
        <v>4784</v>
      </c>
      <c r="C296" s="129"/>
      <c r="D296" s="129"/>
      <c r="E296" s="129"/>
      <c r="F296" s="129"/>
      <c r="G296" s="128" t="s">
        <v>289</v>
      </c>
      <c r="H296" s="131" t="str">
        <f t="shared" si="4"/>
        <v>IP12</v>
      </c>
      <c r="I296" s="131" t="str" cm="1">
        <f t="array" ref="I296">LEFT(G296, MIN(IF(ISNUMBER(--MID(G296, _xlfn.SEQUENCE(LEN(G296)), 1)), _xlfn.SEQUENCE(LEN(G296)))) - 1)</f>
        <v>IP</v>
      </c>
      <c r="J296" s="129" t="str">
        <f>_xlfn.XLOOKUP(H296,'GK IFT SDM POSTCODES'!A:A,'GK IFT SDM POSTCODES'!B:B,"")</f>
        <v>Rob Brown</v>
      </c>
      <c r="K296" s="129"/>
    </row>
    <row r="297" spans="1:11" ht="17.25" x14ac:dyDescent="0.35">
      <c r="A297" s="131" t="s">
        <v>4160</v>
      </c>
      <c r="B297" s="128" t="s">
        <v>4785</v>
      </c>
      <c r="C297" s="129"/>
      <c r="D297" s="129"/>
      <c r="E297" s="129"/>
      <c r="F297" s="129"/>
      <c r="G297" s="128" t="s">
        <v>4928</v>
      </c>
      <c r="H297" s="131" t="str">
        <f t="shared" si="4"/>
        <v>IP12</v>
      </c>
      <c r="I297" s="131" t="str" cm="1">
        <f t="array" ref="I297">LEFT(G297, MIN(IF(ISNUMBER(--MID(G297, _xlfn.SEQUENCE(LEN(G297)), 1)), _xlfn.SEQUENCE(LEN(G297)))) - 1)</f>
        <v>IP</v>
      </c>
      <c r="J297" s="129" t="str">
        <f>_xlfn.XLOOKUP(H297,'GK IFT SDM POSTCODES'!A:A,'GK IFT SDM POSTCODES'!B:B,"")</f>
        <v>Rob Brown</v>
      </c>
      <c r="K297" s="129"/>
    </row>
    <row r="298" spans="1:11" ht="17.25" x14ac:dyDescent="0.35">
      <c r="A298" s="131" t="s">
        <v>4160</v>
      </c>
      <c r="B298" s="128" t="s">
        <v>4786</v>
      </c>
      <c r="C298" s="129"/>
      <c r="D298" s="129"/>
      <c r="E298" s="129"/>
      <c r="F298" s="129"/>
      <c r="G298" s="128" t="s">
        <v>4929</v>
      </c>
      <c r="H298" s="131" t="str">
        <f t="shared" si="4"/>
        <v>IP13</v>
      </c>
      <c r="I298" s="131" t="str" cm="1">
        <f t="array" ref="I298">LEFT(G298, MIN(IF(ISNUMBER(--MID(G298, _xlfn.SEQUENCE(LEN(G298)), 1)), _xlfn.SEQUENCE(LEN(G298)))) - 1)</f>
        <v>IP</v>
      </c>
      <c r="J298" s="129" t="str">
        <f>_xlfn.XLOOKUP(H298,'GK IFT SDM POSTCODES'!A:A,'GK IFT SDM POSTCODES'!B:B,"")</f>
        <v>Rob Brown</v>
      </c>
      <c r="K298" s="129"/>
    </row>
    <row r="299" spans="1:11" ht="17.25" x14ac:dyDescent="0.35">
      <c r="A299" s="131" t="s">
        <v>4160</v>
      </c>
      <c r="B299" s="128" t="s">
        <v>4787</v>
      </c>
      <c r="C299" s="129"/>
      <c r="D299" s="129"/>
      <c r="E299" s="129"/>
      <c r="F299" s="129"/>
      <c r="G299" s="128" t="s">
        <v>4930</v>
      </c>
      <c r="H299" s="131" t="str">
        <f t="shared" si="4"/>
        <v>IP13</v>
      </c>
      <c r="I299" s="131" t="str" cm="1">
        <f t="array" ref="I299">LEFT(G299, MIN(IF(ISNUMBER(--MID(G299, _xlfn.SEQUENCE(LEN(G299)), 1)), _xlfn.SEQUENCE(LEN(G299)))) - 1)</f>
        <v>IP</v>
      </c>
      <c r="J299" s="129" t="str">
        <f>_xlfn.XLOOKUP(H299,'GK IFT SDM POSTCODES'!A:A,'GK IFT SDM POSTCODES'!B:B,"")</f>
        <v>Rob Brown</v>
      </c>
      <c r="K299" s="129"/>
    </row>
    <row r="300" spans="1:11" ht="17.25" x14ac:dyDescent="0.35">
      <c r="A300" s="131" t="s">
        <v>4160</v>
      </c>
      <c r="B300" s="128" t="s">
        <v>4788</v>
      </c>
      <c r="C300" s="129"/>
      <c r="D300" s="129"/>
      <c r="E300" s="129"/>
      <c r="F300" s="129"/>
      <c r="G300" s="128" t="s">
        <v>4931</v>
      </c>
      <c r="H300" s="131" t="str">
        <f t="shared" si="4"/>
        <v>IP13</v>
      </c>
      <c r="I300" s="131" t="str" cm="1">
        <f t="array" ref="I300">LEFT(G300, MIN(IF(ISNUMBER(--MID(G300, _xlfn.SEQUENCE(LEN(G300)), 1)), _xlfn.SEQUENCE(LEN(G300)))) - 1)</f>
        <v>IP</v>
      </c>
      <c r="J300" s="129" t="str">
        <f>_xlfn.XLOOKUP(H300,'GK IFT SDM POSTCODES'!A:A,'GK IFT SDM POSTCODES'!B:B,"")</f>
        <v>Rob Brown</v>
      </c>
      <c r="K300" s="129"/>
    </row>
    <row r="301" spans="1:11" ht="17.25" x14ac:dyDescent="0.35">
      <c r="A301" s="131" t="s">
        <v>4160</v>
      </c>
      <c r="B301" s="128" t="s">
        <v>4789</v>
      </c>
      <c r="C301" s="129"/>
      <c r="D301" s="129"/>
      <c r="E301" s="129"/>
      <c r="F301" s="129"/>
      <c r="G301" s="128" t="s">
        <v>4932</v>
      </c>
      <c r="H301" s="131" t="str">
        <f t="shared" si="4"/>
        <v>IP13</v>
      </c>
      <c r="I301" s="131" t="str" cm="1">
        <f t="array" ref="I301">LEFT(G301, MIN(IF(ISNUMBER(--MID(G301, _xlfn.SEQUENCE(LEN(G301)), 1)), _xlfn.SEQUENCE(LEN(G301)))) - 1)</f>
        <v>IP</v>
      </c>
      <c r="J301" s="129" t="str">
        <f>_xlfn.XLOOKUP(H301,'GK IFT SDM POSTCODES'!A:A,'GK IFT SDM POSTCODES'!B:B,"")</f>
        <v>Rob Brown</v>
      </c>
      <c r="K301" s="129"/>
    </row>
    <row r="302" spans="1:11" ht="17.25" x14ac:dyDescent="0.35">
      <c r="A302" s="131" t="s">
        <v>4160</v>
      </c>
      <c r="B302" s="128" t="s">
        <v>4790</v>
      </c>
      <c r="C302" s="129"/>
      <c r="D302" s="129"/>
      <c r="E302" s="129"/>
      <c r="F302" s="129"/>
      <c r="G302" s="128" t="s">
        <v>4933</v>
      </c>
      <c r="H302" s="131" t="str">
        <f t="shared" si="4"/>
        <v>IP13</v>
      </c>
      <c r="I302" s="131" t="str" cm="1">
        <f t="array" ref="I302">LEFT(G302, MIN(IF(ISNUMBER(--MID(G302, _xlfn.SEQUENCE(LEN(G302)), 1)), _xlfn.SEQUENCE(LEN(G302)))) - 1)</f>
        <v>IP</v>
      </c>
      <c r="J302" s="129" t="str">
        <f>_xlfn.XLOOKUP(H302,'GK IFT SDM POSTCODES'!A:A,'GK IFT SDM POSTCODES'!B:B,"")</f>
        <v>Rob Brown</v>
      </c>
      <c r="K302" s="129"/>
    </row>
    <row r="303" spans="1:11" ht="17.25" x14ac:dyDescent="0.35">
      <c r="A303" s="131" t="s">
        <v>4160</v>
      </c>
      <c r="B303" s="128" t="s">
        <v>4791</v>
      </c>
      <c r="C303" s="129"/>
      <c r="D303" s="129"/>
      <c r="E303" s="129"/>
      <c r="F303" s="129"/>
      <c r="G303" s="128" t="s">
        <v>294</v>
      </c>
      <c r="H303" s="131" t="str">
        <f t="shared" si="4"/>
        <v>IP13</v>
      </c>
      <c r="I303" s="131" t="str" cm="1">
        <f t="array" ref="I303">LEFT(G303, MIN(IF(ISNUMBER(--MID(G303, _xlfn.SEQUENCE(LEN(G303)), 1)), _xlfn.SEQUENCE(LEN(G303)))) - 1)</f>
        <v>IP</v>
      </c>
      <c r="J303" s="129" t="str">
        <f>_xlfn.XLOOKUP(H303,'GK IFT SDM POSTCODES'!A:A,'GK IFT SDM POSTCODES'!B:B,"")</f>
        <v>Rob Brown</v>
      </c>
      <c r="K303" s="129"/>
    </row>
    <row r="304" spans="1:11" ht="17.25" x14ac:dyDescent="0.35">
      <c r="A304" s="130" t="s">
        <v>3718</v>
      </c>
      <c r="B304" s="131" t="s">
        <v>338</v>
      </c>
      <c r="C304" s="131" t="s">
        <v>3729</v>
      </c>
      <c r="D304" s="131" t="s">
        <v>3067</v>
      </c>
      <c r="E304" s="131" t="s">
        <v>90</v>
      </c>
      <c r="F304" s="131" t="s">
        <v>45</v>
      </c>
      <c r="G304" s="131" t="s">
        <v>178</v>
      </c>
      <c r="H304" s="131" t="str">
        <f t="shared" si="4"/>
        <v>IP13</v>
      </c>
      <c r="I304" s="131" t="str" cm="1">
        <f t="array" ref="I304">LEFT(G304, MIN(IF(ISNUMBER(--MID(G304, _xlfn.SEQUENCE(LEN(G304)), 1)), _xlfn.SEQUENCE(LEN(G304)))) - 1)</f>
        <v>IP</v>
      </c>
      <c r="J304" s="131" t="s">
        <v>3726</v>
      </c>
      <c r="K304" s="129"/>
    </row>
    <row r="305" spans="1:11" ht="21" x14ac:dyDescent="0.35">
      <c r="A305" s="130" t="s">
        <v>4065</v>
      </c>
      <c r="B305" s="127" t="s">
        <v>176</v>
      </c>
      <c r="C305" s="127" t="s">
        <v>2770</v>
      </c>
      <c r="D305" s="133"/>
      <c r="E305" s="126" t="s">
        <v>90</v>
      </c>
      <c r="F305" s="133"/>
      <c r="G305" s="126" t="s">
        <v>177</v>
      </c>
      <c r="H305" s="131" t="str">
        <f t="shared" si="4"/>
        <v>IP13</v>
      </c>
      <c r="I305" s="131" t="str" cm="1">
        <f t="array" ref="I305">LEFT(G305, MIN(IF(ISNUMBER(--MID(G305, _xlfn.SEQUENCE(LEN(G305)), 1)), _xlfn.SEQUENCE(LEN(G305)))) - 1)</f>
        <v>IP</v>
      </c>
      <c r="J305" s="126" t="s">
        <v>4070</v>
      </c>
      <c r="K305" s="129"/>
    </row>
    <row r="306" spans="1:11" ht="17.25" x14ac:dyDescent="0.35">
      <c r="A306" s="131" t="s">
        <v>4160</v>
      </c>
      <c r="B306" s="128" t="s">
        <v>4792</v>
      </c>
      <c r="C306" s="129"/>
      <c r="D306" s="129"/>
      <c r="E306" s="129"/>
      <c r="F306" s="129"/>
      <c r="G306" s="128" t="s">
        <v>4934</v>
      </c>
      <c r="H306" s="131" t="str">
        <f t="shared" si="4"/>
        <v>IP13</v>
      </c>
      <c r="I306" s="131" t="str" cm="1">
        <f t="array" ref="I306">LEFT(G306, MIN(IF(ISNUMBER(--MID(G306, _xlfn.SEQUENCE(LEN(G306)), 1)), _xlfn.SEQUENCE(LEN(G306)))) - 1)</f>
        <v>IP</v>
      </c>
      <c r="J306" s="129" t="str">
        <f>_xlfn.XLOOKUP(H306,'GK IFT SDM POSTCODES'!A:A,'GK IFT SDM POSTCODES'!B:B,"")</f>
        <v>Rob Brown</v>
      </c>
      <c r="K306" s="129"/>
    </row>
    <row r="307" spans="1:11" ht="17.25" x14ac:dyDescent="0.35">
      <c r="A307" s="129" t="s">
        <v>498</v>
      </c>
      <c r="B307" s="137" t="s">
        <v>5153</v>
      </c>
      <c r="C307" s="137" t="s">
        <v>5154</v>
      </c>
      <c r="D307" s="129"/>
      <c r="E307" s="137" t="s">
        <v>90</v>
      </c>
      <c r="F307" s="129"/>
      <c r="G307" s="137" t="s">
        <v>3611</v>
      </c>
      <c r="H307" s="131" t="str">
        <f t="shared" si="4"/>
        <v>IP13</v>
      </c>
      <c r="I307" s="131" t="str" cm="1">
        <f t="array" ref="I307">LEFT(G307, MIN(IF(ISNUMBER(--MID(G307, _xlfn.SEQUENCE(LEN(G307)), 1)), _xlfn.SEQUENCE(LEN(G307)))) - 1)</f>
        <v>IP</v>
      </c>
      <c r="J307" s="137" t="s">
        <v>5141</v>
      </c>
      <c r="K307" s="129"/>
    </row>
    <row r="308" spans="1:11" ht="17.25" x14ac:dyDescent="0.35">
      <c r="A308" s="130" t="s">
        <v>3752</v>
      </c>
      <c r="B308" s="131" t="s">
        <v>418</v>
      </c>
      <c r="C308" s="131" t="s">
        <v>3366</v>
      </c>
      <c r="D308" s="131" t="s">
        <v>73</v>
      </c>
      <c r="E308" s="131"/>
      <c r="F308" s="131" t="s">
        <v>45</v>
      </c>
      <c r="G308" s="131" t="s">
        <v>388</v>
      </c>
      <c r="H308" s="131" t="str">
        <f t="shared" si="4"/>
        <v>IP14</v>
      </c>
      <c r="I308" s="131" t="str" cm="1">
        <f t="array" ref="I308">LEFT(G308, MIN(IF(ISNUMBER(--MID(G308, _xlfn.SEQUENCE(LEN(G308)), 1)), _xlfn.SEQUENCE(LEN(G308)))) - 1)</f>
        <v>IP</v>
      </c>
      <c r="J308" s="131" t="s">
        <v>3706</v>
      </c>
      <c r="K308" s="129"/>
    </row>
    <row r="309" spans="1:11" ht="21" x14ac:dyDescent="0.35">
      <c r="A309" s="130" t="s">
        <v>4065</v>
      </c>
      <c r="B309" s="127" t="s">
        <v>298</v>
      </c>
      <c r="C309" s="127" t="s">
        <v>2205</v>
      </c>
      <c r="D309" s="133"/>
      <c r="E309" s="126" t="s">
        <v>73</v>
      </c>
      <c r="F309" s="133"/>
      <c r="G309" s="126" t="s">
        <v>948</v>
      </c>
      <c r="H309" s="131" t="str">
        <f t="shared" si="4"/>
        <v>IP14</v>
      </c>
      <c r="I309" s="131" t="str" cm="1">
        <f t="array" ref="I309">LEFT(G309, MIN(IF(ISNUMBER(--MID(G309, _xlfn.SEQUENCE(LEN(G309)), 1)), _xlfn.SEQUENCE(LEN(G309)))) - 1)</f>
        <v>IP</v>
      </c>
      <c r="J309" s="126" t="s">
        <v>4070</v>
      </c>
      <c r="K309" s="129"/>
    </row>
    <row r="310" spans="1:11" ht="31.5" x14ac:dyDescent="0.35">
      <c r="A310" s="130" t="s">
        <v>4065</v>
      </c>
      <c r="B310" s="127" t="s">
        <v>557</v>
      </c>
      <c r="C310" s="127" t="s">
        <v>558</v>
      </c>
      <c r="D310" s="133"/>
      <c r="E310" s="126" t="s">
        <v>73</v>
      </c>
      <c r="F310" s="133"/>
      <c r="G310" s="126" t="s">
        <v>4093</v>
      </c>
      <c r="H310" s="131" t="str">
        <f t="shared" si="4"/>
        <v>IP14</v>
      </c>
      <c r="I310" s="131" t="str" cm="1">
        <f t="array" ref="I310">LEFT(G310, MIN(IF(ISNUMBER(--MID(G310, _xlfn.SEQUENCE(LEN(G310)), 1)), _xlfn.SEQUENCE(LEN(G310)))) - 1)</f>
        <v>IP</v>
      </c>
      <c r="J310" s="126" t="s">
        <v>4070</v>
      </c>
      <c r="K310" s="129"/>
    </row>
    <row r="311" spans="1:11" ht="17.25" x14ac:dyDescent="0.35">
      <c r="A311" s="131" t="s">
        <v>4160</v>
      </c>
      <c r="B311" s="128" t="s">
        <v>4793</v>
      </c>
      <c r="C311" s="129"/>
      <c r="D311" s="129"/>
      <c r="E311" s="129"/>
      <c r="F311" s="129"/>
      <c r="G311" s="128" t="s">
        <v>4935</v>
      </c>
      <c r="H311" s="131" t="str">
        <f t="shared" si="4"/>
        <v>IP14</v>
      </c>
      <c r="I311" s="131" t="str" cm="1">
        <f t="array" ref="I311">LEFT(G311, MIN(IF(ISNUMBER(--MID(G311, _xlfn.SEQUENCE(LEN(G311)), 1)), _xlfn.SEQUENCE(LEN(G311)))) - 1)</f>
        <v>IP</v>
      </c>
      <c r="J311" s="129" t="str">
        <f>_xlfn.XLOOKUP(H311,'GK IFT SDM POSTCODES'!A:A,'GK IFT SDM POSTCODES'!B:B,"")</f>
        <v>Kate Rayson</v>
      </c>
      <c r="K311" s="129"/>
    </row>
    <row r="312" spans="1:11" ht="17.25" x14ac:dyDescent="0.35">
      <c r="A312" s="129" t="s">
        <v>498</v>
      </c>
      <c r="B312" s="137" t="s">
        <v>5155</v>
      </c>
      <c r="C312" s="137" t="s">
        <v>5156</v>
      </c>
      <c r="D312" s="129"/>
      <c r="E312" s="137" t="s">
        <v>73</v>
      </c>
      <c r="F312" s="129"/>
      <c r="G312" s="137" t="s">
        <v>195</v>
      </c>
      <c r="H312" s="131" t="str">
        <f t="shared" si="4"/>
        <v>IP14</v>
      </c>
      <c r="I312" s="131" t="str" cm="1">
        <f t="array" ref="I312">LEFT(G312, MIN(IF(ISNUMBER(--MID(G312, _xlfn.SEQUENCE(LEN(G312)), 1)), _xlfn.SEQUENCE(LEN(G312)))) - 1)</f>
        <v>IP</v>
      </c>
      <c r="J312" s="137" t="s">
        <v>5141</v>
      </c>
      <c r="K312" s="129"/>
    </row>
    <row r="313" spans="1:11" ht="17.25" x14ac:dyDescent="0.35">
      <c r="A313" s="131" t="s">
        <v>4160</v>
      </c>
      <c r="B313" s="128" t="s">
        <v>4794</v>
      </c>
      <c r="C313" s="129"/>
      <c r="D313" s="129"/>
      <c r="E313" s="129"/>
      <c r="F313" s="129"/>
      <c r="G313" s="128" t="s">
        <v>4936</v>
      </c>
      <c r="H313" s="131" t="str">
        <f t="shared" si="4"/>
        <v>IP14</v>
      </c>
      <c r="I313" s="131" t="str" cm="1">
        <f t="array" ref="I313">LEFT(G313, MIN(IF(ISNUMBER(--MID(G313, _xlfn.SEQUENCE(LEN(G313)), 1)), _xlfn.SEQUENCE(LEN(G313)))) - 1)</f>
        <v>IP</v>
      </c>
      <c r="J313" s="129" t="str">
        <f>_xlfn.XLOOKUP(H313,'GK IFT SDM POSTCODES'!A:A,'GK IFT SDM POSTCODES'!B:B,"")</f>
        <v>Kate Rayson</v>
      </c>
      <c r="K313" s="129"/>
    </row>
    <row r="314" spans="1:11" ht="17.25" x14ac:dyDescent="0.35">
      <c r="A314" s="131" t="s">
        <v>4160</v>
      </c>
      <c r="B314" s="128" t="s">
        <v>4795</v>
      </c>
      <c r="C314" s="129"/>
      <c r="D314" s="129"/>
      <c r="E314" s="129"/>
      <c r="F314" s="129"/>
      <c r="G314" s="128" t="s">
        <v>3645</v>
      </c>
      <c r="H314" s="131" t="str">
        <f t="shared" si="4"/>
        <v>IP14</v>
      </c>
      <c r="I314" s="131" t="str" cm="1">
        <f t="array" ref="I314">LEFT(G314, MIN(IF(ISNUMBER(--MID(G314, _xlfn.SEQUENCE(LEN(G314)), 1)), _xlfn.SEQUENCE(LEN(G314)))) - 1)</f>
        <v>IP</v>
      </c>
      <c r="J314" s="129" t="str">
        <f>_xlfn.XLOOKUP(H314,'GK IFT SDM POSTCODES'!A:A,'GK IFT SDM POSTCODES'!B:B,"")</f>
        <v>Kate Rayson</v>
      </c>
      <c r="K314" s="129"/>
    </row>
    <row r="315" spans="1:11" ht="17.25" x14ac:dyDescent="0.35">
      <c r="A315" s="131" t="s">
        <v>4160</v>
      </c>
      <c r="B315" s="128" t="s">
        <v>4796</v>
      </c>
      <c r="C315" s="129"/>
      <c r="D315" s="129"/>
      <c r="E315" s="129"/>
      <c r="F315" s="129"/>
      <c r="G315" s="128" t="s">
        <v>70</v>
      </c>
      <c r="H315" s="131" t="str">
        <f t="shared" si="4"/>
        <v>IP14</v>
      </c>
      <c r="I315" s="131" t="str" cm="1">
        <f t="array" ref="I315">LEFT(G315, MIN(IF(ISNUMBER(--MID(G315, _xlfn.SEQUENCE(LEN(G315)), 1)), _xlfn.SEQUENCE(LEN(G315)))) - 1)</f>
        <v>IP</v>
      </c>
      <c r="J315" s="129" t="str">
        <f>_xlfn.XLOOKUP(H315,'GK IFT SDM POSTCODES'!A:A,'GK IFT SDM POSTCODES'!B:B,"")</f>
        <v>Kate Rayson</v>
      </c>
      <c r="K315" s="129"/>
    </row>
    <row r="316" spans="1:11" ht="17.25" x14ac:dyDescent="0.35">
      <c r="A316" s="131" t="s">
        <v>4160</v>
      </c>
      <c r="B316" s="128" t="s">
        <v>4797</v>
      </c>
      <c r="C316" s="129"/>
      <c r="D316" s="129"/>
      <c r="E316" s="129"/>
      <c r="F316" s="129"/>
      <c r="G316" s="128" t="s">
        <v>4937</v>
      </c>
      <c r="H316" s="131" t="str">
        <f t="shared" si="4"/>
        <v>IP14</v>
      </c>
      <c r="I316" s="131" t="str" cm="1">
        <f t="array" ref="I316">LEFT(G316, MIN(IF(ISNUMBER(--MID(G316, _xlfn.SEQUENCE(LEN(G316)), 1)), _xlfn.SEQUENCE(LEN(G316)))) - 1)</f>
        <v>IP</v>
      </c>
      <c r="J316" s="129" t="str">
        <f>_xlfn.XLOOKUP(H316,'GK IFT SDM POSTCODES'!A:A,'GK IFT SDM POSTCODES'!B:B,"")</f>
        <v>Kate Rayson</v>
      </c>
      <c r="K316" s="129"/>
    </row>
    <row r="317" spans="1:11" ht="17.25" x14ac:dyDescent="0.35">
      <c r="A317" s="129" t="s">
        <v>498</v>
      </c>
      <c r="B317" s="137" t="s">
        <v>5157</v>
      </c>
      <c r="C317" s="137" t="s">
        <v>5158</v>
      </c>
      <c r="D317" s="129"/>
      <c r="E317" s="137" t="s">
        <v>73</v>
      </c>
      <c r="F317" s="129"/>
      <c r="G317" s="137" t="s">
        <v>5179</v>
      </c>
      <c r="H317" s="131" t="str">
        <f t="shared" si="4"/>
        <v>IP14</v>
      </c>
      <c r="I317" s="131" t="str" cm="1">
        <f t="array" ref="I317">LEFT(G317, MIN(IF(ISNUMBER(--MID(G317, _xlfn.SEQUENCE(LEN(G317)), 1)), _xlfn.SEQUENCE(LEN(G317)))) - 1)</f>
        <v>IP</v>
      </c>
      <c r="J317" s="137" t="s">
        <v>5141</v>
      </c>
      <c r="K317" s="129"/>
    </row>
    <row r="318" spans="1:11" ht="17.25" x14ac:dyDescent="0.35">
      <c r="A318" s="130" t="s">
        <v>3718</v>
      </c>
      <c r="B318" s="131" t="s">
        <v>3730</v>
      </c>
      <c r="C318" s="131" t="s">
        <v>3459</v>
      </c>
      <c r="D318" s="131" t="s">
        <v>3731</v>
      </c>
      <c r="E318" s="131" t="s">
        <v>73</v>
      </c>
      <c r="F318" s="131" t="s">
        <v>45</v>
      </c>
      <c r="G318" s="131" t="s">
        <v>71</v>
      </c>
      <c r="H318" s="131" t="str">
        <f t="shared" si="4"/>
        <v>IP14</v>
      </c>
      <c r="I318" s="131" t="str" cm="1">
        <f t="array" ref="I318">LEFT(G318, MIN(IF(ISNUMBER(--MID(G318, _xlfn.SEQUENCE(LEN(G318)), 1)), _xlfn.SEQUENCE(LEN(G318)))) - 1)</f>
        <v>IP</v>
      </c>
      <c r="J318" s="131" t="s">
        <v>3726</v>
      </c>
      <c r="K318" s="129"/>
    </row>
    <row r="319" spans="1:11" ht="17.25" x14ac:dyDescent="0.35">
      <c r="A319" s="131" t="s">
        <v>4160</v>
      </c>
      <c r="B319" s="128" t="s">
        <v>4798</v>
      </c>
      <c r="C319" s="129"/>
      <c r="D319" s="129"/>
      <c r="E319" s="129"/>
      <c r="F319" s="129"/>
      <c r="G319" s="128" t="s">
        <v>4938</v>
      </c>
      <c r="H319" s="131" t="str">
        <f t="shared" si="4"/>
        <v>IP14</v>
      </c>
      <c r="I319" s="131" t="str" cm="1">
        <f t="array" ref="I319">LEFT(G319, MIN(IF(ISNUMBER(--MID(G319, _xlfn.SEQUENCE(LEN(G319)), 1)), _xlfn.SEQUENCE(LEN(G319)))) - 1)</f>
        <v>IP</v>
      </c>
      <c r="J319" s="129" t="str">
        <f>_xlfn.XLOOKUP(H319,'GK IFT SDM POSTCODES'!A:A,'GK IFT SDM POSTCODES'!B:B,"")</f>
        <v>Kate Rayson</v>
      </c>
      <c r="K319" s="129"/>
    </row>
    <row r="320" spans="1:11" ht="17.25" x14ac:dyDescent="0.35">
      <c r="A320" s="130" t="s">
        <v>3718</v>
      </c>
      <c r="B320" s="131" t="s">
        <v>637</v>
      </c>
      <c r="C320" s="131" t="s">
        <v>3732</v>
      </c>
      <c r="D320" s="131" t="s">
        <v>3733</v>
      </c>
      <c r="E320" s="131" t="s">
        <v>73</v>
      </c>
      <c r="F320" s="131" t="s">
        <v>45</v>
      </c>
      <c r="G320" s="131" t="s">
        <v>3734</v>
      </c>
      <c r="H320" s="131" t="str">
        <f t="shared" si="4"/>
        <v>IP14</v>
      </c>
      <c r="I320" s="131" t="str" cm="1">
        <f t="array" ref="I320">LEFT(G320, MIN(IF(ISNUMBER(--MID(G320, _xlfn.SEQUENCE(LEN(G320)), 1)), _xlfn.SEQUENCE(LEN(G320)))) - 1)</f>
        <v>IP</v>
      </c>
      <c r="J320" s="131" t="s">
        <v>3726</v>
      </c>
      <c r="K320" s="129"/>
    </row>
    <row r="321" spans="1:11" ht="17.25" x14ac:dyDescent="0.35">
      <c r="A321" s="131" t="s">
        <v>4160</v>
      </c>
      <c r="B321" s="128" t="s">
        <v>4799</v>
      </c>
      <c r="C321" s="129"/>
      <c r="D321" s="129"/>
      <c r="E321" s="129"/>
      <c r="F321" s="129"/>
      <c r="G321" s="128" t="s">
        <v>4939</v>
      </c>
      <c r="H321" s="131" t="str">
        <f t="shared" si="4"/>
        <v>IP14</v>
      </c>
      <c r="I321" s="131" t="str" cm="1">
        <f t="array" ref="I321">LEFT(G321, MIN(IF(ISNUMBER(--MID(G321, _xlfn.SEQUENCE(LEN(G321)), 1)), _xlfn.SEQUENCE(LEN(G321)))) - 1)</f>
        <v>IP</v>
      </c>
      <c r="J321" s="129" t="str">
        <f>_xlfn.XLOOKUP(H321,'GK IFT SDM POSTCODES'!A:A,'GK IFT SDM POSTCODES'!B:B,"")</f>
        <v>Kate Rayson</v>
      </c>
      <c r="K321" s="129"/>
    </row>
    <row r="322" spans="1:11" ht="17.25" x14ac:dyDescent="0.35">
      <c r="A322" s="131" t="s">
        <v>4160</v>
      </c>
      <c r="B322" s="128" t="s">
        <v>4800</v>
      </c>
      <c r="C322" s="129"/>
      <c r="D322" s="129"/>
      <c r="E322" s="129"/>
      <c r="F322" s="129"/>
      <c r="G322" s="128" t="s">
        <v>369</v>
      </c>
      <c r="H322" s="131" t="str">
        <f t="shared" ref="H322:H385" si="5">_xlfn.TEXTBEFORE(G322," ")</f>
        <v>IP14</v>
      </c>
      <c r="I322" s="131" t="str" cm="1">
        <f t="array" ref="I322">LEFT(G322, MIN(IF(ISNUMBER(--MID(G322, _xlfn.SEQUENCE(LEN(G322)), 1)), _xlfn.SEQUENCE(LEN(G322)))) - 1)</f>
        <v>IP</v>
      </c>
      <c r="J322" s="129" t="str">
        <f>_xlfn.XLOOKUP(H322,'GK IFT SDM POSTCODES'!A:A,'GK IFT SDM POSTCODES'!B:B,"")</f>
        <v>Kate Rayson</v>
      </c>
      <c r="K322" s="129"/>
    </row>
    <row r="323" spans="1:11" ht="17.25" x14ac:dyDescent="0.35">
      <c r="A323" s="131" t="s">
        <v>4160</v>
      </c>
      <c r="B323" s="128" t="s">
        <v>4801</v>
      </c>
      <c r="C323" s="129"/>
      <c r="D323" s="129"/>
      <c r="E323" s="129"/>
      <c r="F323" s="129"/>
      <c r="G323" s="128" t="s">
        <v>4940</v>
      </c>
      <c r="H323" s="131" t="str">
        <f t="shared" si="5"/>
        <v>IP14</v>
      </c>
      <c r="I323" s="131" t="str" cm="1">
        <f t="array" ref="I323">LEFT(G323, MIN(IF(ISNUMBER(--MID(G323, _xlfn.SEQUENCE(LEN(G323)), 1)), _xlfn.SEQUENCE(LEN(G323)))) - 1)</f>
        <v>IP</v>
      </c>
      <c r="J323" s="129" t="str">
        <f>_xlfn.XLOOKUP(H323,'GK IFT SDM POSTCODES'!A:A,'GK IFT SDM POSTCODES'!B:B,"")</f>
        <v>Kate Rayson</v>
      </c>
      <c r="K323" s="129"/>
    </row>
    <row r="324" spans="1:11" ht="17.25" x14ac:dyDescent="0.35">
      <c r="A324" s="131" t="s">
        <v>4160</v>
      </c>
      <c r="B324" s="128" t="s">
        <v>4802</v>
      </c>
      <c r="C324" s="129"/>
      <c r="D324" s="129"/>
      <c r="E324" s="129"/>
      <c r="F324" s="129"/>
      <c r="G324" s="128" t="s">
        <v>4941</v>
      </c>
      <c r="H324" s="131" t="str">
        <f t="shared" si="5"/>
        <v>IP14</v>
      </c>
      <c r="I324" s="131" t="str" cm="1">
        <f t="array" ref="I324">LEFT(G324, MIN(IF(ISNUMBER(--MID(G324, _xlfn.SEQUENCE(LEN(G324)), 1)), _xlfn.SEQUENCE(LEN(G324)))) - 1)</f>
        <v>IP</v>
      </c>
      <c r="J324" s="129" t="str">
        <f>_xlfn.XLOOKUP(H324,'GK IFT SDM POSTCODES'!A:A,'GK IFT SDM POSTCODES'!B:B,"")</f>
        <v>Kate Rayson</v>
      </c>
      <c r="K324" s="129"/>
    </row>
    <row r="325" spans="1:11" ht="17.25" x14ac:dyDescent="0.35">
      <c r="A325" s="131" t="s">
        <v>4160</v>
      </c>
      <c r="B325" s="128" t="s">
        <v>3640</v>
      </c>
      <c r="C325" s="129"/>
      <c r="D325" s="129"/>
      <c r="E325" s="129"/>
      <c r="F325" s="129"/>
      <c r="G325" s="128" t="s">
        <v>72</v>
      </c>
      <c r="H325" s="131" t="str">
        <f t="shared" si="5"/>
        <v>IP14</v>
      </c>
      <c r="I325" s="131" t="str" cm="1">
        <f t="array" ref="I325">LEFT(G325, MIN(IF(ISNUMBER(--MID(G325, _xlfn.SEQUENCE(LEN(G325)), 1)), _xlfn.SEQUENCE(LEN(G325)))) - 1)</f>
        <v>IP</v>
      </c>
      <c r="J325" s="129" t="str">
        <f>_xlfn.XLOOKUP(H325,'GK IFT SDM POSTCODES'!A:A,'GK IFT SDM POSTCODES'!B:B,"")</f>
        <v>Kate Rayson</v>
      </c>
      <c r="K325" s="129"/>
    </row>
    <row r="326" spans="1:11" ht="17.25" x14ac:dyDescent="0.35">
      <c r="A326" s="131" t="s">
        <v>4160</v>
      </c>
      <c r="B326" s="128" t="s">
        <v>4803</v>
      </c>
      <c r="C326" s="129"/>
      <c r="D326" s="129"/>
      <c r="E326" s="129"/>
      <c r="F326" s="129"/>
      <c r="G326" s="128" t="s">
        <v>4942</v>
      </c>
      <c r="H326" s="131" t="str">
        <f t="shared" si="5"/>
        <v>IP14</v>
      </c>
      <c r="I326" s="131" t="str" cm="1">
        <f t="array" ref="I326">LEFT(G326, MIN(IF(ISNUMBER(--MID(G326, _xlfn.SEQUENCE(LEN(G326)), 1)), _xlfn.SEQUENCE(LEN(G326)))) - 1)</f>
        <v>IP</v>
      </c>
      <c r="J326" s="129" t="str">
        <f>_xlfn.XLOOKUP(H326,'GK IFT SDM POSTCODES'!A:A,'GK IFT SDM POSTCODES'!B:B,"")</f>
        <v>Kate Rayson</v>
      </c>
      <c r="K326" s="129"/>
    </row>
    <row r="327" spans="1:11" ht="17.25" x14ac:dyDescent="0.35">
      <c r="A327" s="131" t="s">
        <v>4160</v>
      </c>
      <c r="B327" s="128" t="s">
        <v>4804</v>
      </c>
      <c r="C327" s="129"/>
      <c r="D327" s="129"/>
      <c r="E327" s="129"/>
      <c r="F327" s="129"/>
      <c r="G327" s="128" t="s">
        <v>4943</v>
      </c>
      <c r="H327" s="131" t="str">
        <f t="shared" si="5"/>
        <v>IP14</v>
      </c>
      <c r="I327" s="131" t="str" cm="1">
        <f t="array" ref="I327">LEFT(G327, MIN(IF(ISNUMBER(--MID(G327, _xlfn.SEQUENCE(LEN(G327)), 1)), _xlfn.SEQUENCE(LEN(G327)))) - 1)</f>
        <v>IP</v>
      </c>
      <c r="J327" s="129" t="str">
        <f>_xlfn.XLOOKUP(H327,'GK IFT SDM POSTCODES'!A:A,'GK IFT SDM POSTCODES'!B:B,"")</f>
        <v>Kate Rayson</v>
      </c>
      <c r="K327" s="129"/>
    </row>
    <row r="328" spans="1:11" ht="17.25" x14ac:dyDescent="0.35">
      <c r="A328" s="131" t="s">
        <v>4160</v>
      </c>
      <c r="B328" s="128" t="s">
        <v>4805</v>
      </c>
      <c r="C328" s="129"/>
      <c r="D328" s="129"/>
      <c r="E328" s="129"/>
      <c r="F328" s="129"/>
      <c r="G328" s="128" t="s">
        <v>4944</v>
      </c>
      <c r="H328" s="131" t="str">
        <f t="shared" si="5"/>
        <v>IP14</v>
      </c>
      <c r="I328" s="131" t="str" cm="1">
        <f t="array" ref="I328">LEFT(G328, MIN(IF(ISNUMBER(--MID(G328, _xlfn.SEQUENCE(LEN(G328)), 1)), _xlfn.SEQUENCE(LEN(G328)))) - 1)</f>
        <v>IP</v>
      </c>
      <c r="J328" s="129" t="str">
        <f>_xlfn.XLOOKUP(H328,'GK IFT SDM POSTCODES'!A:A,'GK IFT SDM POSTCODES'!B:B,"")</f>
        <v>Kate Rayson</v>
      </c>
      <c r="K328" s="129"/>
    </row>
    <row r="329" spans="1:11" ht="17.25" x14ac:dyDescent="0.35">
      <c r="A329" s="131" t="s">
        <v>4160</v>
      </c>
      <c r="B329" s="128" t="s">
        <v>4806</v>
      </c>
      <c r="C329" s="129"/>
      <c r="D329" s="129"/>
      <c r="E329" s="129"/>
      <c r="F329" s="129"/>
      <c r="G329" s="128" t="s">
        <v>4945</v>
      </c>
      <c r="H329" s="131" t="str">
        <f t="shared" si="5"/>
        <v>IP15</v>
      </c>
      <c r="I329" s="131" t="str" cm="1">
        <f t="array" ref="I329">LEFT(G329, MIN(IF(ISNUMBER(--MID(G329, _xlfn.SEQUENCE(LEN(G329)), 1)), _xlfn.SEQUENCE(LEN(G329)))) - 1)</f>
        <v>IP</v>
      </c>
      <c r="J329" s="129" t="str">
        <f>_xlfn.XLOOKUP(H329,'GK IFT SDM POSTCODES'!A:A,'GK IFT SDM POSTCODES'!B:B,"")</f>
        <v>Rob Brown</v>
      </c>
      <c r="K329" s="129"/>
    </row>
    <row r="330" spans="1:11" ht="17.25" x14ac:dyDescent="0.35">
      <c r="A330" s="131" t="s">
        <v>4160</v>
      </c>
      <c r="B330" s="128" t="s">
        <v>4807</v>
      </c>
      <c r="C330" s="129"/>
      <c r="D330" s="129"/>
      <c r="E330" s="129"/>
      <c r="F330" s="129"/>
      <c r="G330" s="128" t="s">
        <v>4946</v>
      </c>
      <c r="H330" s="131" t="str">
        <f t="shared" si="5"/>
        <v>IP15</v>
      </c>
      <c r="I330" s="131" t="str" cm="1">
        <f t="array" ref="I330">LEFT(G330, MIN(IF(ISNUMBER(--MID(G330, _xlfn.SEQUENCE(LEN(G330)), 1)), _xlfn.SEQUENCE(LEN(G330)))) - 1)</f>
        <v>IP</v>
      </c>
      <c r="J330" s="129" t="str">
        <f>_xlfn.XLOOKUP(H330,'GK IFT SDM POSTCODES'!A:A,'GK IFT SDM POSTCODES'!B:B,"")</f>
        <v>Rob Brown</v>
      </c>
      <c r="K330" s="129"/>
    </row>
    <row r="331" spans="1:11" ht="17.25" x14ac:dyDescent="0.35">
      <c r="A331" s="131" t="s">
        <v>4160</v>
      </c>
      <c r="B331" s="128" t="s">
        <v>4808</v>
      </c>
      <c r="C331" s="129"/>
      <c r="D331" s="129"/>
      <c r="E331" s="129"/>
      <c r="F331" s="129"/>
      <c r="G331" s="128" t="s">
        <v>4946</v>
      </c>
      <c r="H331" s="131" t="str">
        <f t="shared" si="5"/>
        <v>IP15</v>
      </c>
      <c r="I331" s="131" t="str" cm="1">
        <f t="array" ref="I331">LEFT(G331, MIN(IF(ISNUMBER(--MID(G331, _xlfn.SEQUENCE(LEN(G331)), 1)), _xlfn.SEQUENCE(LEN(G331)))) - 1)</f>
        <v>IP</v>
      </c>
      <c r="J331" s="129" t="str">
        <f>_xlfn.XLOOKUP(H331,'GK IFT SDM POSTCODES'!A:A,'GK IFT SDM POSTCODES'!B:B,"")</f>
        <v>Rob Brown</v>
      </c>
      <c r="K331" s="129"/>
    </row>
    <row r="332" spans="1:11" ht="17.25" x14ac:dyDescent="0.35">
      <c r="A332" s="131" t="s">
        <v>4160</v>
      </c>
      <c r="B332" s="128" t="s">
        <v>4809</v>
      </c>
      <c r="C332" s="129"/>
      <c r="D332" s="129"/>
      <c r="E332" s="129"/>
      <c r="F332" s="129"/>
      <c r="G332" s="128" t="s">
        <v>4947</v>
      </c>
      <c r="H332" s="131" t="str">
        <f t="shared" si="5"/>
        <v>IP16</v>
      </c>
      <c r="I332" s="131" t="str" cm="1">
        <f t="array" ref="I332">LEFT(G332, MIN(IF(ISNUMBER(--MID(G332, _xlfn.SEQUENCE(LEN(G332)), 1)), _xlfn.SEQUENCE(LEN(G332)))) - 1)</f>
        <v>IP</v>
      </c>
      <c r="J332" s="129" t="str">
        <f>_xlfn.XLOOKUP(H332,'GK IFT SDM POSTCODES'!A:A,'GK IFT SDM POSTCODES'!B:B,"")</f>
        <v>Rob Brown</v>
      </c>
      <c r="K332" s="129"/>
    </row>
    <row r="333" spans="1:11" ht="17.25" x14ac:dyDescent="0.35">
      <c r="A333" s="131" t="s">
        <v>4160</v>
      </c>
      <c r="B333" s="128" t="s">
        <v>4810</v>
      </c>
      <c r="C333" s="129"/>
      <c r="D333" s="129"/>
      <c r="E333" s="129"/>
      <c r="F333" s="129"/>
      <c r="G333" s="128" t="s">
        <v>347</v>
      </c>
      <c r="H333" s="131" t="str">
        <f t="shared" si="5"/>
        <v>IP16</v>
      </c>
      <c r="I333" s="131" t="str" cm="1">
        <f t="array" ref="I333">LEFT(G333, MIN(IF(ISNUMBER(--MID(G333, _xlfn.SEQUENCE(LEN(G333)), 1)), _xlfn.SEQUENCE(LEN(G333)))) - 1)</f>
        <v>IP</v>
      </c>
      <c r="J333" s="129" t="str">
        <f>_xlfn.XLOOKUP(H333,'GK IFT SDM POSTCODES'!A:A,'GK IFT SDM POSTCODES'!B:B,"")</f>
        <v>Rob Brown</v>
      </c>
      <c r="K333" s="129"/>
    </row>
    <row r="334" spans="1:11" ht="17.25" x14ac:dyDescent="0.35">
      <c r="A334" s="131" t="s">
        <v>4160</v>
      </c>
      <c r="B334" s="128" t="s">
        <v>4811</v>
      </c>
      <c r="C334" s="129"/>
      <c r="D334" s="129"/>
      <c r="E334" s="129"/>
      <c r="F334" s="129"/>
      <c r="G334" s="128" t="s">
        <v>133</v>
      </c>
      <c r="H334" s="131" t="str">
        <f t="shared" si="5"/>
        <v>IP16</v>
      </c>
      <c r="I334" s="131" t="str" cm="1">
        <f t="array" ref="I334">LEFT(G334, MIN(IF(ISNUMBER(--MID(G334, _xlfn.SEQUENCE(LEN(G334)), 1)), _xlfn.SEQUENCE(LEN(G334)))) - 1)</f>
        <v>IP</v>
      </c>
      <c r="J334" s="129" t="str">
        <f>_xlfn.XLOOKUP(H334,'GK IFT SDM POSTCODES'!A:A,'GK IFT SDM POSTCODES'!B:B,"")</f>
        <v>Rob Brown</v>
      </c>
      <c r="K334" s="129"/>
    </row>
    <row r="335" spans="1:11" ht="17.25" x14ac:dyDescent="0.35">
      <c r="A335" s="134" t="s">
        <v>7</v>
      </c>
      <c r="B335" s="134" t="s">
        <v>4049</v>
      </c>
      <c r="C335" s="134" t="s">
        <v>4034</v>
      </c>
      <c r="D335" s="129"/>
      <c r="E335" s="134" t="s">
        <v>134</v>
      </c>
      <c r="F335" s="134" t="s">
        <v>45</v>
      </c>
      <c r="G335" s="134" t="s">
        <v>131</v>
      </c>
      <c r="H335" s="131" t="str">
        <f t="shared" si="5"/>
        <v>IP16</v>
      </c>
      <c r="I335" s="131" t="str" cm="1">
        <f t="array" ref="I335">LEFT(G335, MIN(IF(ISNUMBER(--MID(G335, _xlfn.SEQUENCE(LEN(G335)), 1)), _xlfn.SEQUENCE(LEN(G335)))) - 1)</f>
        <v>IP</v>
      </c>
      <c r="J335" s="146" t="s">
        <v>6231</v>
      </c>
      <c r="K335" s="129"/>
    </row>
    <row r="336" spans="1:11" ht="17.25" x14ac:dyDescent="0.35">
      <c r="A336" s="131" t="s">
        <v>4160</v>
      </c>
      <c r="B336" s="128" t="s">
        <v>4812</v>
      </c>
      <c r="C336" s="129"/>
      <c r="D336" s="129"/>
      <c r="E336" s="129"/>
      <c r="F336" s="129"/>
      <c r="G336" s="128" t="s">
        <v>4948</v>
      </c>
      <c r="H336" s="131" t="str">
        <f t="shared" si="5"/>
        <v>IP16</v>
      </c>
      <c r="I336" s="131" t="str" cm="1">
        <f t="array" ref="I336">LEFT(G336, MIN(IF(ISNUMBER(--MID(G336, _xlfn.SEQUENCE(LEN(G336)), 1)), _xlfn.SEQUENCE(LEN(G336)))) - 1)</f>
        <v>IP</v>
      </c>
      <c r="J336" s="129" t="str">
        <f>_xlfn.XLOOKUP(H336,'GK IFT SDM POSTCODES'!A:A,'GK IFT SDM POSTCODES'!B:B,"")</f>
        <v>Rob Brown</v>
      </c>
      <c r="K336" s="129"/>
    </row>
    <row r="337" spans="1:11" ht="17.25" x14ac:dyDescent="0.35">
      <c r="A337" s="131" t="s">
        <v>4160</v>
      </c>
      <c r="B337" s="136" t="s">
        <v>4813</v>
      </c>
      <c r="C337" s="129"/>
      <c r="D337" s="129"/>
      <c r="E337" s="129"/>
      <c r="F337" s="129"/>
      <c r="G337" s="136" t="s">
        <v>4949</v>
      </c>
      <c r="H337" s="131" t="str">
        <f t="shared" si="5"/>
        <v>IP17</v>
      </c>
      <c r="I337" s="131" t="str" cm="1">
        <f t="array" ref="I337">LEFT(G337, MIN(IF(ISNUMBER(--MID(G337, _xlfn.SEQUENCE(LEN(G337)), 1)), _xlfn.SEQUENCE(LEN(G337)))) - 1)</f>
        <v>IP</v>
      </c>
      <c r="J337" s="129" t="str">
        <f>_xlfn.XLOOKUP(H337,'GK IFT SDM POSTCODES'!A:A,'GK IFT SDM POSTCODES'!B:B,"")</f>
        <v>Rob Brown</v>
      </c>
      <c r="K337" s="129"/>
    </row>
    <row r="338" spans="1:11" ht="17.25" x14ac:dyDescent="0.35">
      <c r="A338" s="131" t="s">
        <v>4160</v>
      </c>
      <c r="B338" s="128" t="s">
        <v>4814</v>
      </c>
      <c r="C338" s="129"/>
      <c r="D338" s="129"/>
      <c r="E338" s="129"/>
      <c r="F338" s="129"/>
      <c r="G338" s="128" t="s">
        <v>4950</v>
      </c>
      <c r="H338" s="131" t="str">
        <f t="shared" si="5"/>
        <v>IP17</v>
      </c>
      <c r="I338" s="131" t="str" cm="1">
        <f t="array" ref="I338">LEFT(G338, MIN(IF(ISNUMBER(--MID(G338, _xlfn.SEQUENCE(LEN(G338)), 1)), _xlfn.SEQUENCE(LEN(G338)))) - 1)</f>
        <v>IP</v>
      </c>
      <c r="J338" s="129" t="str">
        <f>_xlfn.XLOOKUP(H338,'GK IFT SDM POSTCODES'!A:A,'GK IFT SDM POSTCODES'!B:B,"")</f>
        <v>Rob Brown</v>
      </c>
      <c r="K338" s="129"/>
    </row>
    <row r="339" spans="1:11" ht="17.25" x14ac:dyDescent="0.35">
      <c r="A339" s="131" t="s">
        <v>4160</v>
      </c>
      <c r="B339" s="128" t="s">
        <v>4815</v>
      </c>
      <c r="C339" s="129"/>
      <c r="D339" s="129"/>
      <c r="E339" s="129"/>
      <c r="F339" s="129"/>
      <c r="G339" s="128" t="s">
        <v>135</v>
      </c>
      <c r="H339" s="131" t="str">
        <f t="shared" si="5"/>
        <v>IP17</v>
      </c>
      <c r="I339" s="131" t="str" cm="1">
        <f t="array" ref="I339">LEFT(G339, MIN(IF(ISNUMBER(--MID(G339, _xlfn.SEQUENCE(LEN(G339)), 1)), _xlfn.SEQUENCE(LEN(G339)))) - 1)</f>
        <v>IP</v>
      </c>
      <c r="J339" s="129" t="str">
        <f>_xlfn.XLOOKUP(H339,'GK IFT SDM POSTCODES'!A:A,'GK IFT SDM POSTCODES'!B:B,"")</f>
        <v>Rob Brown</v>
      </c>
      <c r="K339" s="129"/>
    </row>
    <row r="340" spans="1:11" ht="17.25" x14ac:dyDescent="0.35">
      <c r="A340" s="131" t="s">
        <v>4160</v>
      </c>
      <c r="B340" s="128" t="s">
        <v>4816</v>
      </c>
      <c r="C340" s="129"/>
      <c r="D340" s="129"/>
      <c r="E340" s="129"/>
      <c r="F340" s="129"/>
      <c r="G340" s="128" t="s">
        <v>4951</v>
      </c>
      <c r="H340" s="131" t="str">
        <f t="shared" si="5"/>
        <v>IP17</v>
      </c>
      <c r="I340" s="131" t="str" cm="1">
        <f t="array" ref="I340">LEFT(G340, MIN(IF(ISNUMBER(--MID(G340, _xlfn.SEQUENCE(LEN(G340)), 1)), _xlfn.SEQUENCE(LEN(G340)))) - 1)</f>
        <v>IP</v>
      </c>
      <c r="J340" s="129" t="str">
        <f>_xlfn.XLOOKUP(H340,'GK IFT SDM POSTCODES'!A:A,'GK IFT SDM POSTCODES'!B:B,"")</f>
        <v>Rob Brown</v>
      </c>
      <c r="K340" s="129"/>
    </row>
    <row r="341" spans="1:11" ht="17.25" x14ac:dyDescent="0.35">
      <c r="A341" s="131" t="s">
        <v>4160</v>
      </c>
      <c r="B341" s="128" t="s">
        <v>4817</v>
      </c>
      <c r="C341" s="129"/>
      <c r="D341" s="129"/>
      <c r="E341" s="129"/>
      <c r="F341" s="129"/>
      <c r="G341" s="128" t="s">
        <v>4952</v>
      </c>
      <c r="H341" s="131" t="str">
        <f t="shared" si="5"/>
        <v>IP17</v>
      </c>
      <c r="I341" s="131" t="str" cm="1">
        <f t="array" ref="I341">LEFT(G341, MIN(IF(ISNUMBER(--MID(G341, _xlfn.SEQUENCE(LEN(G341)), 1)), _xlfn.SEQUENCE(LEN(G341)))) - 1)</f>
        <v>IP</v>
      </c>
      <c r="J341" s="129" t="str">
        <f>_xlfn.XLOOKUP(H341,'GK IFT SDM POSTCODES'!A:A,'GK IFT SDM POSTCODES'!B:B,"")</f>
        <v>Rob Brown</v>
      </c>
      <c r="K341" s="129"/>
    </row>
    <row r="342" spans="1:11" ht="17.25" x14ac:dyDescent="0.35">
      <c r="A342" s="131" t="s">
        <v>4160</v>
      </c>
      <c r="B342" s="136" t="s">
        <v>4818</v>
      </c>
      <c r="C342" s="129"/>
      <c r="D342" s="129"/>
      <c r="E342" s="129"/>
      <c r="F342" s="129"/>
      <c r="G342" s="136" t="s">
        <v>4953</v>
      </c>
      <c r="H342" s="131" t="str">
        <f t="shared" si="5"/>
        <v>IP17</v>
      </c>
      <c r="I342" s="131" t="str" cm="1">
        <f t="array" ref="I342">LEFT(G342, MIN(IF(ISNUMBER(--MID(G342, _xlfn.SEQUENCE(LEN(G342)), 1)), _xlfn.SEQUENCE(LEN(G342)))) - 1)</f>
        <v>IP</v>
      </c>
      <c r="J342" s="129" t="str">
        <f>_xlfn.XLOOKUP(H342,'GK IFT SDM POSTCODES'!A:A,'GK IFT SDM POSTCODES'!B:B,"")</f>
        <v>Rob Brown</v>
      </c>
      <c r="K342" s="129"/>
    </row>
    <row r="343" spans="1:11" ht="17.25" x14ac:dyDescent="0.35">
      <c r="A343" s="131" t="s">
        <v>4160</v>
      </c>
      <c r="B343" s="128" t="s">
        <v>4819</v>
      </c>
      <c r="C343" s="129"/>
      <c r="D343" s="129"/>
      <c r="E343" s="129"/>
      <c r="F343" s="129"/>
      <c r="G343" s="128" t="s">
        <v>4954</v>
      </c>
      <c r="H343" s="131" t="str">
        <f t="shared" si="5"/>
        <v>IP17</v>
      </c>
      <c r="I343" s="131" t="str" cm="1">
        <f t="array" ref="I343">LEFT(G343, MIN(IF(ISNUMBER(--MID(G343, _xlfn.SEQUENCE(LEN(G343)), 1)), _xlfn.SEQUENCE(LEN(G343)))) - 1)</f>
        <v>IP</v>
      </c>
      <c r="J343" s="129" t="str">
        <f>_xlfn.XLOOKUP(H343,'GK IFT SDM POSTCODES'!A:A,'GK IFT SDM POSTCODES'!B:B,"")</f>
        <v>Rob Brown</v>
      </c>
      <c r="K343" s="129"/>
    </row>
    <row r="344" spans="1:11" ht="17.25" x14ac:dyDescent="0.35">
      <c r="A344" s="131" t="s">
        <v>4160</v>
      </c>
      <c r="B344" s="128" t="s">
        <v>4820</v>
      </c>
      <c r="C344" s="129"/>
      <c r="D344" s="129"/>
      <c r="E344" s="129"/>
      <c r="F344" s="129"/>
      <c r="G344" s="128" t="s">
        <v>4955</v>
      </c>
      <c r="H344" s="131" t="str">
        <f t="shared" si="5"/>
        <v>IP17</v>
      </c>
      <c r="I344" s="131" t="str" cm="1">
        <f t="array" ref="I344">LEFT(G344, MIN(IF(ISNUMBER(--MID(G344, _xlfn.SEQUENCE(LEN(G344)), 1)), _xlfn.SEQUENCE(LEN(G344)))) - 1)</f>
        <v>IP</v>
      </c>
      <c r="J344" s="129" t="str">
        <f>_xlfn.XLOOKUP(H344,'GK IFT SDM POSTCODES'!A:A,'GK IFT SDM POSTCODES'!B:B,"")</f>
        <v>Rob Brown</v>
      </c>
      <c r="K344" s="129"/>
    </row>
    <row r="345" spans="1:11" ht="17.25" x14ac:dyDescent="0.35">
      <c r="A345" s="131" t="s">
        <v>4160</v>
      </c>
      <c r="B345" s="136" t="s">
        <v>4821</v>
      </c>
      <c r="C345" s="129"/>
      <c r="D345" s="129"/>
      <c r="E345" s="129"/>
      <c r="F345" s="129"/>
      <c r="G345" s="136" t="s">
        <v>4956</v>
      </c>
      <c r="H345" s="131" t="str">
        <f t="shared" si="5"/>
        <v>IP18</v>
      </c>
      <c r="I345" s="131" t="str" cm="1">
        <f t="array" ref="I345">LEFT(G345, MIN(IF(ISNUMBER(--MID(G345, _xlfn.SEQUENCE(LEN(G345)), 1)), _xlfn.SEQUENCE(LEN(G345)))) - 1)</f>
        <v>IP</v>
      </c>
      <c r="J345" s="129" t="str">
        <f>_xlfn.XLOOKUP(H345,'GK IFT SDM POSTCODES'!A:A,'GK IFT SDM POSTCODES'!B:B,"")</f>
        <v>Rob Brown</v>
      </c>
      <c r="K345" s="129"/>
    </row>
    <row r="346" spans="1:11" ht="17.25" x14ac:dyDescent="0.35">
      <c r="A346" s="131" t="s">
        <v>4160</v>
      </c>
      <c r="B346" s="128" t="s">
        <v>4822</v>
      </c>
      <c r="C346" s="129"/>
      <c r="D346" s="129"/>
      <c r="E346" s="129"/>
      <c r="F346" s="129"/>
      <c r="G346" s="128" t="s">
        <v>4957</v>
      </c>
      <c r="H346" s="131" t="str">
        <f t="shared" si="5"/>
        <v>IP19</v>
      </c>
      <c r="I346" s="131" t="str" cm="1">
        <f t="array" ref="I346">LEFT(G346, MIN(IF(ISNUMBER(--MID(G346, _xlfn.SEQUENCE(LEN(G346)), 1)), _xlfn.SEQUENCE(LEN(G346)))) - 1)</f>
        <v>IP</v>
      </c>
      <c r="J346" s="129" t="str">
        <f>_xlfn.XLOOKUP(H346,'GK IFT SDM POSTCODES'!A:A,'GK IFT SDM POSTCODES'!B:B,"")</f>
        <v>Rob Brown</v>
      </c>
      <c r="K346" s="129"/>
    </row>
    <row r="347" spans="1:11" ht="17.25" x14ac:dyDescent="0.35">
      <c r="A347" s="134" t="s">
        <v>7</v>
      </c>
      <c r="B347" s="134" t="s">
        <v>533</v>
      </c>
      <c r="C347" s="134" t="s">
        <v>2911</v>
      </c>
      <c r="D347" s="129"/>
      <c r="E347" s="134" t="s">
        <v>534</v>
      </c>
      <c r="F347" s="134" t="s">
        <v>45</v>
      </c>
      <c r="G347" s="134" t="s">
        <v>4029</v>
      </c>
      <c r="H347" s="131" t="str">
        <f t="shared" si="5"/>
        <v>IP19</v>
      </c>
      <c r="I347" s="131" t="str" cm="1">
        <f t="array" ref="I347">LEFT(G347, MIN(IF(ISNUMBER(--MID(G347, _xlfn.SEQUENCE(LEN(G347)), 1)), _xlfn.SEQUENCE(LEN(G347)))) - 1)</f>
        <v>IP</v>
      </c>
      <c r="J347" s="134" t="s">
        <v>3801</v>
      </c>
      <c r="K347" s="129"/>
    </row>
    <row r="348" spans="1:11" ht="17.25" x14ac:dyDescent="0.35">
      <c r="A348" s="131" t="s">
        <v>4160</v>
      </c>
      <c r="B348" s="128" t="s">
        <v>4823</v>
      </c>
      <c r="C348" s="129"/>
      <c r="D348" s="129"/>
      <c r="E348" s="129"/>
      <c r="F348" s="129"/>
      <c r="G348" s="128" t="s">
        <v>4958</v>
      </c>
      <c r="H348" s="131" t="str">
        <f t="shared" si="5"/>
        <v>IP19</v>
      </c>
      <c r="I348" s="131" t="str" cm="1">
        <f t="array" ref="I348">LEFT(G348, MIN(IF(ISNUMBER(--MID(G348, _xlfn.SEQUENCE(LEN(G348)), 1)), _xlfn.SEQUENCE(LEN(G348)))) - 1)</f>
        <v>IP</v>
      </c>
      <c r="J348" s="129" t="str">
        <f>_xlfn.XLOOKUP(H348,'GK IFT SDM POSTCODES'!A:A,'GK IFT SDM POSTCODES'!B:B,"")</f>
        <v>Rob Brown</v>
      </c>
      <c r="K348" s="129"/>
    </row>
    <row r="349" spans="1:11" ht="17.25" x14ac:dyDescent="0.35">
      <c r="A349" s="131" t="s">
        <v>4160</v>
      </c>
      <c r="B349" s="128" t="s">
        <v>4824</v>
      </c>
      <c r="C349" s="129"/>
      <c r="D349" s="129"/>
      <c r="E349" s="129"/>
      <c r="F349" s="129"/>
      <c r="G349" s="128" t="s">
        <v>4959</v>
      </c>
      <c r="H349" s="131" t="str">
        <f t="shared" si="5"/>
        <v>IP19</v>
      </c>
      <c r="I349" s="131" t="str" cm="1">
        <f t="array" ref="I349">LEFT(G349, MIN(IF(ISNUMBER(--MID(G349, _xlfn.SEQUENCE(LEN(G349)), 1)), _xlfn.SEQUENCE(LEN(G349)))) - 1)</f>
        <v>IP</v>
      </c>
      <c r="J349" s="129" t="str">
        <f>_xlfn.XLOOKUP(H349,'GK IFT SDM POSTCODES'!A:A,'GK IFT SDM POSTCODES'!B:B,"")</f>
        <v>Rob Brown</v>
      </c>
      <c r="K349" s="129"/>
    </row>
    <row r="350" spans="1:11" ht="17.25" x14ac:dyDescent="0.35">
      <c r="A350" s="131" t="s">
        <v>4160</v>
      </c>
      <c r="B350" s="128" t="s">
        <v>4825</v>
      </c>
      <c r="C350" s="129"/>
      <c r="D350" s="129"/>
      <c r="E350" s="129"/>
      <c r="F350" s="129"/>
      <c r="G350" s="128" t="s">
        <v>4960</v>
      </c>
      <c r="H350" s="131" t="str">
        <f t="shared" si="5"/>
        <v>IP19</v>
      </c>
      <c r="I350" s="131" t="str" cm="1">
        <f t="array" ref="I350">LEFT(G350, MIN(IF(ISNUMBER(--MID(G350, _xlfn.SEQUENCE(LEN(G350)), 1)), _xlfn.SEQUENCE(LEN(G350)))) - 1)</f>
        <v>IP</v>
      </c>
      <c r="J350" s="129" t="str">
        <f>_xlfn.XLOOKUP(H350,'GK IFT SDM POSTCODES'!A:A,'GK IFT SDM POSTCODES'!B:B,"")</f>
        <v>Rob Brown</v>
      </c>
      <c r="K350" s="129"/>
    </row>
    <row r="351" spans="1:11" ht="17.25" x14ac:dyDescent="0.35">
      <c r="A351" s="131" t="s">
        <v>4160</v>
      </c>
      <c r="B351" s="128" t="s">
        <v>4826</v>
      </c>
      <c r="C351" s="129"/>
      <c r="D351" s="129"/>
      <c r="E351" s="129"/>
      <c r="F351" s="129"/>
      <c r="G351" s="128" t="s">
        <v>219</v>
      </c>
      <c r="H351" s="131" t="str">
        <f t="shared" si="5"/>
        <v>IP2</v>
      </c>
      <c r="I351" s="131" t="str" cm="1">
        <f t="array" ref="I351">LEFT(G351, MIN(IF(ISNUMBER(--MID(G351, _xlfn.SEQUENCE(LEN(G351)), 1)), _xlfn.SEQUENCE(LEN(G351)))) - 1)</f>
        <v>IP</v>
      </c>
      <c r="J351" s="129" t="str">
        <f>_xlfn.XLOOKUP(H351,'GK IFT SDM POSTCODES'!A:A,'GK IFT SDM POSTCODES'!B:B,"")</f>
        <v>Kate Rayson</v>
      </c>
      <c r="K351" s="129"/>
    </row>
    <row r="352" spans="1:11" ht="17.25" x14ac:dyDescent="0.35">
      <c r="A352" s="134" t="s">
        <v>3902</v>
      </c>
      <c r="B352" s="134" t="s">
        <v>4050</v>
      </c>
      <c r="C352" s="134" t="s">
        <v>4035</v>
      </c>
      <c r="D352" s="129"/>
      <c r="E352" s="134" t="s">
        <v>1</v>
      </c>
      <c r="F352" s="134" t="s">
        <v>45</v>
      </c>
      <c r="G352" s="134" t="s">
        <v>4030</v>
      </c>
      <c r="H352" s="131" t="str">
        <f t="shared" si="5"/>
        <v>IP2</v>
      </c>
      <c r="I352" s="131" t="str" cm="1">
        <f t="array" ref="I352">LEFT(G352, MIN(IF(ISNUMBER(--MID(G352, _xlfn.SEQUENCE(LEN(G352)), 1)), _xlfn.SEQUENCE(LEN(G352)))) - 1)</f>
        <v>IP</v>
      </c>
      <c r="J352" s="134" t="s">
        <v>3800</v>
      </c>
      <c r="K352" s="129"/>
    </row>
    <row r="353" spans="1:11" ht="17.25" x14ac:dyDescent="0.35">
      <c r="A353" s="131" t="s">
        <v>4160</v>
      </c>
      <c r="B353" s="128" t="s">
        <v>4827</v>
      </c>
      <c r="C353" s="129"/>
      <c r="D353" s="129"/>
      <c r="E353" s="129"/>
      <c r="F353" s="129"/>
      <c r="G353" s="128" t="s">
        <v>4961</v>
      </c>
      <c r="H353" s="131" t="str">
        <f t="shared" si="5"/>
        <v>IP2</v>
      </c>
      <c r="I353" s="131" t="str" cm="1">
        <f t="array" ref="I353">LEFT(G353, MIN(IF(ISNUMBER(--MID(G353, _xlfn.SEQUENCE(LEN(G353)), 1)), _xlfn.SEQUENCE(LEN(G353)))) - 1)</f>
        <v>IP</v>
      </c>
      <c r="J353" s="129" t="str">
        <f>_xlfn.XLOOKUP(H353,'GK IFT SDM POSTCODES'!A:A,'GK IFT SDM POSTCODES'!B:B,"")</f>
        <v>Kate Rayson</v>
      </c>
      <c r="K353" s="129"/>
    </row>
    <row r="354" spans="1:11" ht="17.25" x14ac:dyDescent="0.35">
      <c r="A354" s="130" t="s">
        <v>3718</v>
      </c>
      <c r="B354" s="131" t="s">
        <v>363</v>
      </c>
      <c r="C354" s="131" t="s">
        <v>3735</v>
      </c>
      <c r="D354" s="131" t="s">
        <v>1</v>
      </c>
      <c r="E354" s="131"/>
      <c r="F354" s="131" t="s">
        <v>45</v>
      </c>
      <c r="G354" s="131" t="s">
        <v>345</v>
      </c>
      <c r="H354" s="131" t="str">
        <f t="shared" si="5"/>
        <v>IP2</v>
      </c>
      <c r="I354" s="131" t="str" cm="1">
        <f t="array" ref="I354">LEFT(G354, MIN(IF(ISNUMBER(--MID(G354, _xlfn.SEQUENCE(LEN(G354)), 1)), _xlfn.SEQUENCE(LEN(G354)))) - 1)</f>
        <v>IP</v>
      </c>
      <c r="J354" s="131" t="s">
        <v>3726</v>
      </c>
      <c r="K354" s="129"/>
    </row>
    <row r="355" spans="1:11" ht="17.25" x14ac:dyDescent="0.35">
      <c r="A355" s="131" t="s">
        <v>4160</v>
      </c>
      <c r="B355" s="128" t="s">
        <v>4828</v>
      </c>
      <c r="C355" s="129"/>
      <c r="D355" s="129"/>
      <c r="E355" s="129"/>
      <c r="F355" s="129"/>
      <c r="G355" s="128" t="s">
        <v>4962</v>
      </c>
      <c r="H355" s="131" t="str">
        <f t="shared" si="5"/>
        <v>IP2</v>
      </c>
      <c r="I355" s="131" t="str" cm="1">
        <f t="array" ref="I355">LEFT(G355, MIN(IF(ISNUMBER(--MID(G355, _xlfn.SEQUENCE(LEN(G355)), 1)), _xlfn.SEQUENCE(LEN(G355)))) - 1)</f>
        <v>IP</v>
      </c>
      <c r="J355" s="129" t="str">
        <f>_xlfn.XLOOKUP(H355,'GK IFT SDM POSTCODES'!A:A,'GK IFT SDM POSTCODES'!B:B,"")</f>
        <v>Kate Rayson</v>
      </c>
      <c r="K355" s="129"/>
    </row>
    <row r="356" spans="1:11" ht="17.25" x14ac:dyDescent="0.35">
      <c r="A356" s="131" t="s">
        <v>4160</v>
      </c>
      <c r="B356" s="128" t="s">
        <v>4829</v>
      </c>
      <c r="C356" s="129"/>
      <c r="D356" s="129"/>
      <c r="E356" s="129"/>
      <c r="F356" s="129"/>
      <c r="G356" s="128" t="s">
        <v>4963</v>
      </c>
      <c r="H356" s="131" t="str">
        <f t="shared" si="5"/>
        <v>IP2</v>
      </c>
      <c r="I356" s="131" t="str" cm="1">
        <f t="array" ref="I356">LEFT(G356, MIN(IF(ISNUMBER(--MID(G356, _xlfn.SEQUENCE(LEN(G356)), 1)), _xlfn.SEQUENCE(LEN(G356)))) - 1)</f>
        <v>IP</v>
      </c>
      <c r="J356" s="129" t="str">
        <f>_xlfn.XLOOKUP(H356,'GK IFT SDM POSTCODES'!A:A,'GK IFT SDM POSTCODES'!B:B,"")</f>
        <v>Kate Rayson</v>
      </c>
      <c r="K356" s="129"/>
    </row>
    <row r="357" spans="1:11" ht="17.25" x14ac:dyDescent="0.35">
      <c r="A357" s="131" t="s">
        <v>4160</v>
      </c>
      <c r="B357" s="128" t="s">
        <v>4830</v>
      </c>
      <c r="C357" s="129"/>
      <c r="D357" s="129"/>
      <c r="E357" s="129"/>
      <c r="F357" s="129"/>
      <c r="G357" s="128" t="s">
        <v>361</v>
      </c>
      <c r="H357" s="131" t="str">
        <f t="shared" si="5"/>
        <v>IP2</v>
      </c>
      <c r="I357" s="131" t="str" cm="1">
        <f t="array" ref="I357">LEFT(G357, MIN(IF(ISNUMBER(--MID(G357, _xlfn.SEQUENCE(LEN(G357)), 1)), _xlfn.SEQUENCE(LEN(G357)))) - 1)</f>
        <v>IP</v>
      </c>
      <c r="J357" s="129" t="str">
        <f>_xlfn.XLOOKUP(H357,'GK IFT SDM POSTCODES'!A:A,'GK IFT SDM POSTCODES'!B:B,"")</f>
        <v>Kate Rayson</v>
      </c>
      <c r="K357" s="129"/>
    </row>
    <row r="358" spans="1:11" ht="17.25" x14ac:dyDescent="0.35">
      <c r="A358" s="131" t="s">
        <v>4160</v>
      </c>
      <c r="B358" s="128" t="s">
        <v>4831</v>
      </c>
      <c r="C358" s="129"/>
      <c r="D358" s="129"/>
      <c r="E358" s="129"/>
      <c r="F358" s="129"/>
      <c r="G358" s="128" t="s">
        <v>4964</v>
      </c>
      <c r="H358" s="131" t="str">
        <f t="shared" si="5"/>
        <v>IP2</v>
      </c>
      <c r="I358" s="131" t="str" cm="1">
        <f t="array" ref="I358">LEFT(G358, MIN(IF(ISNUMBER(--MID(G358, _xlfn.SEQUENCE(LEN(G358)), 1)), _xlfn.SEQUENCE(LEN(G358)))) - 1)</f>
        <v>IP</v>
      </c>
      <c r="J358" s="129" t="str">
        <f>_xlfn.XLOOKUP(H358,'GK IFT SDM POSTCODES'!A:A,'GK IFT SDM POSTCODES'!B:B,"")</f>
        <v>Kate Rayson</v>
      </c>
      <c r="K358" s="129"/>
    </row>
    <row r="359" spans="1:11" ht="17.25" x14ac:dyDescent="0.35">
      <c r="A359" s="134" t="s">
        <v>7</v>
      </c>
      <c r="B359" s="134" t="s">
        <v>4051</v>
      </c>
      <c r="C359" s="134" t="s">
        <v>4036</v>
      </c>
      <c r="D359" s="129"/>
      <c r="E359" s="134" t="s">
        <v>1</v>
      </c>
      <c r="F359" s="134" t="s">
        <v>45</v>
      </c>
      <c r="G359" s="134" t="s">
        <v>359</v>
      </c>
      <c r="H359" s="131" t="str">
        <f t="shared" si="5"/>
        <v>IP2</v>
      </c>
      <c r="I359" s="131" t="str" cm="1">
        <f t="array" ref="I359">LEFT(G359, MIN(IF(ISNUMBER(--MID(G359, _xlfn.SEQUENCE(LEN(G359)), 1)), _xlfn.SEQUENCE(LEN(G359)))) - 1)</f>
        <v>IP</v>
      </c>
      <c r="J359" s="146" t="s">
        <v>6231</v>
      </c>
      <c r="K359" s="129"/>
    </row>
    <row r="360" spans="1:11" ht="17.25" x14ac:dyDescent="0.35">
      <c r="A360" s="131" t="s">
        <v>4160</v>
      </c>
      <c r="B360" s="128" t="s">
        <v>3694</v>
      </c>
      <c r="C360" s="129"/>
      <c r="D360" s="129"/>
      <c r="E360" s="129"/>
      <c r="F360" s="129"/>
      <c r="G360" s="128" t="s">
        <v>459</v>
      </c>
      <c r="H360" s="131" t="str">
        <f t="shared" si="5"/>
        <v>IP20</v>
      </c>
      <c r="I360" s="131" t="str" cm="1">
        <f t="array" ref="I360">LEFT(G360, MIN(IF(ISNUMBER(--MID(G360, _xlfn.SEQUENCE(LEN(G360)), 1)), _xlfn.SEQUENCE(LEN(G360)))) - 1)</f>
        <v>IP</v>
      </c>
      <c r="J360" s="129" t="str">
        <f>_xlfn.XLOOKUP(H360,'GK IFT SDM POSTCODES'!A:A,'GK IFT SDM POSTCODES'!B:B,"")</f>
        <v>Rob Brown</v>
      </c>
      <c r="K360" s="129"/>
    </row>
    <row r="361" spans="1:11" ht="17.25" x14ac:dyDescent="0.35">
      <c r="A361" s="134" t="s">
        <v>7</v>
      </c>
      <c r="B361" s="134" t="s">
        <v>4052</v>
      </c>
      <c r="C361" s="134" t="s">
        <v>4037</v>
      </c>
      <c r="D361" s="129"/>
      <c r="E361" s="134" t="s">
        <v>580</v>
      </c>
      <c r="F361" s="134" t="s">
        <v>55</v>
      </c>
      <c r="G361" s="134" t="s">
        <v>878</v>
      </c>
      <c r="H361" s="131" t="str">
        <f t="shared" si="5"/>
        <v>IP20</v>
      </c>
      <c r="I361" s="131" t="str" cm="1">
        <f t="array" ref="I361">LEFT(G361, MIN(IF(ISNUMBER(--MID(G361, _xlfn.SEQUENCE(LEN(G361)), 1)), _xlfn.SEQUENCE(LEN(G361)))) - 1)</f>
        <v>IP</v>
      </c>
      <c r="J361" s="134" t="s">
        <v>3801</v>
      </c>
      <c r="K361" s="129"/>
    </row>
    <row r="362" spans="1:11" ht="17.25" x14ac:dyDescent="0.35">
      <c r="A362" s="131" t="s">
        <v>4160</v>
      </c>
      <c r="B362" s="136" t="s">
        <v>4832</v>
      </c>
      <c r="C362" s="129"/>
      <c r="D362" s="129"/>
      <c r="E362" s="129"/>
      <c r="F362" s="129"/>
      <c r="G362" s="136" t="s">
        <v>4965</v>
      </c>
      <c r="H362" s="131" t="str">
        <f t="shared" si="5"/>
        <v>IP20</v>
      </c>
      <c r="I362" s="131" t="str" cm="1">
        <f t="array" ref="I362">LEFT(G362, MIN(IF(ISNUMBER(--MID(G362, _xlfn.SEQUENCE(LEN(G362)), 1)), _xlfn.SEQUENCE(LEN(G362)))) - 1)</f>
        <v>IP</v>
      </c>
      <c r="J362" s="129" t="str">
        <f>_xlfn.XLOOKUP(H362,'GK IFT SDM POSTCODES'!A:A,'GK IFT SDM POSTCODES'!B:B,"")</f>
        <v>Rob Brown</v>
      </c>
      <c r="K362" s="129"/>
    </row>
    <row r="363" spans="1:11" ht="17.25" x14ac:dyDescent="0.35">
      <c r="A363" s="131" t="s">
        <v>4160</v>
      </c>
      <c r="B363" s="128" t="s">
        <v>4833</v>
      </c>
      <c r="C363" s="129"/>
      <c r="D363" s="129"/>
      <c r="E363" s="129"/>
      <c r="F363" s="129"/>
      <c r="G363" s="128" t="s">
        <v>391</v>
      </c>
      <c r="H363" s="131" t="str">
        <f t="shared" si="5"/>
        <v>IP20</v>
      </c>
      <c r="I363" s="131" t="str" cm="1">
        <f t="array" ref="I363">LEFT(G363, MIN(IF(ISNUMBER(--MID(G363, _xlfn.SEQUENCE(LEN(G363)), 1)), _xlfn.SEQUENCE(LEN(G363)))) - 1)</f>
        <v>IP</v>
      </c>
      <c r="J363" s="129" t="str">
        <f>_xlfn.XLOOKUP(H363,'GK IFT SDM POSTCODES'!A:A,'GK IFT SDM POSTCODES'!B:B,"")</f>
        <v>Rob Brown</v>
      </c>
      <c r="K363" s="129"/>
    </row>
    <row r="364" spans="1:11" ht="17.25" x14ac:dyDescent="0.35">
      <c r="A364" s="131" t="s">
        <v>4160</v>
      </c>
      <c r="B364" s="128" t="s">
        <v>4834</v>
      </c>
      <c r="C364" s="129"/>
      <c r="D364" s="129"/>
      <c r="E364" s="129"/>
      <c r="F364" s="129"/>
      <c r="G364" s="128" t="s">
        <v>390</v>
      </c>
      <c r="H364" s="131" t="str">
        <f t="shared" si="5"/>
        <v>IP20</v>
      </c>
      <c r="I364" s="131" t="str" cm="1">
        <f t="array" ref="I364">LEFT(G364, MIN(IF(ISNUMBER(--MID(G364, _xlfn.SEQUENCE(LEN(G364)), 1)), _xlfn.SEQUENCE(LEN(G364)))) - 1)</f>
        <v>IP</v>
      </c>
      <c r="J364" s="129" t="str">
        <f>_xlfn.XLOOKUP(H364,'GK IFT SDM POSTCODES'!A:A,'GK IFT SDM POSTCODES'!B:B,"")</f>
        <v>Rob Brown</v>
      </c>
      <c r="K364" s="129"/>
    </row>
    <row r="365" spans="1:11" ht="17.25" x14ac:dyDescent="0.35">
      <c r="A365" s="131" t="s">
        <v>4160</v>
      </c>
      <c r="B365" s="128" t="s">
        <v>4835</v>
      </c>
      <c r="C365" s="129"/>
      <c r="D365" s="129"/>
      <c r="E365" s="129"/>
      <c r="F365" s="129"/>
      <c r="G365" s="128" t="s">
        <v>4966</v>
      </c>
      <c r="H365" s="131" t="str">
        <f t="shared" si="5"/>
        <v>IP21</v>
      </c>
      <c r="I365" s="131" t="str" cm="1">
        <f t="array" ref="I365">LEFT(G365, MIN(IF(ISNUMBER(--MID(G365, _xlfn.SEQUENCE(LEN(G365)), 1)), _xlfn.SEQUENCE(LEN(G365)))) - 1)</f>
        <v>IP</v>
      </c>
      <c r="J365" s="129" t="str">
        <f>_xlfn.XLOOKUP(H365,'GK IFT SDM POSTCODES'!A:A,'GK IFT SDM POSTCODES'!B:B,"")</f>
        <v>Rob Brown</v>
      </c>
      <c r="K365" s="129"/>
    </row>
    <row r="366" spans="1:11" ht="17.25" x14ac:dyDescent="0.35">
      <c r="A366" s="131" t="s">
        <v>4160</v>
      </c>
      <c r="B366" s="128" t="s">
        <v>4836</v>
      </c>
      <c r="C366" s="129"/>
      <c r="D366" s="129"/>
      <c r="E366" s="129"/>
      <c r="F366" s="129"/>
      <c r="G366" s="128" t="s">
        <v>300</v>
      </c>
      <c r="H366" s="131" t="str">
        <f t="shared" si="5"/>
        <v>IP21</v>
      </c>
      <c r="I366" s="131" t="str" cm="1">
        <f t="array" ref="I366">LEFT(G366, MIN(IF(ISNUMBER(--MID(G366, _xlfn.SEQUENCE(LEN(G366)), 1)), _xlfn.SEQUENCE(LEN(G366)))) - 1)</f>
        <v>IP</v>
      </c>
      <c r="J366" s="129" t="str">
        <f>_xlfn.XLOOKUP(H366,'GK IFT SDM POSTCODES'!A:A,'GK IFT SDM POSTCODES'!B:B,"")</f>
        <v>Rob Brown</v>
      </c>
      <c r="K366" s="129"/>
    </row>
    <row r="367" spans="1:11" ht="17.25" x14ac:dyDescent="0.35">
      <c r="A367" s="134" t="s">
        <v>7</v>
      </c>
      <c r="B367" s="134" t="s">
        <v>4053</v>
      </c>
      <c r="C367" s="134" t="s">
        <v>4038</v>
      </c>
      <c r="D367" s="129"/>
      <c r="E367" s="134" t="s">
        <v>293</v>
      </c>
      <c r="F367" s="134" t="s">
        <v>55</v>
      </c>
      <c r="G367" s="134" t="s">
        <v>393</v>
      </c>
      <c r="H367" s="131" t="str">
        <f t="shared" si="5"/>
        <v>IP21</v>
      </c>
      <c r="I367" s="131" t="str" cm="1">
        <f t="array" ref="I367">LEFT(G367, MIN(IF(ISNUMBER(--MID(G367, _xlfn.SEQUENCE(LEN(G367)), 1)), _xlfn.SEQUENCE(LEN(G367)))) - 1)</f>
        <v>IP</v>
      </c>
      <c r="J367" s="134" t="s">
        <v>3801</v>
      </c>
      <c r="K367" s="129"/>
    </row>
    <row r="368" spans="1:11" ht="17.25" x14ac:dyDescent="0.35">
      <c r="A368" s="130" t="s">
        <v>4065</v>
      </c>
      <c r="B368" s="127" t="s">
        <v>2524</v>
      </c>
      <c r="C368" s="127" t="s">
        <v>550</v>
      </c>
      <c r="D368" s="133"/>
      <c r="E368" s="126" t="s">
        <v>293</v>
      </c>
      <c r="F368" s="133"/>
      <c r="G368" s="126" t="s">
        <v>4094</v>
      </c>
      <c r="H368" s="131" t="str">
        <f t="shared" si="5"/>
        <v>IP21</v>
      </c>
      <c r="I368" s="131" t="str" cm="1">
        <f t="array" ref="I368">LEFT(G368, MIN(IF(ISNUMBER(--MID(G368, _xlfn.SEQUENCE(LEN(G368)), 1)), _xlfn.SEQUENCE(LEN(G368)))) - 1)</f>
        <v>IP</v>
      </c>
      <c r="J368" s="126" t="s">
        <v>4070</v>
      </c>
      <c r="K368" s="129"/>
    </row>
    <row r="369" spans="1:11" ht="17.25" x14ac:dyDescent="0.35">
      <c r="A369" s="134" t="s">
        <v>7</v>
      </c>
      <c r="B369" s="134" t="s">
        <v>4054</v>
      </c>
      <c r="C369" s="134" t="s">
        <v>4039</v>
      </c>
      <c r="D369" s="129"/>
      <c r="E369" s="134" t="s">
        <v>293</v>
      </c>
      <c r="F369" s="134" t="s">
        <v>45</v>
      </c>
      <c r="G369" s="134" t="s">
        <v>3614</v>
      </c>
      <c r="H369" s="131" t="str">
        <f t="shared" si="5"/>
        <v>IP21</v>
      </c>
      <c r="I369" s="131" t="str" cm="1">
        <f t="array" ref="I369">LEFT(G369, MIN(IF(ISNUMBER(--MID(G369, _xlfn.SEQUENCE(LEN(G369)), 1)), _xlfn.SEQUENCE(LEN(G369)))) - 1)</f>
        <v>IP</v>
      </c>
      <c r="J369" s="134" t="s">
        <v>3801</v>
      </c>
      <c r="K369" s="129"/>
    </row>
    <row r="370" spans="1:11" ht="17.25" x14ac:dyDescent="0.35">
      <c r="A370" s="131" t="s">
        <v>4160</v>
      </c>
      <c r="B370" s="128" t="s">
        <v>4837</v>
      </c>
      <c r="C370" s="129"/>
      <c r="D370" s="129"/>
      <c r="E370" s="129"/>
      <c r="F370" s="129"/>
      <c r="G370" s="128" t="s">
        <v>4967</v>
      </c>
      <c r="H370" s="131" t="str">
        <f t="shared" si="5"/>
        <v>IP21</v>
      </c>
      <c r="I370" s="131" t="str" cm="1">
        <f t="array" ref="I370">LEFT(G370, MIN(IF(ISNUMBER(--MID(G370, _xlfn.SEQUENCE(LEN(G370)), 1)), _xlfn.SEQUENCE(LEN(G370)))) - 1)</f>
        <v>IP</v>
      </c>
      <c r="J370" s="129" t="str">
        <f>_xlfn.XLOOKUP(H370,'GK IFT SDM POSTCODES'!A:A,'GK IFT SDM POSTCODES'!B:B,"")</f>
        <v>Rob Brown</v>
      </c>
      <c r="K370" s="129"/>
    </row>
    <row r="371" spans="1:11" ht="17.25" x14ac:dyDescent="0.35">
      <c r="A371" s="131" t="s">
        <v>4160</v>
      </c>
      <c r="B371" s="128" t="s">
        <v>4838</v>
      </c>
      <c r="C371" s="129"/>
      <c r="D371" s="129"/>
      <c r="E371" s="129"/>
      <c r="F371" s="129"/>
      <c r="G371" s="128" t="s">
        <v>4968</v>
      </c>
      <c r="H371" s="131" t="str">
        <f t="shared" si="5"/>
        <v>IP21</v>
      </c>
      <c r="I371" s="131" t="str" cm="1">
        <f t="array" ref="I371">LEFT(G371, MIN(IF(ISNUMBER(--MID(G371, _xlfn.SEQUENCE(LEN(G371)), 1)), _xlfn.SEQUENCE(LEN(G371)))) - 1)</f>
        <v>IP</v>
      </c>
      <c r="J371" s="129" t="str">
        <f>_xlfn.XLOOKUP(H371,'GK IFT SDM POSTCODES'!A:A,'GK IFT SDM POSTCODES'!B:B,"")</f>
        <v>Rob Brown</v>
      </c>
      <c r="K371" s="129"/>
    </row>
    <row r="372" spans="1:11" ht="17.25" x14ac:dyDescent="0.35">
      <c r="A372" s="131" t="s">
        <v>4160</v>
      </c>
      <c r="B372" s="128" t="s">
        <v>4839</v>
      </c>
      <c r="C372" s="129"/>
      <c r="D372" s="129"/>
      <c r="E372" s="129"/>
      <c r="F372" s="129"/>
      <c r="G372" s="128" t="s">
        <v>4969</v>
      </c>
      <c r="H372" s="131" t="str">
        <f t="shared" si="5"/>
        <v>IP22</v>
      </c>
      <c r="I372" s="131" t="str" cm="1">
        <f t="array" ref="I372">LEFT(G372, MIN(IF(ISNUMBER(--MID(G372, _xlfn.SEQUENCE(LEN(G372)), 1)), _xlfn.SEQUENCE(LEN(G372)))) - 1)</f>
        <v>IP</v>
      </c>
      <c r="J372" s="129" t="str">
        <f>_xlfn.XLOOKUP(H372,'GK IFT SDM POSTCODES'!A:A,'GK IFT SDM POSTCODES'!B:B,"")</f>
        <v>Rob Brown</v>
      </c>
      <c r="K372" s="129"/>
    </row>
    <row r="373" spans="1:11" ht="17.25" x14ac:dyDescent="0.35">
      <c r="A373" s="131" t="s">
        <v>4160</v>
      </c>
      <c r="B373" s="128" t="s">
        <v>4840</v>
      </c>
      <c r="C373" s="129"/>
      <c r="D373" s="129"/>
      <c r="E373" s="129"/>
      <c r="F373" s="129"/>
      <c r="G373" s="128" t="s">
        <v>394</v>
      </c>
      <c r="H373" s="131" t="str">
        <f t="shared" si="5"/>
        <v>IP22</v>
      </c>
      <c r="I373" s="131" t="str" cm="1">
        <f t="array" ref="I373">LEFT(G373, MIN(IF(ISNUMBER(--MID(G373, _xlfn.SEQUENCE(LEN(G373)), 1)), _xlfn.SEQUENCE(LEN(G373)))) - 1)</f>
        <v>IP</v>
      </c>
      <c r="J373" s="129" t="str">
        <f>_xlfn.XLOOKUP(H373,'GK IFT SDM POSTCODES'!A:A,'GK IFT SDM POSTCODES'!B:B,"")</f>
        <v>Rob Brown</v>
      </c>
      <c r="K373" s="129"/>
    </row>
    <row r="374" spans="1:11" ht="17.25" x14ac:dyDescent="0.35">
      <c r="A374" s="131" t="s">
        <v>4160</v>
      </c>
      <c r="B374" s="128" t="s">
        <v>4841</v>
      </c>
      <c r="C374" s="129"/>
      <c r="D374" s="129"/>
      <c r="E374" s="129"/>
      <c r="F374" s="129"/>
      <c r="G374" s="128" t="s">
        <v>4970</v>
      </c>
      <c r="H374" s="131" t="str">
        <f t="shared" si="5"/>
        <v>IP22</v>
      </c>
      <c r="I374" s="131" t="str" cm="1">
        <f t="array" ref="I374">LEFT(G374, MIN(IF(ISNUMBER(--MID(G374, _xlfn.SEQUENCE(LEN(G374)), 1)), _xlfn.SEQUENCE(LEN(G374)))) - 1)</f>
        <v>IP</v>
      </c>
      <c r="J374" s="129" t="str">
        <f>_xlfn.XLOOKUP(H374,'GK IFT SDM POSTCODES'!A:A,'GK IFT SDM POSTCODES'!B:B,"")</f>
        <v>Rob Brown</v>
      </c>
      <c r="K374" s="129"/>
    </row>
    <row r="375" spans="1:11" ht="17.25" x14ac:dyDescent="0.35">
      <c r="A375" s="131" t="s">
        <v>4160</v>
      </c>
      <c r="B375" s="128" t="s">
        <v>4842</v>
      </c>
      <c r="C375" s="129"/>
      <c r="D375" s="129"/>
      <c r="E375" s="129"/>
      <c r="F375" s="129"/>
      <c r="G375" s="128" t="s">
        <v>4971</v>
      </c>
      <c r="H375" s="131" t="str">
        <f t="shared" si="5"/>
        <v>IP22</v>
      </c>
      <c r="I375" s="131" t="str" cm="1">
        <f t="array" ref="I375">LEFT(G375, MIN(IF(ISNUMBER(--MID(G375, _xlfn.SEQUENCE(LEN(G375)), 1)), _xlfn.SEQUENCE(LEN(G375)))) - 1)</f>
        <v>IP</v>
      </c>
      <c r="J375" s="129" t="str">
        <f>_xlfn.XLOOKUP(H375,'GK IFT SDM POSTCODES'!A:A,'GK IFT SDM POSTCODES'!B:B,"")</f>
        <v>Rob Brown</v>
      </c>
      <c r="K375" s="129"/>
    </row>
    <row r="376" spans="1:11" ht="17.25" x14ac:dyDescent="0.35">
      <c r="A376" s="131" t="s">
        <v>4160</v>
      </c>
      <c r="B376" s="128" t="s">
        <v>4843</v>
      </c>
      <c r="C376" s="129"/>
      <c r="D376" s="129"/>
      <c r="E376" s="129"/>
      <c r="F376" s="129"/>
      <c r="G376" s="128" t="s">
        <v>4972</v>
      </c>
      <c r="H376" s="131" t="str">
        <f t="shared" si="5"/>
        <v>IP22</v>
      </c>
      <c r="I376" s="131" t="str" cm="1">
        <f t="array" ref="I376">LEFT(G376, MIN(IF(ISNUMBER(--MID(G376, _xlfn.SEQUENCE(LEN(G376)), 1)), _xlfn.SEQUENCE(LEN(G376)))) - 1)</f>
        <v>IP</v>
      </c>
      <c r="J376" s="129" t="str">
        <f>_xlfn.XLOOKUP(H376,'GK IFT SDM POSTCODES'!A:A,'GK IFT SDM POSTCODES'!B:B,"")</f>
        <v>Rob Brown</v>
      </c>
      <c r="K376" s="129"/>
    </row>
    <row r="377" spans="1:11" ht="17.25" x14ac:dyDescent="0.35">
      <c r="A377" s="134" t="s">
        <v>7</v>
      </c>
      <c r="B377" s="134" t="s">
        <v>4055</v>
      </c>
      <c r="C377" s="134" t="s">
        <v>4040</v>
      </c>
      <c r="D377" s="129"/>
      <c r="E377" s="134" t="s">
        <v>293</v>
      </c>
      <c r="F377" s="134" t="s">
        <v>55</v>
      </c>
      <c r="G377" s="134" t="s">
        <v>287</v>
      </c>
      <c r="H377" s="131" t="str">
        <f t="shared" si="5"/>
        <v>IP22</v>
      </c>
      <c r="I377" s="131" t="str" cm="1">
        <f t="array" ref="I377">LEFT(G377, MIN(IF(ISNUMBER(--MID(G377, _xlfn.SEQUENCE(LEN(G377)), 1)), _xlfn.SEQUENCE(LEN(G377)))) - 1)</f>
        <v>IP</v>
      </c>
      <c r="J377" s="134" t="s">
        <v>3801</v>
      </c>
      <c r="K377" s="129"/>
    </row>
    <row r="378" spans="1:11" ht="17.25" x14ac:dyDescent="0.35">
      <c r="A378" s="131" t="s">
        <v>4160</v>
      </c>
      <c r="B378" s="128" t="s">
        <v>4844</v>
      </c>
      <c r="C378" s="129"/>
      <c r="D378" s="129"/>
      <c r="E378" s="129"/>
      <c r="F378" s="129"/>
      <c r="G378" s="128" t="s">
        <v>4973</v>
      </c>
      <c r="H378" s="131" t="str">
        <f t="shared" si="5"/>
        <v>IP22</v>
      </c>
      <c r="I378" s="131" t="str" cm="1">
        <f t="array" ref="I378">LEFT(G378, MIN(IF(ISNUMBER(--MID(G378, _xlfn.SEQUENCE(LEN(G378)), 1)), _xlfn.SEQUENCE(LEN(G378)))) - 1)</f>
        <v>IP</v>
      </c>
      <c r="J378" s="129" t="str">
        <f>_xlfn.XLOOKUP(H378,'GK IFT SDM POSTCODES'!A:A,'GK IFT SDM POSTCODES'!B:B,"")</f>
        <v>Rob Brown</v>
      </c>
      <c r="K378" s="129"/>
    </row>
    <row r="379" spans="1:11" ht="17.25" x14ac:dyDescent="0.35">
      <c r="A379" s="134" t="s">
        <v>3902</v>
      </c>
      <c r="B379" s="134" t="s">
        <v>4056</v>
      </c>
      <c r="C379" s="134" t="s">
        <v>4041</v>
      </c>
      <c r="D379" s="129"/>
      <c r="E379" s="134" t="s">
        <v>293</v>
      </c>
      <c r="F379" s="134" t="s">
        <v>55</v>
      </c>
      <c r="G379" s="134" t="s">
        <v>292</v>
      </c>
      <c r="H379" s="131" t="str">
        <f t="shared" si="5"/>
        <v>IP22</v>
      </c>
      <c r="I379" s="131" t="str" cm="1">
        <f t="array" ref="I379">LEFT(G379, MIN(IF(ISNUMBER(--MID(G379, _xlfn.SEQUENCE(LEN(G379)), 1)), _xlfn.SEQUENCE(LEN(G379)))) - 1)</f>
        <v>IP</v>
      </c>
      <c r="J379" s="134" t="s">
        <v>3800</v>
      </c>
      <c r="K379" s="129"/>
    </row>
    <row r="380" spans="1:11" ht="17.25" x14ac:dyDescent="0.35">
      <c r="A380" s="131" t="s">
        <v>4160</v>
      </c>
      <c r="B380" s="136" t="s">
        <v>4845</v>
      </c>
      <c r="C380" s="129"/>
      <c r="D380" s="129"/>
      <c r="E380" s="129"/>
      <c r="F380" s="129"/>
      <c r="G380" s="136" t="s">
        <v>4974</v>
      </c>
      <c r="H380" s="131" t="str">
        <f t="shared" si="5"/>
        <v>IP22</v>
      </c>
      <c r="I380" s="131" t="str" cm="1">
        <f t="array" ref="I380">LEFT(G380, MIN(IF(ISNUMBER(--MID(G380, _xlfn.SEQUENCE(LEN(G380)), 1)), _xlfn.SEQUENCE(LEN(G380)))) - 1)</f>
        <v>IP</v>
      </c>
      <c r="J380" s="129" t="str">
        <f>_xlfn.XLOOKUP(H380,'GK IFT SDM POSTCODES'!A:A,'GK IFT SDM POSTCODES'!B:B,"")</f>
        <v>Rob Brown</v>
      </c>
      <c r="K380" s="129"/>
    </row>
    <row r="381" spans="1:11" ht="17.25" x14ac:dyDescent="0.35">
      <c r="A381" s="134" t="s">
        <v>7</v>
      </c>
      <c r="B381" s="134" t="s">
        <v>4057</v>
      </c>
      <c r="C381" s="134" t="s">
        <v>598</v>
      </c>
      <c r="D381" s="129"/>
      <c r="E381" s="134" t="s">
        <v>293</v>
      </c>
      <c r="F381" s="134" t="s">
        <v>55</v>
      </c>
      <c r="G381" s="134" t="s">
        <v>4031</v>
      </c>
      <c r="H381" s="131" t="str">
        <f t="shared" si="5"/>
        <v>IP22</v>
      </c>
      <c r="I381" s="131" t="str" cm="1">
        <f t="array" ref="I381">LEFT(G381, MIN(IF(ISNUMBER(--MID(G381, _xlfn.SEQUENCE(LEN(G381)), 1)), _xlfn.SEQUENCE(LEN(G381)))) - 1)</f>
        <v>IP</v>
      </c>
      <c r="J381" s="134" t="s">
        <v>3801</v>
      </c>
      <c r="K381" s="129"/>
    </row>
    <row r="382" spans="1:11" ht="17.25" x14ac:dyDescent="0.35">
      <c r="A382" s="131" t="s">
        <v>4160</v>
      </c>
      <c r="B382" s="128" t="s">
        <v>4846</v>
      </c>
      <c r="C382" s="129"/>
      <c r="D382" s="129"/>
      <c r="E382" s="129"/>
      <c r="F382" s="129"/>
      <c r="G382" s="128" t="s">
        <v>299</v>
      </c>
      <c r="H382" s="131" t="str">
        <f t="shared" si="5"/>
        <v>IP23</v>
      </c>
      <c r="I382" s="131" t="str" cm="1">
        <f t="array" ref="I382">LEFT(G382, MIN(IF(ISNUMBER(--MID(G382, _xlfn.SEQUENCE(LEN(G382)), 1)), _xlfn.SEQUENCE(LEN(G382)))) - 1)</f>
        <v>IP</v>
      </c>
      <c r="J382" s="129" t="str">
        <f>_xlfn.XLOOKUP(H382,'GK IFT SDM POSTCODES'!A:A,'GK IFT SDM POSTCODES'!B:B,"")</f>
        <v>Rob Brown</v>
      </c>
      <c r="K382" s="129"/>
    </row>
    <row r="383" spans="1:11" ht="17.25" x14ac:dyDescent="0.35">
      <c r="A383" s="131" t="s">
        <v>4160</v>
      </c>
      <c r="B383" s="128" t="s">
        <v>4847</v>
      </c>
      <c r="C383" s="129"/>
      <c r="D383" s="129"/>
      <c r="E383" s="129"/>
      <c r="F383" s="129"/>
      <c r="G383" s="128" t="s">
        <v>4975</v>
      </c>
      <c r="H383" s="131" t="str">
        <f t="shared" si="5"/>
        <v>IP23</v>
      </c>
      <c r="I383" s="131" t="str" cm="1">
        <f t="array" ref="I383">LEFT(G383, MIN(IF(ISNUMBER(--MID(G383, _xlfn.SEQUENCE(LEN(G383)), 1)), _xlfn.SEQUENCE(LEN(G383)))) - 1)</f>
        <v>IP</v>
      </c>
      <c r="J383" s="129" t="str">
        <f>_xlfn.XLOOKUP(H383,'GK IFT SDM POSTCODES'!A:A,'GK IFT SDM POSTCODES'!B:B,"")</f>
        <v>Rob Brown</v>
      </c>
      <c r="K383" s="129"/>
    </row>
    <row r="384" spans="1:11" ht="17.25" x14ac:dyDescent="0.35">
      <c r="A384" s="131" t="s">
        <v>4160</v>
      </c>
      <c r="B384" s="128" t="s">
        <v>4848</v>
      </c>
      <c r="C384" s="129"/>
      <c r="D384" s="129"/>
      <c r="E384" s="129"/>
      <c r="F384" s="129"/>
      <c r="G384" s="128" t="s">
        <v>259</v>
      </c>
      <c r="H384" s="131" t="str">
        <f t="shared" si="5"/>
        <v>IP23</v>
      </c>
      <c r="I384" s="131" t="str" cm="1">
        <f t="array" ref="I384">LEFT(G384, MIN(IF(ISNUMBER(--MID(G384, _xlfn.SEQUENCE(LEN(G384)), 1)), _xlfn.SEQUENCE(LEN(G384)))) - 1)</f>
        <v>IP</v>
      </c>
      <c r="J384" s="129" t="str">
        <f>_xlfn.XLOOKUP(H384,'GK IFT SDM POSTCODES'!A:A,'GK IFT SDM POSTCODES'!B:B,"")</f>
        <v>Rob Brown</v>
      </c>
      <c r="K384" s="129"/>
    </row>
    <row r="385" spans="1:11" ht="17.25" x14ac:dyDescent="0.35">
      <c r="A385" s="131" t="s">
        <v>4160</v>
      </c>
      <c r="B385" s="136" t="s">
        <v>4849</v>
      </c>
      <c r="C385" s="129"/>
      <c r="D385" s="129"/>
      <c r="E385" s="129"/>
      <c r="F385" s="129"/>
      <c r="G385" s="136" t="s">
        <v>4976</v>
      </c>
      <c r="H385" s="131" t="str">
        <f t="shared" si="5"/>
        <v>IP23</v>
      </c>
      <c r="I385" s="131" t="str" cm="1">
        <f t="array" ref="I385">LEFT(G385, MIN(IF(ISNUMBER(--MID(G385, _xlfn.SEQUENCE(LEN(G385)), 1)), _xlfn.SEQUENCE(LEN(G385)))) - 1)</f>
        <v>IP</v>
      </c>
      <c r="J385" s="129" t="str">
        <f>_xlfn.XLOOKUP(H385,'GK IFT SDM POSTCODES'!A:A,'GK IFT SDM POSTCODES'!B:B,"")</f>
        <v>Rob Brown</v>
      </c>
      <c r="K385" s="129"/>
    </row>
    <row r="386" spans="1:11" ht="17.25" x14ac:dyDescent="0.35">
      <c r="A386" s="131" t="s">
        <v>4160</v>
      </c>
      <c r="B386" s="128" t="s">
        <v>4850</v>
      </c>
      <c r="C386" s="129"/>
      <c r="D386" s="129"/>
      <c r="E386" s="129"/>
      <c r="F386" s="129"/>
      <c r="G386" s="128" t="s">
        <v>262</v>
      </c>
      <c r="H386" s="131" t="str">
        <f t="shared" ref="H386:H449" si="6">_xlfn.TEXTBEFORE(G386," ")</f>
        <v>IP23</v>
      </c>
      <c r="I386" s="131" t="str" cm="1">
        <f t="array" ref="I386">LEFT(G386, MIN(IF(ISNUMBER(--MID(G386, _xlfn.SEQUENCE(LEN(G386)), 1)), _xlfn.SEQUENCE(LEN(G386)))) - 1)</f>
        <v>IP</v>
      </c>
      <c r="J386" s="129" t="str">
        <f>_xlfn.XLOOKUP(H386,'GK IFT SDM POSTCODES'!A:A,'GK IFT SDM POSTCODES'!B:B,"")</f>
        <v>Rob Brown</v>
      </c>
      <c r="K386" s="129"/>
    </row>
    <row r="387" spans="1:11" ht="17.25" x14ac:dyDescent="0.35">
      <c r="A387" s="131" t="s">
        <v>4160</v>
      </c>
      <c r="B387" s="128" t="s">
        <v>4851</v>
      </c>
      <c r="C387" s="129"/>
      <c r="D387" s="129"/>
      <c r="E387" s="129"/>
      <c r="F387" s="129"/>
      <c r="G387" s="128" t="s">
        <v>4977</v>
      </c>
      <c r="H387" s="131" t="str">
        <f t="shared" si="6"/>
        <v>IP23</v>
      </c>
      <c r="I387" s="131" t="str" cm="1">
        <f t="array" ref="I387">LEFT(G387, MIN(IF(ISNUMBER(--MID(G387, _xlfn.SEQUENCE(LEN(G387)), 1)), _xlfn.SEQUENCE(LEN(G387)))) - 1)</f>
        <v>IP</v>
      </c>
      <c r="J387" s="129" t="str">
        <f>_xlfn.XLOOKUP(H387,'GK IFT SDM POSTCODES'!A:A,'GK IFT SDM POSTCODES'!B:B,"")</f>
        <v>Rob Brown</v>
      </c>
      <c r="K387" s="129"/>
    </row>
    <row r="388" spans="1:11" ht="17.25" x14ac:dyDescent="0.35">
      <c r="A388" s="131" t="s">
        <v>4160</v>
      </c>
      <c r="B388" s="128" t="s">
        <v>4852</v>
      </c>
      <c r="C388" s="129"/>
      <c r="D388" s="129"/>
      <c r="E388" s="129"/>
      <c r="F388" s="129"/>
      <c r="G388" s="128" t="s">
        <v>4978</v>
      </c>
      <c r="H388" s="131" t="str">
        <f t="shared" si="6"/>
        <v>IP23</v>
      </c>
      <c r="I388" s="131" t="str" cm="1">
        <f t="array" ref="I388">LEFT(G388, MIN(IF(ISNUMBER(--MID(G388, _xlfn.SEQUENCE(LEN(G388)), 1)), _xlfn.SEQUENCE(LEN(G388)))) - 1)</f>
        <v>IP</v>
      </c>
      <c r="J388" s="129" t="str">
        <f>_xlfn.XLOOKUP(H388,'GK IFT SDM POSTCODES'!A:A,'GK IFT SDM POSTCODES'!B:B,"")</f>
        <v>Rob Brown</v>
      </c>
      <c r="K388" s="129"/>
    </row>
    <row r="389" spans="1:11" ht="17.25" x14ac:dyDescent="0.35">
      <c r="A389" s="130" t="s">
        <v>3718</v>
      </c>
      <c r="B389" s="131" t="s">
        <v>3452</v>
      </c>
      <c r="C389" s="131" t="s">
        <v>3525</v>
      </c>
      <c r="D389" s="131" t="s">
        <v>3736</v>
      </c>
      <c r="E389" s="131" t="s">
        <v>261</v>
      </c>
      <c r="F389" s="131" t="s">
        <v>45</v>
      </c>
      <c r="G389" s="131" t="s">
        <v>168</v>
      </c>
      <c r="H389" s="131" t="str">
        <f t="shared" si="6"/>
        <v>IP23</v>
      </c>
      <c r="I389" s="131" t="str" cm="1">
        <f t="array" ref="I389">LEFT(G389, MIN(IF(ISNUMBER(--MID(G389, _xlfn.SEQUENCE(LEN(G389)), 1)), _xlfn.SEQUENCE(LEN(G389)))) - 1)</f>
        <v>IP</v>
      </c>
      <c r="J389" s="131" t="s">
        <v>3726</v>
      </c>
      <c r="K389" s="129"/>
    </row>
    <row r="390" spans="1:11" ht="17.25" x14ac:dyDescent="0.35">
      <c r="A390" s="131" t="s">
        <v>4160</v>
      </c>
      <c r="B390" s="128" t="s">
        <v>167</v>
      </c>
      <c r="C390" s="129"/>
      <c r="D390" s="129"/>
      <c r="E390" s="129"/>
      <c r="F390" s="129"/>
      <c r="G390" s="128" t="s">
        <v>168</v>
      </c>
      <c r="H390" s="131" t="str">
        <f t="shared" si="6"/>
        <v>IP23</v>
      </c>
      <c r="I390" s="131" t="str" cm="1">
        <f t="array" ref="I390">LEFT(G390, MIN(IF(ISNUMBER(--MID(G390, _xlfn.SEQUENCE(LEN(G390)), 1)), _xlfn.SEQUENCE(LEN(G390)))) - 1)</f>
        <v>IP</v>
      </c>
      <c r="J390" s="129" t="str">
        <f>_xlfn.XLOOKUP(H390,'GK IFT SDM POSTCODES'!A:A,'GK IFT SDM POSTCODES'!B:B,"")</f>
        <v>Rob Brown</v>
      </c>
      <c r="K390" s="129"/>
    </row>
    <row r="391" spans="1:11" ht="21" x14ac:dyDescent="0.35">
      <c r="A391" s="130" t="s">
        <v>4065</v>
      </c>
      <c r="B391" s="127" t="s">
        <v>220</v>
      </c>
      <c r="C391" s="127" t="s">
        <v>132</v>
      </c>
      <c r="D391" s="133"/>
      <c r="E391" s="126" t="s">
        <v>227</v>
      </c>
      <c r="F391" s="133"/>
      <c r="G391" s="126" t="s">
        <v>221</v>
      </c>
      <c r="H391" s="131" t="str">
        <f t="shared" si="6"/>
        <v>IP24</v>
      </c>
      <c r="I391" s="131" t="str" cm="1">
        <f t="array" ref="I391">LEFT(G391, MIN(IF(ISNUMBER(--MID(G391, _xlfn.SEQUENCE(LEN(G391)), 1)), _xlfn.SEQUENCE(LEN(G391)))) - 1)</f>
        <v>IP</v>
      </c>
      <c r="J391" s="126" t="s">
        <v>4070</v>
      </c>
      <c r="K391" s="129"/>
    </row>
    <row r="392" spans="1:11" ht="17.25" x14ac:dyDescent="0.35">
      <c r="A392" s="131" t="s">
        <v>4160</v>
      </c>
      <c r="B392" s="128" t="s">
        <v>4853</v>
      </c>
      <c r="C392" s="129"/>
      <c r="D392" s="129"/>
      <c r="E392" s="129"/>
      <c r="F392" s="129"/>
      <c r="G392" s="128" t="s">
        <v>4979</v>
      </c>
      <c r="H392" s="131" t="str">
        <f t="shared" si="6"/>
        <v>IP24</v>
      </c>
      <c r="I392" s="131" t="str" cm="1">
        <f t="array" ref="I392">LEFT(G392, MIN(IF(ISNUMBER(--MID(G392, _xlfn.SEQUENCE(LEN(G392)), 1)), _xlfn.SEQUENCE(LEN(G392)))) - 1)</f>
        <v>IP</v>
      </c>
      <c r="J392" s="129" t="str">
        <f>_xlfn.XLOOKUP(H392,'GK IFT SDM POSTCODES'!A:A,'GK IFT SDM POSTCODES'!B:B,"")</f>
        <v>Adam Reditt</v>
      </c>
      <c r="K392" s="129"/>
    </row>
    <row r="393" spans="1:11" ht="17.25" x14ac:dyDescent="0.35">
      <c r="A393" s="131" t="s">
        <v>4160</v>
      </c>
      <c r="B393" s="128" t="s">
        <v>4854</v>
      </c>
      <c r="C393" s="129"/>
      <c r="D393" s="129"/>
      <c r="E393" s="129"/>
      <c r="F393" s="129"/>
      <c r="G393" s="128" t="s">
        <v>4980</v>
      </c>
      <c r="H393" s="131" t="str">
        <f t="shared" si="6"/>
        <v>IP24</v>
      </c>
      <c r="I393" s="131" t="str" cm="1">
        <f t="array" ref="I393">LEFT(G393, MIN(IF(ISNUMBER(--MID(G393, _xlfn.SEQUENCE(LEN(G393)), 1)), _xlfn.SEQUENCE(LEN(G393)))) - 1)</f>
        <v>IP</v>
      </c>
      <c r="J393" s="129" t="str">
        <f>_xlfn.XLOOKUP(H393,'GK IFT SDM POSTCODES'!A:A,'GK IFT SDM POSTCODES'!B:B,"")</f>
        <v>Adam Reditt</v>
      </c>
      <c r="K393" s="129"/>
    </row>
    <row r="394" spans="1:11" ht="17.25" x14ac:dyDescent="0.35">
      <c r="A394" s="131" t="s">
        <v>4160</v>
      </c>
      <c r="B394" s="128" t="s">
        <v>4855</v>
      </c>
      <c r="C394" s="129"/>
      <c r="D394" s="129"/>
      <c r="E394" s="129"/>
      <c r="F394" s="129"/>
      <c r="G394" s="128" t="s">
        <v>4981</v>
      </c>
      <c r="H394" s="131" t="str">
        <f t="shared" si="6"/>
        <v>IP24</v>
      </c>
      <c r="I394" s="131" t="str" cm="1">
        <f t="array" ref="I394">LEFT(G394, MIN(IF(ISNUMBER(--MID(G394, _xlfn.SEQUENCE(LEN(G394)), 1)), _xlfn.SEQUENCE(LEN(G394)))) - 1)</f>
        <v>IP</v>
      </c>
      <c r="J394" s="129" t="str">
        <f>_xlfn.XLOOKUP(H394,'GK IFT SDM POSTCODES'!A:A,'GK IFT SDM POSTCODES'!B:B,"")</f>
        <v>Adam Reditt</v>
      </c>
      <c r="K394" s="129"/>
    </row>
    <row r="395" spans="1:11" ht="17.25" x14ac:dyDescent="0.35">
      <c r="A395" s="130" t="s">
        <v>3718</v>
      </c>
      <c r="B395" s="131" t="s">
        <v>2362</v>
      </c>
      <c r="C395" s="131" t="s">
        <v>2363</v>
      </c>
      <c r="D395" s="131" t="s">
        <v>227</v>
      </c>
      <c r="E395" s="131"/>
      <c r="F395" s="131" t="s">
        <v>55</v>
      </c>
      <c r="G395" s="131" t="s">
        <v>507</v>
      </c>
      <c r="H395" s="131" t="str">
        <f t="shared" si="6"/>
        <v>IP24</v>
      </c>
      <c r="I395" s="131" t="str" cm="1">
        <f t="array" ref="I395">LEFT(G395, MIN(IF(ISNUMBER(--MID(G395, _xlfn.SEQUENCE(LEN(G395)), 1)), _xlfn.SEQUENCE(LEN(G395)))) - 1)</f>
        <v>IP</v>
      </c>
      <c r="J395" s="131" t="s">
        <v>3726</v>
      </c>
      <c r="K395" s="129"/>
    </row>
    <row r="396" spans="1:11" ht="17.25" x14ac:dyDescent="0.35">
      <c r="A396" s="131" t="s">
        <v>4160</v>
      </c>
      <c r="B396" s="128" t="s">
        <v>4856</v>
      </c>
      <c r="C396" s="129"/>
      <c r="D396" s="129"/>
      <c r="E396" s="129"/>
      <c r="F396" s="129"/>
      <c r="G396" s="128" t="s">
        <v>224</v>
      </c>
      <c r="H396" s="131" t="str">
        <f t="shared" si="6"/>
        <v>IP24</v>
      </c>
      <c r="I396" s="131" t="str" cm="1">
        <f t="array" ref="I396">LEFT(G396, MIN(IF(ISNUMBER(--MID(G396, _xlfn.SEQUENCE(LEN(G396)), 1)), _xlfn.SEQUENCE(LEN(G396)))) - 1)</f>
        <v>IP</v>
      </c>
      <c r="J396" s="129" t="str">
        <f>_xlfn.XLOOKUP(H396,'GK IFT SDM POSTCODES'!A:A,'GK IFT SDM POSTCODES'!B:B,"")</f>
        <v>Adam Reditt</v>
      </c>
      <c r="K396" s="129"/>
    </row>
    <row r="397" spans="1:11" ht="17.25" x14ac:dyDescent="0.35">
      <c r="A397" s="134" t="s">
        <v>3902</v>
      </c>
      <c r="B397" s="134" t="s">
        <v>4058</v>
      </c>
      <c r="C397" s="134" t="s">
        <v>2925</v>
      </c>
      <c r="D397" s="129"/>
      <c r="E397" s="134" t="s">
        <v>227</v>
      </c>
      <c r="F397" s="134" t="s">
        <v>55</v>
      </c>
      <c r="G397" s="134" t="s">
        <v>424</v>
      </c>
      <c r="H397" s="131" t="str">
        <f t="shared" si="6"/>
        <v>IP24</v>
      </c>
      <c r="I397" s="131" t="str" cm="1">
        <f t="array" ref="I397">LEFT(G397, MIN(IF(ISNUMBER(--MID(G397, _xlfn.SEQUENCE(LEN(G397)), 1)), _xlfn.SEQUENCE(LEN(G397)))) - 1)</f>
        <v>IP</v>
      </c>
      <c r="J397" s="134" t="s">
        <v>3800</v>
      </c>
      <c r="K397" s="129"/>
    </row>
    <row r="398" spans="1:11" ht="17.25" x14ac:dyDescent="0.35">
      <c r="A398" s="131" t="s">
        <v>4160</v>
      </c>
      <c r="B398" s="128" t="s">
        <v>4857</v>
      </c>
      <c r="C398" s="129"/>
      <c r="D398" s="129"/>
      <c r="E398" s="129"/>
      <c r="F398" s="129"/>
      <c r="G398" s="128" t="s">
        <v>4982</v>
      </c>
      <c r="H398" s="131" t="str">
        <f t="shared" si="6"/>
        <v>IP24</v>
      </c>
      <c r="I398" s="131" t="str" cm="1">
        <f t="array" ref="I398">LEFT(G398, MIN(IF(ISNUMBER(--MID(G398, _xlfn.SEQUENCE(LEN(G398)), 1)), _xlfn.SEQUENCE(LEN(G398)))) - 1)</f>
        <v>IP</v>
      </c>
      <c r="J398" s="129" t="str">
        <f>_xlfn.XLOOKUP(H398,'GK IFT SDM POSTCODES'!A:A,'GK IFT SDM POSTCODES'!B:B,"")</f>
        <v>Adam Reditt</v>
      </c>
      <c r="K398" s="129"/>
    </row>
    <row r="399" spans="1:11" ht="17.25" x14ac:dyDescent="0.35">
      <c r="A399" s="131" t="s">
        <v>4160</v>
      </c>
      <c r="B399" s="128" t="s">
        <v>4858</v>
      </c>
      <c r="C399" s="129"/>
      <c r="D399" s="129"/>
      <c r="E399" s="129"/>
      <c r="F399" s="129"/>
      <c r="G399" s="128" t="s">
        <v>226</v>
      </c>
      <c r="H399" s="131" t="str">
        <f t="shared" si="6"/>
        <v>IP24</v>
      </c>
      <c r="I399" s="131" t="str" cm="1">
        <f t="array" ref="I399">LEFT(G399, MIN(IF(ISNUMBER(--MID(G399, _xlfn.SEQUENCE(LEN(G399)), 1)), _xlfn.SEQUENCE(LEN(G399)))) - 1)</f>
        <v>IP</v>
      </c>
      <c r="J399" s="129" t="str">
        <f>_xlfn.XLOOKUP(H399,'GK IFT SDM POSTCODES'!A:A,'GK IFT SDM POSTCODES'!B:B,"")</f>
        <v>Adam Reditt</v>
      </c>
      <c r="K399" s="129"/>
    </row>
    <row r="400" spans="1:11" ht="17.25" x14ac:dyDescent="0.35">
      <c r="A400" s="129" t="s">
        <v>498</v>
      </c>
      <c r="B400" s="137" t="s">
        <v>5159</v>
      </c>
      <c r="C400" s="137" t="s">
        <v>5160</v>
      </c>
      <c r="D400" s="129"/>
      <c r="E400" s="137" t="s">
        <v>227</v>
      </c>
      <c r="F400" s="129"/>
      <c r="G400" s="137" t="s">
        <v>223</v>
      </c>
      <c r="H400" s="131" t="str">
        <f t="shared" si="6"/>
        <v>IP24</v>
      </c>
      <c r="I400" s="131" t="str" cm="1">
        <f t="array" ref="I400">LEFT(G400, MIN(IF(ISNUMBER(--MID(G400, _xlfn.SEQUENCE(LEN(G400)), 1)), _xlfn.SEQUENCE(LEN(G400)))) - 1)</f>
        <v>IP</v>
      </c>
      <c r="J400" s="137" t="s">
        <v>5148</v>
      </c>
      <c r="K400" s="129"/>
    </row>
    <row r="401" spans="1:11" ht="17.25" x14ac:dyDescent="0.35">
      <c r="A401" s="131" t="s">
        <v>4160</v>
      </c>
      <c r="B401" s="136" t="s">
        <v>4859</v>
      </c>
      <c r="C401" s="129"/>
      <c r="D401" s="129"/>
      <c r="E401" s="129"/>
      <c r="F401" s="129"/>
      <c r="G401" s="136" t="s">
        <v>4983</v>
      </c>
      <c r="H401" s="131" t="str">
        <f t="shared" si="6"/>
        <v>IP24</v>
      </c>
      <c r="I401" s="131" t="str" cm="1">
        <f t="array" ref="I401">LEFT(G401, MIN(IF(ISNUMBER(--MID(G401, _xlfn.SEQUENCE(LEN(G401)), 1)), _xlfn.SEQUENCE(LEN(G401)))) - 1)</f>
        <v>IP</v>
      </c>
      <c r="J401" s="129" t="str">
        <f>_xlfn.XLOOKUP(H401,'GK IFT SDM POSTCODES'!A:A,'GK IFT SDM POSTCODES'!B:B,"")</f>
        <v>Adam Reditt</v>
      </c>
      <c r="K401" s="129"/>
    </row>
    <row r="402" spans="1:11" ht="17.25" x14ac:dyDescent="0.35">
      <c r="A402" s="131" t="s">
        <v>4160</v>
      </c>
      <c r="B402" s="128" t="s">
        <v>4860</v>
      </c>
      <c r="C402" s="129"/>
      <c r="D402" s="129"/>
      <c r="E402" s="129"/>
      <c r="F402" s="129"/>
      <c r="G402" s="128" t="s">
        <v>341</v>
      </c>
      <c r="H402" s="131" t="str">
        <f t="shared" si="6"/>
        <v>IP24</v>
      </c>
      <c r="I402" s="131" t="str" cm="1">
        <f t="array" ref="I402">LEFT(G402, MIN(IF(ISNUMBER(--MID(G402, _xlfn.SEQUENCE(LEN(G402)), 1)), _xlfn.SEQUENCE(LEN(G402)))) - 1)</f>
        <v>IP</v>
      </c>
      <c r="J402" s="129" t="str">
        <f>_xlfn.XLOOKUP(H402,'GK IFT SDM POSTCODES'!A:A,'GK IFT SDM POSTCODES'!B:B,"")</f>
        <v>Adam Reditt</v>
      </c>
      <c r="K402" s="129"/>
    </row>
    <row r="403" spans="1:11" ht="17.25" x14ac:dyDescent="0.35">
      <c r="A403" s="134" t="s">
        <v>3902</v>
      </c>
      <c r="B403" s="134" t="s">
        <v>4059</v>
      </c>
      <c r="C403" s="134" t="s">
        <v>4042</v>
      </c>
      <c r="D403" s="129"/>
      <c r="E403" s="134" t="s">
        <v>227</v>
      </c>
      <c r="F403" s="134" t="s">
        <v>55</v>
      </c>
      <c r="G403" s="134" t="s">
        <v>3587</v>
      </c>
      <c r="H403" s="131" t="str">
        <f t="shared" si="6"/>
        <v>IP25</v>
      </c>
      <c r="I403" s="131" t="str" cm="1">
        <f t="array" ref="I403">LEFT(G403, MIN(IF(ISNUMBER(--MID(G403, _xlfn.SEQUENCE(LEN(G403)), 1)), _xlfn.SEQUENCE(LEN(G403)))) - 1)</f>
        <v>IP</v>
      </c>
      <c r="J403" s="134" t="s">
        <v>3800</v>
      </c>
      <c r="K403" s="129"/>
    </row>
    <row r="404" spans="1:11" ht="17.25" x14ac:dyDescent="0.35">
      <c r="A404" s="131" t="s">
        <v>4160</v>
      </c>
      <c r="B404" s="128" t="s">
        <v>4861</v>
      </c>
      <c r="C404" s="129"/>
      <c r="D404" s="129"/>
      <c r="E404" s="129"/>
      <c r="F404" s="129"/>
      <c r="G404" s="128" t="s">
        <v>4984</v>
      </c>
      <c r="H404" s="131" t="str">
        <f t="shared" si="6"/>
        <v>IP25</v>
      </c>
      <c r="I404" s="131" t="str" cm="1">
        <f t="array" ref="I404">LEFT(G404, MIN(IF(ISNUMBER(--MID(G404, _xlfn.SEQUENCE(LEN(G404)), 1)), _xlfn.SEQUENCE(LEN(G404)))) - 1)</f>
        <v>IP</v>
      </c>
      <c r="J404" s="129" t="str">
        <f>_xlfn.XLOOKUP(H404,'GK IFT SDM POSTCODES'!A:A,'GK IFT SDM POSTCODES'!B:B,"")</f>
        <v>Adam Reditt</v>
      </c>
      <c r="K404" s="129"/>
    </row>
    <row r="405" spans="1:11" ht="17.25" x14ac:dyDescent="0.35">
      <c r="A405" s="131" t="s">
        <v>4160</v>
      </c>
      <c r="B405" s="128" t="s">
        <v>4862</v>
      </c>
      <c r="C405" s="129"/>
      <c r="D405" s="129"/>
      <c r="E405" s="129"/>
      <c r="F405" s="129"/>
      <c r="G405" s="128" t="s">
        <v>4985</v>
      </c>
      <c r="H405" s="131" t="str">
        <f t="shared" si="6"/>
        <v>IP25</v>
      </c>
      <c r="I405" s="131" t="str" cm="1">
        <f t="array" ref="I405">LEFT(G405, MIN(IF(ISNUMBER(--MID(G405, _xlfn.SEQUENCE(LEN(G405)), 1)), _xlfn.SEQUENCE(LEN(G405)))) - 1)</f>
        <v>IP</v>
      </c>
      <c r="J405" s="129" t="str">
        <f>_xlfn.XLOOKUP(H405,'GK IFT SDM POSTCODES'!A:A,'GK IFT SDM POSTCODES'!B:B,"")</f>
        <v>Adam Reditt</v>
      </c>
      <c r="K405" s="129"/>
    </row>
    <row r="406" spans="1:11" ht="17.25" x14ac:dyDescent="0.35">
      <c r="A406" s="131" t="s">
        <v>4160</v>
      </c>
      <c r="B406" s="128" t="s">
        <v>4863</v>
      </c>
      <c r="C406" s="129"/>
      <c r="D406" s="129"/>
      <c r="E406" s="129"/>
      <c r="F406" s="129"/>
      <c r="G406" s="128" t="s">
        <v>4986</v>
      </c>
      <c r="H406" s="131" t="str">
        <f t="shared" si="6"/>
        <v>IP25</v>
      </c>
      <c r="I406" s="131" t="str" cm="1">
        <f t="array" ref="I406">LEFT(G406, MIN(IF(ISNUMBER(--MID(G406, _xlfn.SEQUENCE(LEN(G406)), 1)), _xlfn.SEQUENCE(LEN(G406)))) - 1)</f>
        <v>IP</v>
      </c>
      <c r="J406" s="129" t="str">
        <f>_xlfn.XLOOKUP(H406,'GK IFT SDM POSTCODES'!A:A,'GK IFT SDM POSTCODES'!B:B,"")</f>
        <v>Adam Reditt</v>
      </c>
      <c r="K406" s="129"/>
    </row>
    <row r="407" spans="1:11" ht="17.25" x14ac:dyDescent="0.35">
      <c r="A407" s="131" t="s">
        <v>4160</v>
      </c>
      <c r="B407" s="128" t="s">
        <v>4864</v>
      </c>
      <c r="C407" s="129"/>
      <c r="D407" s="129"/>
      <c r="E407" s="129"/>
      <c r="F407" s="129"/>
      <c r="G407" s="128" t="s">
        <v>332</v>
      </c>
      <c r="H407" s="131" t="str">
        <f t="shared" si="6"/>
        <v>IP25</v>
      </c>
      <c r="I407" s="131" t="str" cm="1">
        <f t="array" ref="I407">LEFT(G407, MIN(IF(ISNUMBER(--MID(G407, _xlfn.SEQUENCE(LEN(G407)), 1)), _xlfn.SEQUENCE(LEN(G407)))) - 1)</f>
        <v>IP</v>
      </c>
      <c r="J407" s="129" t="str">
        <f>_xlfn.XLOOKUP(H407,'GK IFT SDM POSTCODES'!A:A,'GK IFT SDM POSTCODES'!B:B,"")</f>
        <v>Adam Reditt</v>
      </c>
      <c r="K407" s="129"/>
    </row>
    <row r="408" spans="1:11" ht="17.25" x14ac:dyDescent="0.35">
      <c r="A408" s="129" t="s">
        <v>498</v>
      </c>
      <c r="B408" s="137" t="s">
        <v>5161</v>
      </c>
      <c r="C408" s="137" t="s">
        <v>5162</v>
      </c>
      <c r="D408" s="129"/>
      <c r="E408" s="137" t="s">
        <v>1</v>
      </c>
      <c r="F408" s="129"/>
      <c r="G408" s="137" t="s">
        <v>238</v>
      </c>
      <c r="H408" s="131" t="str">
        <f t="shared" si="6"/>
        <v>IP3</v>
      </c>
      <c r="I408" s="131" t="str" cm="1">
        <f t="array" ref="I408">LEFT(G408, MIN(IF(ISNUMBER(--MID(G408, _xlfn.SEQUENCE(LEN(G408)), 1)), _xlfn.SEQUENCE(LEN(G408)))) - 1)</f>
        <v>IP</v>
      </c>
      <c r="J408" s="137" t="s">
        <v>5141</v>
      </c>
      <c r="K408" s="129"/>
    </row>
    <row r="409" spans="1:11" ht="17.25" x14ac:dyDescent="0.35">
      <c r="A409" s="131" t="s">
        <v>4160</v>
      </c>
      <c r="B409" s="128" t="s">
        <v>4865</v>
      </c>
      <c r="C409" s="129"/>
      <c r="D409" s="129"/>
      <c r="E409" s="129"/>
      <c r="F409" s="129"/>
      <c r="G409" s="128" t="s">
        <v>256</v>
      </c>
      <c r="H409" s="131" t="str">
        <f t="shared" si="6"/>
        <v>IP3</v>
      </c>
      <c r="I409" s="131" t="str" cm="1">
        <f t="array" ref="I409">LEFT(G409, MIN(IF(ISNUMBER(--MID(G409, _xlfn.SEQUENCE(LEN(G409)), 1)), _xlfn.SEQUENCE(LEN(G409)))) - 1)</f>
        <v>IP</v>
      </c>
      <c r="J409" s="129" t="str">
        <f>_xlfn.XLOOKUP(H409,'GK IFT SDM POSTCODES'!A:A,'GK IFT SDM POSTCODES'!B:B,"")</f>
        <v>Kate Rayson</v>
      </c>
      <c r="K409" s="129"/>
    </row>
    <row r="410" spans="1:11" ht="17.25" x14ac:dyDescent="0.35">
      <c r="A410" s="131" t="s">
        <v>4160</v>
      </c>
      <c r="B410" s="128" t="s">
        <v>4866</v>
      </c>
      <c r="C410" s="129"/>
      <c r="D410" s="129"/>
      <c r="E410" s="129"/>
      <c r="F410" s="129"/>
      <c r="G410" s="128" t="s">
        <v>378</v>
      </c>
      <c r="H410" s="131" t="str">
        <f t="shared" si="6"/>
        <v>IP3</v>
      </c>
      <c r="I410" s="131" t="str" cm="1">
        <f t="array" ref="I410">LEFT(G410, MIN(IF(ISNUMBER(--MID(G410, _xlfn.SEQUENCE(LEN(G410)), 1)), _xlfn.SEQUENCE(LEN(G410)))) - 1)</f>
        <v>IP</v>
      </c>
      <c r="J410" s="129" t="str">
        <f>_xlfn.XLOOKUP(H410,'GK IFT SDM POSTCODES'!A:A,'GK IFT SDM POSTCODES'!B:B,"")</f>
        <v>Kate Rayson</v>
      </c>
      <c r="K410" s="129"/>
    </row>
    <row r="411" spans="1:11" ht="17.25" x14ac:dyDescent="0.35">
      <c r="A411" s="131" t="s">
        <v>4160</v>
      </c>
      <c r="B411" s="128" t="s">
        <v>4867</v>
      </c>
      <c r="C411" s="129"/>
      <c r="D411" s="129"/>
      <c r="E411" s="129"/>
      <c r="F411" s="129"/>
      <c r="G411" s="128" t="s">
        <v>4987</v>
      </c>
      <c r="H411" s="131" t="str">
        <f t="shared" si="6"/>
        <v>IP3</v>
      </c>
      <c r="I411" s="131" t="str" cm="1">
        <f t="array" ref="I411">LEFT(G411, MIN(IF(ISNUMBER(--MID(G411, _xlfn.SEQUENCE(LEN(G411)), 1)), _xlfn.SEQUENCE(LEN(G411)))) - 1)</f>
        <v>IP</v>
      </c>
      <c r="J411" s="129" t="str">
        <f>_xlfn.XLOOKUP(H411,'GK IFT SDM POSTCODES'!A:A,'GK IFT SDM POSTCODES'!B:B,"")</f>
        <v>Kate Rayson</v>
      </c>
      <c r="K411" s="129"/>
    </row>
    <row r="412" spans="1:11" ht="17.25" x14ac:dyDescent="0.35">
      <c r="A412" s="131" t="s">
        <v>4160</v>
      </c>
      <c r="B412" s="134" t="s">
        <v>4868</v>
      </c>
      <c r="C412" s="129"/>
      <c r="D412" s="129"/>
      <c r="E412" s="129"/>
      <c r="F412" s="129"/>
      <c r="G412" s="134" t="s">
        <v>3625</v>
      </c>
      <c r="H412" s="131" t="str">
        <f t="shared" si="6"/>
        <v>IP3</v>
      </c>
      <c r="I412" s="131" t="str" cm="1">
        <f t="array" ref="I412">LEFT(G412, MIN(IF(ISNUMBER(--MID(G412, _xlfn.SEQUENCE(LEN(G412)), 1)), _xlfn.SEQUENCE(LEN(G412)))) - 1)</f>
        <v>IP</v>
      </c>
      <c r="J412" s="129" t="str">
        <f>_xlfn.XLOOKUP(H412,'GK IFT SDM POSTCODES'!A:A,'GK IFT SDM POSTCODES'!B:B,"")</f>
        <v>Kate Rayson</v>
      </c>
      <c r="K412" s="129"/>
    </row>
    <row r="413" spans="1:11" ht="21" x14ac:dyDescent="0.35">
      <c r="A413" s="130" t="s">
        <v>4065</v>
      </c>
      <c r="B413" s="127" t="s">
        <v>236</v>
      </c>
      <c r="C413" s="127" t="s">
        <v>2948</v>
      </c>
      <c r="D413" s="133"/>
      <c r="E413" s="126" t="s">
        <v>1</v>
      </c>
      <c r="F413" s="133"/>
      <c r="G413" s="126" t="s">
        <v>237</v>
      </c>
      <c r="H413" s="131" t="str">
        <f t="shared" si="6"/>
        <v>IP3</v>
      </c>
      <c r="I413" s="131" t="str" cm="1">
        <f t="array" ref="I413">LEFT(G413, MIN(IF(ISNUMBER(--MID(G413, _xlfn.SEQUENCE(LEN(G413)), 1)), _xlfn.SEQUENCE(LEN(G413)))) - 1)</f>
        <v>IP</v>
      </c>
      <c r="J413" s="126" t="s">
        <v>4063</v>
      </c>
      <c r="K413" s="129"/>
    </row>
    <row r="414" spans="1:11" ht="17.25" x14ac:dyDescent="0.35">
      <c r="A414" s="131" t="s">
        <v>4160</v>
      </c>
      <c r="B414" s="136" t="s">
        <v>4869</v>
      </c>
      <c r="C414" s="129"/>
      <c r="D414" s="129"/>
      <c r="E414" s="129"/>
      <c r="F414" s="129"/>
      <c r="G414" s="136" t="s">
        <v>4988</v>
      </c>
      <c r="H414" s="131" t="str">
        <f t="shared" si="6"/>
        <v>IP30</v>
      </c>
      <c r="I414" s="131" t="str" cm="1">
        <f t="array" ref="I414">LEFT(G414, MIN(IF(ISNUMBER(--MID(G414, _xlfn.SEQUENCE(LEN(G414)), 1)), _xlfn.SEQUENCE(LEN(G414)))) - 1)</f>
        <v>IP</v>
      </c>
      <c r="J414" s="129" t="str">
        <f>_xlfn.XLOOKUP(H414,'GK IFT SDM POSTCODES'!A:A,'GK IFT SDM POSTCODES'!B:B,"")</f>
        <v>Kate Rayson</v>
      </c>
      <c r="K414" s="129"/>
    </row>
    <row r="415" spans="1:11" ht="17.25" x14ac:dyDescent="0.35">
      <c r="A415" s="129" t="s">
        <v>498</v>
      </c>
      <c r="B415" s="137" t="s">
        <v>5163</v>
      </c>
      <c r="C415" s="137" t="s">
        <v>5164</v>
      </c>
      <c r="D415" s="129"/>
      <c r="E415" s="137" t="s">
        <v>5178</v>
      </c>
      <c r="F415" s="129"/>
      <c r="G415" s="137" t="s">
        <v>5180</v>
      </c>
      <c r="H415" s="131" t="str">
        <f t="shared" si="6"/>
        <v>IP30</v>
      </c>
      <c r="I415" s="131" t="str" cm="1">
        <f t="array" ref="I415">LEFT(G415, MIN(IF(ISNUMBER(--MID(G415, _xlfn.SEQUENCE(LEN(G415)), 1)), _xlfn.SEQUENCE(LEN(G415)))) - 1)</f>
        <v>IP</v>
      </c>
      <c r="J415" s="137" t="s">
        <v>5141</v>
      </c>
      <c r="K415" s="129"/>
    </row>
    <row r="416" spans="1:11" ht="17.25" x14ac:dyDescent="0.35">
      <c r="A416" s="129" t="s">
        <v>498</v>
      </c>
      <c r="B416" s="137" t="s">
        <v>5165</v>
      </c>
      <c r="C416" s="137" t="s">
        <v>5166</v>
      </c>
      <c r="D416" s="129"/>
      <c r="E416" s="137" t="s">
        <v>5178</v>
      </c>
      <c r="F416" s="129"/>
      <c r="G416" s="137" t="s">
        <v>3607</v>
      </c>
      <c r="H416" s="131" t="str">
        <f t="shared" si="6"/>
        <v>IP30</v>
      </c>
      <c r="I416" s="131" t="str" cm="1">
        <f t="array" ref="I416">LEFT(G416, MIN(IF(ISNUMBER(--MID(G416, _xlfn.SEQUENCE(LEN(G416)), 1)), _xlfn.SEQUENCE(LEN(G416)))) - 1)</f>
        <v>IP</v>
      </c>
      <c r="J416" s="137" t="s">
        <v>5141</v>
      </c>
      <c r="K416" s="129"/>
    </row>
    <row r="417" spans="1:11" ht="17.25" x14ac:dyDescent="0.35">
      <c r="A417" s="130" t="s">
        <v>3718</v>
      </c>
      <c r="B417" s="131" t="s">
        <v>192</v>
      </c>
      <c r="C417" s="131" t="s">
        <v>2969</v>
      </c>
      <c r="D417" s="131" t="s">
        <v>3737</v>
      </c>
      <c r="E417" s="131" t="s">
        <v>100</v>
      </c>
      <c r="F417" s="131" t="s">
        <v>45</v>
      </c>
      <c r="G417" s="131" t="s">
        <v>395</v>
      </c>
      <c r="H417" s="131" t="str">
        <f t="shared" si="6"/>
        <v>IP30</v>
      </c>
      <c r="I417" s="131" t="str" cm="1">
        <f t="array" ref="I417">LEFT(G417, MIN(IF(ISNUMBER(--MID(G417, _xlfn.SEQUENCE(LEN(G417)), 1)), _xlfn.SEQUENCE(LEN(G417)))) - 1)</f>
        <v>IP</v>
      </c>
      <c r="J417" s="131" t="s">
        <v>3726</v>
      </c>
      <c r="K417" s="129"/>
    </row>
    <row r="418" spans="1:11" ht="17.25" x14ac:dyDescent="0.35">
      <c r="A418" s="131" t="s">
        <v>4160</v>
      </c>
      <c r="B418" s="128" t="s">
        <v>4870</v>
      </c>
      <c r="C418" s="129"/>
      <c r="D418" s="129"/>
      <c r="E418" s="129"/>
      <c r="F418" s="129"/>
      <c r="G418" s="128" t="s">
        <v>4989</v>
      </c>
      <c r="H418" s="131" t="str">
        <f t="shared" si="6"/>
        <v>IP30</v>
      </c>
      <c r="I418" s="131" t="str" cm="1">
        <f t="array" ref="I418">LEFT(G418, MIN(IF(ISNUMBER(--MID(G418, _xlfn.SEQUENCE(LEN(G418)), 1)), _xlfn.SEQUENCE(LEN(G418)))) - 1)</f>
        <v>IP</v>
      </c>
      <c r="J418" s="129" t="str">
        <f>_xlfn.XLOOKUP(H418,'GK IFT SDM POSTCODES'!A:A,'GK IFT SDM POSTCODES'!B:B,"")</f>
        <v>Kate Rayson</v>
      </c>
      <c r="K418" s="129"/>
    </row>
    <row r="419" spans="1:11" ht="17.25" x14ac:dyDescent="0.35">
      <c r="A419" s="131" t="s">
        <v>4160</v>
      </c>
      <c r="B419" s="128" t="s">
        <v>4871</v>
      </c>
      <c r="C419" s="129"/>
      <c r="D419" s="129"/>
      <c r="E419" s="129"/>
      <c r="F419" s="129"/>
      <c r="G419" s="128" t="s">
        <v>4990</v>
      </c>
      <c r="H419" s="131" t="str">
        <f t="shared" si="6"/>
        <v>IP30</v>
      </c>
      <c r="I419" s="131" t="str" cm="1">
        <f t="array" ref="I419">LEFT(G419, MIN(IF(ISNUMBER(--MID(G419, _xlfn.SEQUENCE(LEN(G419)), 1)), _xlfn.SEQUENCE(LEN(G419)))) - 1)</f>
        <v>IP</v>
      </c>
      <c r="J419" s="129" t="str">
        <f>_xlfn.XLOOKUP(H419,'GK IFT SDM POSTCODES'!A:A,'GK IFT SDM POSTCODES'!B:B,"")</f>
        <v>Kate Rayson</v>
      </c>
      <c r="K419" s="129"/>
    </row>
    <row r="420" spans="1:11" ht="17.25" x14ac:dyDescent="0.35">
      <c r="A420" s="130" t="s">
        <v>3718</v>
      </c>
      <c r="B420" s="131" t="s">
        <v>175</v>
      </c>
      <c r="C420" s="131" t="s">
        <v>132</v>
      </c>
      <c r="D420" s="131" t="s">
        <v>3738</v>
      </c>
      <c r="E420" s="131" t="s">
        <v>100</v>
      </c>
      <c r="F420" s="131" t="s">
        <v>45</v>
      </c>
      <c r="G420" s="131" t="s">
        <v>197</v>
      </c>
      <c r="H420" s="131" t="str">
        <f t="shared" si="6"/>
        <v>IP30</v>
      </c>
      <c r="I420" s="131" t="str" cm="1">
        <f t="array" ref="I420">LEFT(G420, MIN(IF(ISNUMBER(--MID(G420, _xlfn.SEQUENCE(LEN(G420)), 1)), _xlfn.SEQUENCE(LEN(G420)))) - 1)</f>
        <v>IP</v>
      </c>
      <c r="J420" s="131" t="s">
        <v>3726</v>
      </c>
      <c r="K420" s="129"/>
    </row>
    <row r="421" spans="1:11" ht="17.25" x14ac:dyDescent="0.35">
      <c r="A421" s="129" t="s">
        <v>498</v>
      </c>
      <c r="B421" s="137" t="s">
        <v>5167</v>
      </c>
      <c r="C421" s="137" t="s">
        <v>5168</v>
      </c>
      <c r="D421" s="129"/>
      <c r="E421" s="137" t="s">
        <v>5178</v>
      </c>
      <c r="F421" s="129"/>
      <c r="G421" s="137" t="s">
        <v>202</v>
      </c>
      <c r="H421" s="131" t="str">
        <f t="shared" si="6"/>
        <v>IP30</v>
      </c>
      <c r="I421" s="131" t="str" cm="1">
        <f t="array" ref="I421">LEFT(G421, MIN(IF(ISNUMBER(--MID(G421, _xlfn.SEQUENCE(LEN(G421)), 1)), _xlfn.SEQUENCE(LEN(G421)))) - 1)</f>
        <v>IP</v>
      </c>
      <c r="J421" s="137" t="s">
        <v>5141</v>
      </c>
      <c r="K421" s="129"/>
    </row>
    <row r="422" spans="1:11" ht="17.25" x14ac:dyDescent="0.35">
      <c r="A422" s="129" t="s">
        <v>498</v>
      </c>
      <c r="B422" s="137" t="s">
        <v>5169</v>
      </c>
      <c r="C422" s="137" t="s">
        <v>5170</v>
      </c>
      <c r="D422" s="129"/>
      <c r="E422" s="137" t="s">
        <v>5178</v>
      </c>
      <c r="F422" s="129"/>
      <c r="G422" s="137" t="s">
        <v>201</v>
      </c>
      <c r="H422" s="131" t="str">
        <f t="shared" si="6"/>
        <v>IP30</v>
      </c>
      <c r="I422" s="131" t="str" cm="1">
        <f t="array" ref="I422">LEFT(G422, MIN(IF(ISNUMBER(--MID(G422, _xlfn.SEQUENCE(LEN(G422)), 1)), _xlfn.SEQUENCE(LEN(G422)))) - 1)</f>
        <v>IP</v>
      </c>
      <c r="J422" s="137" t="s">
        <v>5141</v>
      </c>
      <c r="K422" s="129"/>
    </row>
    <row r="423" spans="1:11" ht="17.25" x14ac:dyDescent="0.35">
      <c r="A423" s="130" t="s">
        <v>4065</v>
      </c>
      <c r="B423" s="127" t="s">
        <v>198</v>
      </c>
      <c r="C423" s="127" t="s">
        <v>91</v>
      </c>
      <c r="D423" s="133"/>
      <c r="E423" s="126" t="s">
        <v>45</v>
      </c>
      <c r="F423" s="133"/>
      <c r="G423" s="126" t="s">
        <v>199</v>
      </c>
      <c r="H423" s="131" t="str">
        <f t="shared" si="6"/>
        <v>IP30</v>
      </c>
      <c r="I423" s="131" t="str" cm="1">
        <f t="array" ref="I423">LEFT(G423, MIN(IF(ISNUMBER(--MID(G423, _xlfn.SEQUENCE(LEN(G423)), 1)), _xlfn.SEQUENCE(LEN(G423)))) - 1)</f>
        <v>IP</v>
      </c>
      <c r="J423" s="126" t="s">
        <v>4070</v>
      </c>
      <c r="K423" s="129"/>
    </row>
    <row r="424" spans="1:11" ht="17.25" x14ac:dyDescent="0.35">
      <c r="A424" s="129" t="s">
        <v>498</v>
      </c>
      <c r="B424" s="137" t="s">
        <v>5171</v>
      </c>
      <c r="C424" s="137" t="s">
        <v>2674</v>
      </c>
      <c r="D424" s="129"/>
      <c r="E424" s="137" t="s">
        <v>100</v>
      </c>
      <c r="F424" s="129"/>
      <c r="G424" s="137" t="s">
        <v>139</v>
      </c>
      <c r="H424" s="131" t="str">
        <f t="shared" si="6"/>
        <v>IP31</v>
      </c>
      <c r="I424" s="131" t="str" cm="1">
        <f t="array" ref="I424">LEFT(G424, MIN(IF(ISNUMBER(--MID(G424, _xlfn.SEQUENCE(LEN(G424)), 1)), _xlfn.SEQUENCE(LEN(G424)))) - 1)</f>
        <v>IP</v>
      </c>
      <c r="J424" s="137" t="s">
        <v>5148</v>
      </c>
      <c r="K424" s="129"/>
    </row>
    <row r="425" spans="1:11" ht="17.25" x14ac:dyDescent="0.35">
      <c r="A425" s="131" t="s">
        <v>4160</v>
      </c>
      <c r="B425" s="136" t="s">
        <v>4872</v>
      </c>
      <c r="C425" s="129"/>
      <c r="D425" s="129"/>
      <c r="E425" s="129"/>
      <c r="F425" s="129"/>
      <c r="G425" s="136" t="s">
        <v>140</v>
      </c>
      <c r="H425" s="131" t="str">
        <f t="shared" si="6"/>
        <v>IP31</v>
      </c>
      <c r="I425" s="131" t="str" cm="1">
        <f t="array" ref="I425">LEFT(G425, MIN(IF(ISNUMBER(--MID(G425, _xlfn.SEQUENCE(LEN(G425)), 1)), _xlfn.SEQUENCE(LEN(G425)))) - 1)</f>
        <v>IP</v>
      </c>
      <c r="J425" s="129" t="str">
        <f>_xlfn.XLOOKUP(H425,'GK IFT SDM POSTCODES'!A:A,'GK IFT SDM POSTCODES'!B:B,"")</f>
        <v>Kate Rayson</v>
      </c>
      <c r="K425" s="129"/>
    </row>
    <row r="426" spans="1:11" ht="17.25" x14ac:dyDescent="0.35">
      <c r="A426" s="131" t="s">
        <v>4160</v>
      </c>
      <c r="B426" s="128" t="s">
        <v>4873</v>
      </c>
      <c r="C426" s="129"/>
      <c r="D426" s="129"/>
      <c r="E426" s="129"/>
      <c r="F426" s="129"/>
      <c r="G426" s="128" t="s">
        <v>4991</v>
      </c>
      <c r="H426" s="131" t="str">
        <f t="shared" si="6"/>
        <v>IP31</v>
      </c>
      <c r="I426" s="131" t="str" cm="1">
        <f t="array" ref="I426">LEFT(G426, MIN(IF(ISNUMBER(--MID(G426, _xlfn.SEQUENCE(LEN(G426)), 1)), _xlfn.SEQUENCE(LEN(G426)))) - 1)</f>
        <v>IP</v>
      </c>
      <c r="J426" s="129" t="str">
        <f>_xlfn.XLOOKUP(H426,'GK IFT SDM POSTCODES'!A:A,'GK IFT SDM POSTCODES'!B:B,"")</f>
        <v>Kate Rayson</v>
      </c>
      <c r="K426" s="129"/>
    </row>
    <row r="427" spans="1:11" ht="17.25" x14ac:dyDescent="0.35">
      <c r="A427" s="129" t="s">
        <v>498</v>
      </c>
      <c r="B427" s="137" t="s">
        <v>5172</v>
      </c>
      <c r="C427" s="137" t="s">
        <v>5173</v>
      </c>
      <c r="D427" s="129"/>
      <c r="E427" s="137" t="s">
        <v>5178</v>
      </c>
      <c r="F427" s="129"/>
      <c r="G427" s="137" t="s">
        <v>129</v>
      </c>
      <c r="H427" s="131" t="str">
        <f t="shared" si="6"/>
        <v>IP31</v>
      </c>
      <c r="I427" s="131" t="str" cm="1">
        <f t="array" ref="I427">LEFT(G427, MIN(IF(ISNUMBER(--MID(G427, _xlfn.SEQUENCE(LEN(G427)), 1)), _xlfn.SEQUENCE(LEN(G427)))) - 1)</f>
        <v>IP</v>
      </c>
      <c r="J427" s="137" t="s">
        <v>5148</v>
      </c>
      <c r="K427" s="129"/>
    </row>
    <row r="428" spans="1:11" ht="17.25" x14ac:dyDescent="0.35">
      <c r="A428" s="131" t="s">
        <v>4160</v>
      </c>
      <c r="B428" s="128" t="s">
        <v>4874</v>
      </c>
      <c r="C428" s="129"/>
      <c r="D428" s="129"/>
      <c r="E428" s="129"/>
      <c r="F428" s="129"/>
      <c r="G428" s="128" t="s">
        <v>4992</v>
      </c>
      <c r="H428" s="131" t="str">
        <f t="shared" si="6"/>
        <v>IP31</v>
      </c>
      <c r="I428" s="131" t="str" cm="1">
        <f t="array" ref="I428">LEFT(G428, MIN(IF(ISNUMBER(--MID(G428, _xlfn.SEQUENCE(LEN(G428)), 1)), _xlfn.SEQUENCE(LEN(G428)))) - 1)</f>
        <v>IP</v>
      </c>
      <c r="J428" s="129" t="str">
        <f>_xlfn.XLOOKUP(H428,'GK IFT SDM POSTCODES'!A:A,'GK IFT SDM POSTCODES'!B:B,"")</f>
        <v>Kate Rayson</v>
      </c>
      <c r="K428" s="129"/>
    </row>
    <row r="429" spans="1:11" ht="17.25" x14ac:dyDescent="0.35">
      <c r="A429" s="131" t="s">
        <v>4160</v>
      </c>
      <c r="B429" s="128" t="s">
        <v>4875</v>
      </c>
      <c r="C429" s="129"/>
      <c r="D429" s="129"/>
      <c r="E429" s="129"/>
      <c r="F429" s="129"/>
      <c r="G429" s="128" t="s">
        <v>4993</v>
      </c>
      <c r="H429" s="131" t="str">
        <f t="shared" si="6"/>
        <v>IP31</v>
      </c>
      <c r="I429" s="131" t="str" cm="1">
        <f t="array" ref="I429">LEFT(G429, MIN(IF(ISNUMBER(--MID(G429, _xlfn.SEQUENCE(LEN(G429)), 1)), _xlfn.SEQUENCE(LEN(G429)))) - 1)</f>
        <v>IP</v>
      </c>
      <c r="J429" s="129" t="str">
        <f>_xlfn.XLOOKUP(H429,'GK IFT SDM POSTCODES'!A:A,'GK IFT SDM POSTCODES'!B:B,"")</f>
        <v>Kate Rayson</v>
      </c>
      <c r="K429" s="129"/>
    </row>
    <row r="430" spans="1:11" ht="17.25" x14ac:dyDescent="0.35">
      <c r="A430" s="131" t="s">
        <v>4160</v>
      </c>
      <c r="B430" s="128" t="s">
        <v>4876</v>
      </c>
      <c r="C430" s="129"/>
      <c r="D430" s="129"/>
      <c r="E430" s="129"/>
      <c r="F430" s="129"/>
      <c r="G430" s="128" t="s">
        <v>4993</v>
      </c>
      <c r="H430" s="131" t="str">
        <f t="shared" si="6"/>
        <v>IP31</v>
      </c>
      <c r="I430" s="131" t="str" cm="1">
        <f t="array" ref="I430">LEFT(G430, MIN(IF(ISNUMBER(--MID(G430, _xlfn.SEQUENCE(LEN(G430)), 1)), _xlfn.SEQUENCE(LEN(G430)))) - 1)</f>
        <v>IP</v>
      </c>
      <c r="J430" s="129" t="str">
        <f>_xlfn.XLOOKUP(H430,'GK IFT SDM POSTCODES'!A:A,'GK IFT SDM POSTCODES'!B:B,"")</f>
        <v>Kate Rayson</v>
      </c>
      <c r="K430" s="129"/>
    </row>
    <row r="431" spans="1:11" ht="17.25" x14ac:dyDescent="0.35">
      <c r="A431" s="131" t="s">
        <v>4160</v>
      </c>
      <c r="B431" s="128" t="s">
        <v>4877</v>
      </c>
      <c r="C431" s="129"/>
      <c r="D431" s="129"/>
      <c r="E431" s="129"/>
      <c r="F431" s="129"/>
      <c r="G431" s="128" t="s">
        <v>4994</v>
      </c>
      <c r="H431" s="131" t="str">
        <f t="shared" si="6"/>
        <v>IP31</v>
      </c>
      <c r="I431" s="131" t="str" cm="1">
        <f t="array" ref="I431">LEFT(G431, MIN(IF(ISNUMBER(--MID(G431, _xlfn.SEQUENCE(LEN(G431)), 1)), _xlfn.SEQUENCE(LEN(G431)))) - 1)</f>
        <v>IP</v>
      </c>
      <c r="J431" s="129" t="str">
        <f>_xlfn.XLOOKUP(H431,'GK IFT SDM POSTCODES'!A:A,'GK IFT SDM POSTCODES'!B:B,"")</f>
        <v>Kate Rayson</v>
      </c>
      <c r="K431" s="129"/>
    </row>
    <row r="432" spans="1:11" ht="17.25" x14ac:dyDescent="0.35">
      <c r="A432" s="131" t="s">
        <v>4160</v>
      </c>
      <c r="B432" s="128" t="s">
        <v>4878</v>
      </c>
      <c r="C432" s="129"/>
      <c r="D432" s="129"/>
      <c r="E432" s="129"/>
      <c r="F432" s="129"/>
      <c r="G432" s="128" t="s">
        <v>4995</v>
      </c>
      <c r="H432" s="131" t="str">
        <f t="shared" si="6"/>
        <v>IP31</v>
      </c>
      <c r="I432" s="131" t="str" cm="1">
        <f t="array" ref="I432">LEFT(G432, MIN(IF(ISNUMBER(--MID(G432, _xlfn.SEQUENCE(LEN(G432)), 1)), _xlfn.SEQUENCE(LEN(G432)))) - 1)</f>
        <v>IP</v>
      </c>
      <c r="J432" s="129" t="str">
        <f>_xlfn.XLOOKUP(H432,'GK IFT SDM POSTCODES'!A:A,'GK IFT SDM POSTCODES'!B:B,"")</f>
        <v>Kate Rayson</v>
      </c>
      <c r="K432" s="129"/>
    </row>
    <row r="433" spans="1:11" ht="17.25" x14ac:dyDescent="0.35">
      <c r="A433" s="130" t="s">
        <v>3718</v>
      </c>
      <c r="B433" s="131" t="s">
        <v>3288</v>
      </c>
      <c r="C433" s="131" t="s">
        <v>91</v>
      </c>
      <c r="D433" s="131" t="s">
        <v>3739</v>
      </c>
      <c r="E433" s="131" t="s">
        <v>100</v>
      </c>
      <c r="F433" s="131" t="s">
        <v>45</v>
      </c>
      <c r="G433" s="131" t="s">
        <v>3740</v>
      </c>
      <c r="H433" s="131" t="str">
        <f t="shared" si="6"/>
        <v>IP31</v>
      </c>
      <c r="I433" s="131" t="str" cm="1">
        <f t="array" ref="I433">LEFT(G433, MIN(IF(ISNUMBER(--MID(G433, _xlfn.SEQUENCE(LEN(G433)), 1)), _xlfn.SEQUENCE(LEN(G433)))) - 1)</f>
        <v>IP</v>
      </c>
      <c r="J433" s="131" t="s">
        <v>3726</v>
      </c>
      <c r="K433" s="129"/>
    </row>
    <row r="434" spans="1:11" ht="17.25" x14ac:dyDescent="0.35">
      <c r="A434" s="131" t="s">
        <v>4160</v>
      </c>
      <c r="B434" s="128" t="s">
        <v>4879</v>
      </c>
      <c r="C434" s="129"/>
      <c r="D434" s="129"/>
      <c r="E434" s="129"/>
      <c r="F434" s="129"/>
      <c r="G434" s="128" t="s">
        <v>4996</v>
      </c>
      <c r="H434" s="131" t="str">
        <f t="shared" si="6"/>
        <v>IP31</v>
      </c>
      <c r="I434" s="131" t="str" cm="1">
        <f t="array" ref="I434">LEFT(G434, MIN(IF(ISNUMBER(--MID(G434, _xlfn.SEQUENCE(LEN(G434)), 1)), _xlfn.SEQUENCE(LEN(G434)))) - 1)</f>
        <v>IP</v>
      </c>
      <c r="J434" s="129" t="str">
        <f>_xlfn.XLOOKUP(H434,'GK IFT SDM POSTCODES'!A:A,'GK IFT SDM POSTCODES'!B:B,"")</f>
        <v>Kate Rayson</v>
      </c>
      <c r="K434" s="129"/>
    </row>
    <row r="435" spans="1:11" ht="17.25" x14ac:dyDescent="0.35">
      <c r="A435" s="130" t="s">
        <v>3718</v>
      </c>
      <c r="B435" s="131" t="s">
        <v>560</v>
      </c>
      <c r="C435" s="131" t="s">
        <v>91</v>
      </c>
      <c r="D435" s="131" t="s">
        <v>3741</v>
      </c>
      <c r="E435" s="131" t="s">
        <v>100</v>
      </c>
      <c r="F435" s="131" t="s">
        <v>45</v>
      </c>
      <c r="G435" s="131" t="s">
        <v>98</v>
      </c>
      <c r="H435" s="131" t="str">
        <f t="shared" si="6"/>
        <v>IP31</v>
      </c>
      <c r="I435" s="131" t="str" cm="1">
        <f t="array" ref="I435">LEFT(G435, MIN(IF(ISNUMBER(--MID(G435, _xlfn.SEQUENCE(LEN(G435)), 1)), _xlfn.SEQUENCE(LEN(G435)))) - 1)</f>
        <v>IP</v>
      </c>
      <c r="J435" s="131" t="s">
        <v>3726</v>
      </c>
      <c r="K435" s="129"/>
    </row>
    <row r="436" spans="1:11" ht="17.25" x14ac:dyDescent="0.35">
      <c r="A436" s="131" t="s">
        <v>4160</v>
      </c>
      <c r="B436" s="128" t="s">
        <v>4880</v>
      </c>
      <c r="C436" s="129"/>
      <c r="D436" s="129"/>
      <c r="E436" s="129"/>
      <c r="F436" s="129"/>
      <c r="G436" s="128" t="s">
        <v>137</v>
      </c>
      <c r="H436" s="131" t="str">
        <f t="shared" si="6"/>
        <v>IP31</v>
      </c>
      <c r="I436" s="131" t="str" cm="1">
        <f t="array" ref="I436">LEFT(G436, MIN(IF(ISNUMBER(--MID(G436, _xlfn.SEQUENCE(LEN(G436)), 1)), _xlfn.SEQUENCE(LEN(G436)))) - 1)</f>
        <v>IP</v>
      </c>
      <c r="J436" s="129" t="str">
        <f>_xlfn.XLOOKUP(H436,'GK IFT SDM POSTCODES'!A:A,'GK IFT SDM POSTCODES'!B:B,"")</f>
        <v>Kate Rayson</v>
      </c>
      <c r="K436" s="129"/>
    </row>
    <row r="437" spans="1:11" ht="17.25" x14ac:dyDescent="0.35">
      <c r="A437" s="131" t="s">
        <v>4160</v>
      </c>
      <c r="B437" s="136" t="s">
        <v>4881</v>
      </c>
      <c r="C437" s="129"/>
      <c r="D437" s="129"/>
      <c r="E437" s="129"/>
      <c r="F437" s="129"/>
      <c r="G437" s="136" t="s">
        <v>136</v>
      </c>
      <c r="H437" s="131" t="str">
        <f t="shared" si="6"/>
        <v>IP31</v>
      </c>
      <c r="I437" s="131" t="str" cm="1">
        <f t="array" ref="I437">LEFT(G437, MIN(IF(ISNUMBER(--MID(G437, _xlfn.SEQUENCE(LEN(G437)), 1)), _xlfn.SEQUENCE(LEN(G437)))) - 1)</f>
        <v>IP</v>
      </c>
      <c r="J437" s="129" t="str">
        <f>_xlfn.XLOOKUP(H437,'GK IFT SDM POSTCODES'!A:A,'GK IFT SDM POSTCODES'!B:B,"")</f>
        <v>Kate Rayson</v>
      </c>
      <c r="K437" s="129"/>
    </row>
    <row r="438" spans="1:11" ht="17.25" x14ac:dyDescent="0.35">
      <c r="A438" s="130" t="s">
        <v>3718</v>
      </c>
      <c r="B438" s="131" t="s">
        <v>3742</v>
      </c>
      <c r="C438" s="131" t="s">
        <v>1279</v>
      </c>
      <c r="D438" s="131" t="s">
        <v>3743</v>
      </c>
      <c r="E438" s="131" t="s">
        <v>100</v>
      </c>
      <c r="F438" s="131" t="s">
        <v>45</v>
      </c>
      <c r="G438" s="131" t="s">
        <v>348</v>
      </c>
      <c r="H438" s="131" t="str">
        <f t="shared" si="6"/>
        <v>IP31</v>
      </c>
      <c r="I438" s="131" t="str" cm="1">
        <f t="array" ref="I438">LEFT(G438, MIN(IF(ISNUMBER(--MID(G438, _xlfn.SEQUENCE(LEN(G438)), 1)), _xlfn.SEQUENCE(LEN(G438)))) - 1)</f>
        <v>IP</v>
      </c>
      <c r="J438" s="131" t="s">
        <v>3726</v>
      </c>
      <c r="K438" s="129"/>
    </row>
    <row r="439" spans="1:11" ht="17.25" x14ac:dyDescent="0.35">
      <c r="A439" s="130" t="s">
        <v>3718</v>
      </c>
      <c r="B439" s="131" t="s">
        <v>549</v>
      </c>
      <c r="C439" s="131" t="s">
        <v>2414</v>
      </c>
      <c r="D439" s="131" t="s">
        <v>3743</v>
      </c>
      <c r="E439" s="131" t="s">
        <v>100</v>
      </c>
      <c r="F439" s="131" t="s">
        <v>45</v>
      </c>
      <c r="G439" s="131" t="s">
        <v>364</v>
      </c>
      <c r="H439" s="131" t="str">
        <f t="shared" si="6"/>
        <v>IP31</v>
      </c>
      <c r="I439" s="131" t="str" cm="1">
        <f t="array" ref="I439">LEFT(G439, MIN(IF(ISNUMBER(--MID(G439, _xlfn.SEQUENCE(LEN(G439)), 1)), _xlfn.SEQUENCE(LEN(G439)))) - 1)</f>
        <v>IP</v>
      </c>
      <c r="J439" s="131" t="s">
        <v>3726</v>
      </c>
      <c r="K439" s="129"/>
    </row>
    <row r="440" spans="1:11" ht="17.25" x14ac:dyDescent="0.35">
      <c r="A440" s="130" t="s">
        <v>3718</v>
      </c>
      <c r="B440" s="131" t="s">
        <v>3469</v>
      </c>
      <c r="C440" s="131" t="s">
        <v>3370</v>
      </c>
      <c r="D440" s="131" t="s">
        <v>3744</v>
      </c>
      <c r="E440" s="131" t="s">
        <v>100</v>
      </c>
      <c r="F440" s="131" t="s">
        <v>45</v>
      </c>
      <c r="G440" s="131" t="s">
        <v>406</v>
      </c>
      <c r="H440" s="131" t="str">
        <f t="shared" si="6"/>
        <v>IP31</v>
      </c>
      <c r="I440" s="131" t="str" cm="1">
        <f t="array" ref="I440">LEFT(G440, MIN(IF(ISNUMBER(--MID(G440, _xlfn.SEQUENCE(LEN(G440)), 1)), _xlfn.SEQUENCE(LEN(G440)))) - 1)</f>
        <v>IP</v>
      </c>
      <c r="J440" s="131" t="s">
        <v>3726</v>
      </c>
      <c r="K440" s="129"/>
    </row>
    <row r="441" spans="1:11" ht="17.25" x14ac:dyDescent="0.35">
      <c r="A441" s="131" t="s">
        <v>4160</v>
      </c>
      <c r="B441" s="128" t="s">
        <v>3692</v>
      </c>
      <c r="C441" s="129"/>
      <c r="D441" s="129"/>
      <c r="E441" s="129"/>
      <c r="F441" s="129"/>
      <c r="G441" s="128" t="s">
        <v>408</v>
      </c>
      <c r="H441" s="131" t="str">
        <f t="shared" si="6"/>
        <v>IP31</v>
      </c>
      <c r="I441" s="131" t="str" cm="1">
        <f t="array" ref="I441">LEFT(G441, MIN(IF(ISNUMBER(--MID(G441, _xlfn.SEQUENCE(LEN(G441)), 1)), _xlfn.SEQUENCE(LEN(G441)))) - 1)</f>
        <v>IP</v>
      </c>
      <c r="J441" s="129" t="str">
        <f>_xlfn.XLOOKUP(H441,'GK IFT SDM POSTCODES'!A:A,'GK IFT SDM POSTCODES'!B:B,"")</f>
        <v>Kate Rayson</v>
      </c>
      <c r="K441" s="129"/>
    </row>
    <row r="442" spans="1:11" ht="17.25" x14ac:dyDescent="0.35">
      <c r="A442" s="131" t="s">
        <v>4160</v>
      </c>
      <c r="B442" s="128" t="s">
        <v>3684</v>
      </c>
      <c r="C442" s="129"/>
      <c r="D442" s="129"/>
      <c r="E442" s="129"/>
      <c r="F442" s="129"/>
      <c r="G442" s="128" t="s">
        <v>404</v>
      </c>
      <c r="H442" s="131" t="str">
        <f t="shared" si="6"/>
        <v>IP31</v>
      </c>
      <c r="I442" s="131" t="str" cm="1">
        <f t="array" ref="I442">LEFT(G442, MIN(IF(ISNUMBER(--MID(G442, _xlfn.SEQUENCE(LEN(G442)), 1)), _xlfn.SEQUENCE(LEN(G442)))) - 1)</f>
        <v>IP</v>
      </c>
      <c r="J442" s="129" t="str">
        <f>_xlfn.XLOOKUP(H442,'GK IFT SDM POSTCODES'!A:A,'GK IFT SDM POSTCODES'!B:B,"")</f>
        <v>Kate Rayson</v>
      </c>
      <c r="K442" s="129"/>
    </row>
    <row r="443" spans="1:11" ht="17.25" x14ac:dyDescent="0.35">
      <c r="A443" s="131" t="s">
        <v>4160</v>
      </c>
      <c r="B443" s="128" t="s">
        <v>4882</v>
      </c>
      <c r="C443" s="129"/>
      <c r="D443" s="129"/>
      <c r="E443" s="129"/>
      <c r="F443" s="129"/>
      <c r="G443" s="128" t="s">
        <v>405</v>
      </c>
      <c r="H443" s="131" t="str">
        <f t="shared" si="6"/>
        <v>IP31</v>
      </c>
      <c r="I443" s="131" t="str" cm="1">
        <f t="array" ref="I443">LEFT(G443, MIN(IF(ISNUMBER(--MID(G443, _xlfn.SEQUENCE(LEN(G443)), 1)), _xlfn.SEQUENCE(LEN(G443)))) - 1)</f>
        <v>IP</v>
      </c>
      <c r="J443" s="129" t="str">
        <f>_xlfn.XLOOKUP(H443,'GK IFT SDM POSTCODES'!A:A,'GK IFT SDM POSTCODES'!B:B,"")</f>
        <v>Kate Rayson</v>
      </c>
      <c r="K443" s="129"/>
    </row>
    <row r="444" spans="1:11" ht="17.25" x14ac:dyDescent="0.35">
      <c r="A444" s="130" t="s">
        <v>3718</v>
      </c>
      <c r="B444" s="131" t="s">
        <v>3745</v>
      </c>
      <c r="C444" s="131" t="s">
        <v>3370</v>
      </c>
      <c r="D444" s="131" t="s">
        <v>3371</v>
      </c>
      <c r="E444" s="131" t="s">
        <v>100</v>
      </c>
      <c r="F444" s="131" t="s">
        <v>45</v>
      </c>
      <c r="G444" s="131" t="s">
        <v>196</v>
      </c>
      <c r="H444" s="131" t="str">
        <f t="shared" si="6"/>
        <v>IP31</v>
      </c>
      <c r="I444" s="131" t="str" cm="1">
        <f t="array" ref="I444">LEFT(G444, MIN(IF(ISNUMBER(--MID(G444, _xlfn.SEQUENCE(LEN(G444)), 1)), _xlfn.SEQUENCE(LEN(G444)))) - 1)</f>
        <v>IP</v>
      </c>
      <c r="J444" s="131" t="s">
        <v>3726</v>
      </c>
      <c r="K444" s="129"/>
    </row>
    <row r="445" spans="1:11" ht="17.25" x14ac:dyDescent="0.35">
      <c r="A445" s="131" t="s">
        <v>4160</v>
      </c>
      <c r="B445" s="128" t="s">
        <v>4883</v>
      </c>
      <c r="C445" s="129"/>
      <c r="D445" s="129"/>
      <c r="E445" s="129"/>
      <c r="F445" s="129"/>
      <c r="G445" s="128" t="s">
        <v>4997</v>
      </c>
      <c r="H445" s="131" t="str">
        <f t="shared" si="6"/>
        <v>IP31</v>
      </c>
      <c r="I445" s="131" t="str" cm="1">
        <f t="array" ref="I445">LEFT(G445, MIN(IF(ISNUMBER(--MID(G445, _xlfn.SEQUENCE(LEN(G445)), 1)), _xlfn.SEQUENCE(LEN(G445)))) - 1)</f>
        <v>IP</v>
      </c>
      <c r="J445" s="129" t="str">
        <f>_xlfn.XLOOKUP(H445,'GK IFT SDM POSTCODES'!A:A,'GK IFT SDM POSTCODES'!B:B,"")</f>
        <v>Kate Rayson</v>
      </c>
      <c r="K445" s="129"/>
    </row>
    <row r="446" spans="1:11" ht="17.25" x14ac:dyDescent="0.35">
      <c r="A446" s="130" t="s">
        <v>3752</v>
      </c>
      <c r="B446" s="131" t="s">
        <v>1356</v>
      </c>
      <c r="C446" s="131" t="s">
        <v>3187</v>
      </c>
      <c r="D446" s="131" t="s">
        <v>3746</v>
      </c>
      <c r="E446" s="131" t="s">
        <v>100</v>
      </c>
      <c r="F446" s="131" t="s">
        <v>45</v>
      </c>
      <c r="G446" s="131" t="s">
        <v>3747</v>
      </c>
      <c r="H446" s="131" t="str">
        <f t="shared" si="6"/>
        <v>IP31</v>
      </c>
      <c r="I446" s="131" t="str" cm="1">
        <f t="array" ref="I446">LEFT(G446, MIN(IF(ISNUMBER(--MID(G446, _xlfn.SEQUENCE(LEN(G446)), 1)), _xlfn.SEQUENCE(LEN(G446)))) - 1)</f>
        <v>IP</v>
      </c>
      <c r="J446" s="131" t="s">
        <v>3706</v>
      </c>
      <c r="K446" s="129"/>
    </row>
    <row r="447" spans="1:11" ht="17.25" x14ac:dyDescent="0.35">
      <c r="A447" s="131" t="s">
        <v>4160</v>
      </c>
      <c r="B447" s="128" t="s">
        <v>4884</v>
      </c>
      <c r="C447" s="129"/>
      <c r="D447" s="129"/>
      <c r="E447" s="129"/>
      <c r="F447" s="129"/>
      <c r="G447" s="128" t="s">
        <v>204</v>
      </c>
      <c r="H447" s="131" t="str">
        <f t="shared" si="6"/>
        <v>IP31</v>
      </c>
      <c r="I447" s="131" t="str" cm="1">
        <f t="array" ref="I447">LEFT(G447, MIN(IF(ISNUMBER(--MID(G447, _xlfn.SEQUENCE(LEN(G447)), 1)), _xlfn.SEQUENCE(LEN(G447)))) - 1)</f>
        <v>IP</v>
      </c>
      <c r="J447" s="129" t="str">
        <f>_xlfn.XLOOKUP(H447,'GK IFT SDM POSTCODES'!A:A,'GK IFT SDM POSTCODES'!B:B,"")</f>
        <v>Kate Rayson</v>
      </c>
      <c r="K447" s="129"/>
    </row>
    <row r="448" spans="1:11" ht="17.25" x14ac:dyDescent="0.35">
      <c r="A448" s="134" t="s">
        <v>3902</v>
      </c>
      <c r="B448" s="134" t="s">
        <v>4060</v>
      </c>
      <c r="C448" s="134" t="s">
        <v>4043</v>
      </c>
      <c r="D448" s="129"/>
      <c r="E448" s="134" t="s">
        <v>1</v>
      </c>
      <c r="F448" s="134" t="s">
        <v>45</v>
      </c>
      <c r="G448" s="134" t="s">
        <v>447</v>
      </c>
      <c r="H448" s="131" t="str">
        <f t="shared" si="6"/>
        <v>IP4</v>
      </c>
      <c r="I448" s="131" t="str" cm="1">
        <f t="array" ref="I448">LEFT(G448, MIN(IF(ISNUMBER(--MID(G448, _xlfn.SEQUENCE(LEN(G448)), 1)), _xlfn.SEQUENCE(LEN(G448)))) - 1)</f>
        <v>IP</v>
      </c>
      <c r="J448" s="134" t="s">
        <v>4011</v>
      </c>
      <c r="K448" s="129"/>
    </row>
    <row r="449" spans="1:11" ht="17.25" x14ac:dyDescent="0.35">
      <c r="A449" s="131" t="s">
        <v>4160</v>
      </c>
      <c r="B449" s="128" t="s">
        <v>4885</v>
      </c>
      <c r="C449" s="129"/>
      <c r="D449" s="129"/>
      <c r="E449" s="129"/>
      <c r="F449" s="129"/>
      <c r="G449" s="128" t="s">
        <v>4998</v>
      </c>
      <c r="H449" s="131" t="str">
        <f t="shared" si="6"/>
        <v>IP4</v>
      </c>
      <c r="I449" s="131" t="str" cm="1">
        <f t="array" ref="I449">LEFT(G449, MIN(IF(ISNUMBER(--MID(G449, _xlfn.SEQUENCE(LEN(G449)), 1)), _xlfn.SEQUENCE(LEN(G449)))) - 1)</f>
        <v>IP</v>
      </c>
      <c r="J449" s="129" t="str">
        <f>_xlfn.XLOOKUP(H449,'GK IFT SDM POSTCODES'!A:A,'GK IFT SDM POSTCODES'!B:B,"")</f>
        <v>Kate Rayson</v>
      </c>
      <c r="K449" s="129"/>
    </row>
    <row r="450" spans="1:11" ht="21" x14ac:dyDescent="0.35">
      <c r="A450" s="130" t="s">
        <v>4065</v>
      </c>
      <c r="B450" s="127" t="s">
        <v>537</v>
      </c>
      <c r="C450" s="127" t="s">
        <v>538</v>
      </c>
      <c r="D450" s="133"/>
      <c r="E450" s="126" t="s">
        <v>1</v>
      </c>
      <c r="F450" s="133"/>
      <c r="G450" s="126" t="s">
        <v>4095</v>
      </c>
      <c r="H450" s="131" t="str">
        <f t="shared" ref="H450:H513" si="7">_xlfn.TEXTBEFORE(G450," ")</f>
        <v>IP4</v>
      </c>
      <c r="I450" s="131" t="str" cm="1">
        <f t="array" ref="I450">LEFT(G450, MIN(IF(ISNUMBER(--MID(G450, _xlfn.SEQUENCE(LEN(G450)), 1)), _xlfn.SEQUENCE(LEN(G450)))) - 1)</f>
        <v>IP</v>
      </c>
      <c r="J450" s="126" t="s">
        <v>4070</v>
      </c>
      <c r="K450" s="129"/>
    </row>
    <row r="451" spans="1:11" ht="17.25" x14ac:dyDescent="0.35">
      <c r="A451" s="131" t="s">
        <v>4160</v>
      </c>
      <c r="B451" s="128" t="s">
        <v>3678</v>
      </c>
      <c r="C451" s="129"/>
      <c r="D451" s="129"/>
      <c r="E451" s="129"/>
      <c r="F451" s="129"/>
      <c r="G451" s="128" t="s">
        <v>240</v>
      </c>
      <c r="H451" s="131" t="str">
        <f t="shared" si="7"/>
        <v>IP4</v>
      </c>
      <c r="I451" s="131" t="str" cm="1">
        <f t="array" ref="I451">LEFT(G451, MIN(IF(ISNUMBER(--MID(G451, _xlfn.SEQUENCE(LEN(G451)), 1)), _xlfn.SEQUENCE(LEN(G451)))) - 1)</f>
        <v>IP</v>
      </c>
      <c r="J451" s="129" t="str">
        <f>_xlfn.XLOOKUP(H451,'GK IFT SDM POSTCODES'!A:A,'GK IFT SDM POSTCODES'!B:B,"")</f>
        <v>Kate Rayson</v>
      </c>
      <c r="K451" s="129"/>
    </row>
    <row r="452" spans="1:11" ht="17.25" x14ac:dyDescent="0.35">
      <c r="A452" s="131" t="s">
        <v>4160</v>
      </c>
      <c r="B452" s="128" t="s">
        <v>4886</v>
      </c>
      <c r="C452" s="129"/>
      <c r="D452" s="129"/>
      <c r="E452" s="129"/>
      <c r="F452" s="129"/>
      <c r="G452" s="128" t="s">
        <v>4999</v>
      </c>
      <c r="H452" s="131" t="str">
        <f t="shared" si="7"/>
        <v>IP4</v>
      </c>
      <c r="I452" s="131" t="str" cm="1">
        <f t="array" ref="I452">LEFT(G452, MIN(IF(ISNUMBER(--MID(G452, _xlfn.SEQUENCE(LEN(G452)), 1)), _xlfn.SEQUENCE(LEN(G452)))) - 1)</f>
        <v>IP</v>
      </c>
      <c r="J452" s="129" t="str">
        <f>_xlfn.XLOOKUP(H452,'GK IFT SDM POSTCODES'!A:A,'GK IFT SDM POSTCODES'!B:B,"")</f>
        <v>Kate Rayson</v>
      </c>
      <c r="K452" s="129"/>
    </row>
    <row r="453" spans="1:11" ht="17.25" x14ac:dyDescent="0.35">
      <c r="A453" s="131" t="s">
        <v>4160</v>
      </c>
      <c r="B453" s="128" t="s">
        <v>4887</v>
      </c>
      <c r="C453" s="129"/>
      <c r="D453" s="129"/>
      <c r="E453" s="129"/>
      <c r="F453" s="129"/>
      <c r="G453" s="128" t="s">
        <v>5000</v>
      </c>
      <c r="H453" s="131" t="str">
        <f t="shared" si="7"/>
        <v>IP4</v>
      </c>
      <c r="I453" s="131" t="str" cm="1">
        <f t="array" ref="I453">LEFT(G453, MIN(IF(ISNUMBER(--MID(G453, _xlfn.SEQUENCE(LEN(G453)), 1)), _xlfn.SEQUENCE(LEN(G453)))) - 1)</f>
        <v>IP</v>
      </c>
      <c r="J453" s="129" t="str">
        <f>_xlfn.XLOOKUP(H453,'GK IFT SDM POSTCODES'!A:A,'GK IFT SDM POSTCODES'!B:B,"")</f>
        <v>Kate Rayson</v>
      </c>
      <c r="K453" s="129"/>
    </row>
    <row r="454" spans="1:11" ht="17.25" x14ac:dyDescent="0.35">
      <c r="A454" s="131" t="s">
        <v>4160</v>
      </c>
      <c r="B454" s="136" t="s">
        <v>4888</v>
      </c>
      <c r="C454" s="129"/>
      <c r="D454" s="129"/>
      <c r="E454" s="129"/>
      <c r="F454" s="129"/>
      <c r="G454" s="136" t="s">
        <v>5001</v>
      </c>
      <c r="H454" s="131" t="str">
        <f t="shared" si="7"/>
        <v>IP4</v>
      </c>
      <c r="I454" s="131" t="str" cm="1">
        <f t="array" ref="I454">LEFT(G454, MIN(IF(ISNUMBER(--MID(G454, _xlfn.SEQUENCE(LEN(G454)), 1)), _xlfn.SEQUENCE(LEN(G454)))) - 1)</f>
        <v>IP</v>
      </c>
      <c r="J454" s="129" t="str">
        <f>_xlfn.XLOOKUP(H454,'GK IFT SDM POSTCODES'!A:A,'GK IFT SDM POSTCODES'!B:B,"")</f>
        <v>Kate Rayson</v>
      </c>
      <c r="K454" s="129"/>
    </row>
    <row r="455" spans="1:11" ht="31.5" x14ac:dyDescent="0.35">
      <c r="A455" s="130" t="s">
        <v>4065</v>
      </c>
      <c r="B455" s="127" t="s">
        <v>560</v>
      </c>
      <c r="C455" s="127" t="s">
        <v>561</v>
      </c>
      <c r="D455" s="133"/>
      <c r="E455" s="126" t="s">
        <v>1</v>
      </c>
      <c r="F455" s="133"/>
      <c r="G455" s="126" t="s">
        <v>4096</v>
      </c>
      <c r="H455" s="131" t="str">
        <f t="shared" si="7"/>
        <v>IP4</v>
      </c>
      <c r="I455" s="131" t="str" cm="1">
        <f t="array" ref="I455">LEFT(G455, MIN(IF(ISNUMBER(--MID(G455, _xlfn.SEQUENCE(LEN(G455)), 1)), _xlfn.SEQUENCE(LEN(G455)))) - 1)</f>
        <v>IP</v>
      </c>
      <c r="J455" s="126" t="s">
        <v>4070</v>
      </c>
      <c r="K455" s="129"/>
    </row>
    <row r="456" spans="1:11" ht="17.25" x14ac:dyDescent="0.35">
      <c r="A456" s="131" t="s">
        <v>4160</v>
      </c>
      <c r="B456" s="128" t="s">
        <v>4889</v>
      </c>
      <c r="C456" s="129"/>
      <c r="D456" s="129"/>
      <c r="E456" s="129"/>
      <c r="F456" s="129"/>
      <c r="G456" s="128" t="s">
        <v>5002</v>
      </c>
      <c r="H456" s="131" t="str">
        <f t="shared" si="7"/>
        <v>IP4</v>
      </c>
      <c r="I456" s="131" t="str" cm="1">
        <f t="array" ref="I456">LEFT(G456, MIN(IF(ISNUMBER(--MID(G456, _xlfn.SEQUENCE(LEN(G456)), 1)), _xlfn.SEQUENCE(LEN(G456)))) - 1)</f>
        <v>IP</v>
      </c>
      <c r="J456" s="129" t="str">
        <f>_xlfn.XLOOKUP(H456,'GK IFT SDM POSTCODES'!A:A,'GK IFT SDM POSTCODES'!B:B,"")</f>
        <v>Kate Rayson</v>
      </c>
      <c r="K456" s="129"/>
    </row>
    <row r="457" spans="1:11" ht="17.25" x14ac:dyDescent="0.35">
      <c r="A457" s="131" t="s">
        <v>4160</v>
      </c>
      <c r="B457" s="128" t="s">
        <v>4890</v>
      </c>
      <c r="C457" s="129"/>
      <c r="D457" s="129"/>
      <c r="E457" s="129"/>
      <c r="F457" s="129"/>
      <c r="G457" s="128" t="s">
        <v>5003</v>
      </c>
      <c r="H457" s="131" t="str">
        <f t="shared" si="7"/>
        <v>IP4</v>
      </c>
      <c r="I457" s="131" t="str" cm="1">
        <f t="array" ref="I457">LEFT(G457, MIN(IF(ISNUMBER(--MID(G457, _xlfn.SEQUENCE(LEN(G457)), 1)), _xlfn.SEQUENCE(LEN(G457)))) - 1)</f>
        <v>IP</v>
      </c>
      <c r="J457" s="129" t="str">
        <f>_xlfn.XLOOKUP(H457,'GK IFT SDM POSTCODES'!A:A,'GK IFT SDM POSTCODES'!B:B,"")</f>
        <v>Kate Rayson</v>
      </c>
      <c r="K457" s="129"/>
    </row>
    <row r="458" spans="1:11" ht="17.25" x14ac:dyDescent="0.35">
      <c r="A458" s="131" t="s">
        <v>4160</v>
      </c>
      <c r="B458" s="128" t="s">
        <v>4891</v>
      </c>
      <c r="C458" s="129"/>
      <c r="D458" s="129"/>
      <c r="E458" s="129"/>
      <c r="F458" s="129"/>
      <c r="G458" s="128" t="s">
        <v>235</v>
      </c>
      <c r="H458" s="131" t="str">
        <f t="shared" si="7"/>
        <v>IP4</v>
      </c>
      <c r="I458" s="131" t="str" cm="1">
        <f t="array" ref="I458">LEFT(G458, MIN(IF(ISNUMBER(--MID(G458, _xlfn.SEQUENCE(LEN(G458)), 1)), _xlfn.SEQUENCE(LEN(G458)))) - 1)</f>
        <v>IP</v>
      </c>
      <c r="J458" s="129" t="str">
        <f>_xlfn.XLOOKUP(H458,'GK IFT SDM POSTCODES'!A:A,'GK IFT SDM POSTCODES'!B:B,"")</f>
        <v>Kate Rayson</v>
      </c>
      <c r="K458" s="129"/>
    </row>
    <row r="459" spans="1:11" ht="17.25" x14ac:dyDescent="0.35">
      <c r="A459" s="130" t="s">
        <v>4106</v>
      </c>
      <c r="B459" s="136" t="s">
        <v>629</v>
      </c>
      <c r="C459" s="136" t="s">
        <v>630</v>
      </c>
      <c r="D459" s="129"/>
      <c r="E459" s="136" t="s">
        <v>1</v>
      </c>
      <c r="F459" s="136"/>
      <c r="G459" s="136" t="s">
        <v>4105</v>
      </c>
      <c r="H459" s="131" t="str">
        <f t="shared" si="7"/>
        <v>IP4</v>
      </c>
      <c r="I459" s="131" t="str" cm="1">
        <f t="array" ref="I459">LEFT(G459, MIN(IF(ISNUMBER(--MID(G459, _xlfn.SEQUENCE(LEN(G459)), 1)), _xlfn.SEQUENCE(LEN(G459)))) - 1)</f>
        <v>IP</v>
      </c>
      <c r="J459" s="136" t="s">
        <v>4103</v>
      </c>
      <c r="K459" s="129"/>
    </row>
    <row r="460" spans="1:11" ht="17.25" x14ac:dyDescent="0.35">
      <c r="A460" s="131" t="s">
        <v>4160</v>
      </c>
      <c r="B460" s="128" t="s">
        <v>4892</v>
      </c>
      <c r="C460" s="129"/>
      <c r="D460" s="129"/>
      <c r="E460" s="129"/>
      <c r="F460" s="129"/>
      <c r="G460" s="128" t="s">
        <v>288</v>
      </c>
      <c r="H460" s="131" t="str">
        <f t="shared" si="7"/>
        <v>IP4</v>
      </c>
      <c r="I460" s="131" t="str" cm="1">
        <f t="array" ref="I460">LEFT(G460, MIN(IF(ISNUMBER(--MID(G460, _xlfn.SEQUENCE(LEN(G460)), 1)), _xlfn.SEQUENCE(LEN(G460)))) - 1)</f>
        <v>IP</v>
      </c>
      <c r="J460" s="129" t="str">
        <f>_xlfn.XLOOKUP(H460,'GK IFT SDM POSTCODES'!A:A,'GK IFT SDM POSTCODES'!B:B,"")</f>
        <v>Kate Rayson</v>
      </c>
      <c r="K460" s="129"/>
    </row>
    <row r="461" spans="1:11" ht="17.25" x14ac:dyDescent="0.35">
      <c r="A461" s="131" t="s">
        <v>4160</v>
      </c>
      <c r="B461" s="128" t="s">
        <v>142</v>
      </c>
      <c r="C461" s="129"/>
      <c r="D461" s="129"/>
      <c r="E461" s="129"/>
      <c r="F461" s="129"/>
      <c r="G461" s="128" t="s">
        <v>143</v>
      </c>
      <c r="H461" s="131" t="str">
        <f t="shared" si="7"/>
        <v>IP4</v>
      </c>
      <c r="I461" s="131" t="str" cm="1">
        <f t="array" ref="I461">LEFT(G461, MIN(IF(ISNUMBER(--MID(G461, _xlfn.SEQUENCE(LEN(G461)), 1)), _xlfn.SEQUENCE(LEN(G461)))) - 1)</f>
        <v>IP</v>
      </c>
      <c r="J461" s="129" t="str">
        <f>_xlfn.XLOOKUP(H461,'GK IFT SDM POSTCODES'!A:A,'GK IFT SDM POSTCODES'!B:B,"")</f>
        <v>Kate Rayson</v>
      </c>
      <c r="K461" s="129"/>
    </row>
    <row r="462" spans="1:11" ht="21" x14ac:dyDescent="0.35">
      <c r="A462" s="130" t="s">
        <v>4065</v>
      </c>
      <c r="B462" s="127" t="s">
        <v>312</v>
      </c>
      <c r="C462" s="127" t="s">
        <v>2988</v>
      </c>
      <c r="D462" s="133"/>
      <c r="E462" s="126" t="s">
        <v>1</v>
      </c>
      <c r="F462" s="133"/>
      <c r="G462" s="126" t="s">
        <v>313</v>
      </c>
      <c r="H462" s="131" t="str">
        <f t="shared" si="7"/>
        <v>IP4</v>
      </c>
      <c r="I462" s="131" t="str" cm="1">
        <f t="array" ref="I462">LEFT(G462, MIN(IF(ISNUMBER(--MID(G462, _xlfn.SEQUENCE(LEN(G462)), 1)), _xlfn.SEQUENCE(LEN(G462)))) - 1)</f>
        <v>IP</v>
      </c>
      <c r="J462" s="126" t="s">
        <v>4070</v>
      </c>
      <c r="K462" s="129"/>
    </row>
    <row r="463" spans="1:11" ht="17.25" x14ac:dyDescent="0.35">
      <c r="A463" s="131" t="s">
        <v>4160</v>
      </c>
      <c r="B463" s="128" t="s">
        <v>4893</v>
      </c>
      <c r="C463" s="129"/>
      <c r="D463" s="129"/>
      <c r="E463" s="129"/>
      <c r="F463" s="129"/>
      <c r="G463" s="128" t="s">
        <v>141</v>
      </c>
      <c r="H463" s="131" t="str">
        <f t="shared" si="7"/>
        <v>IP4</v>
      </c>
      <c r="I463" s="131" t="str" cm="1">
        <f t="array" ref="I463">LEFT(G463, MIN(IF(ISNUMBER(--MID(G463, _xlfn.SEQUENCE(LEN(G463)), 1)), _xlfn.SEQUENCE(LEN(G463)))) - 1)</f>
        <v>IP</v>
      </c>
      <c r="J463" s="129" t="str">
        <f>_xlfn.XLOOKUP(H463,'GK IFT SDM POSTCODES'!A:A,'GK IFT SDM POSTCODES'!B:B,"")</f>
        <v>Kate Rayson</v>
      </c>
      <c r="K463" s="129"/>
    </row>
    <row r="464" spans="1:11" ht="21" x14ac:dyDescent="0.35">
      <c r="A464" s="130" t="s">
        <v>4065</v>
      </c>
      <c r="B464" s="127" t="s">
        <v>123</v>
      </c>
      <c r="C464" s="127" t="s">
        <v>2159</v>
      </c>
      <c r="D464" s="133"/>
      <c r="E464" s="126" t="s">
        <v>1</v>
      </c>
      <c r="F464" s="133"/>
      <c r="G464" s="126" t="s">
        <v>4097</v>
      </c>
      <c r="H464" s="131" t="str">
        <f t="shared" si="7"/>
        <v>IP5</v>
      </c>
      <c r="I464" s="131" t="str" cm="1">
        <f t="array" ref="I464">LEFT(G464, MIN(IF(ISNUMBER(--MID(G464, _xlfn.SEQUENCE(LEN(G464)), 1)), _xlfn.SEQUENCE(LEN(G464)))) - 1)</f>
        <v>IP</v>
      </c>
      <c r="J464" s="126" t="s">
        <v>4070</v>
      </c>
      <c r="K464" s="129"/>
    </row>
    <row r="465" spans="1:11" ht="21" x14ac:dyDescent="0.35">
      <c r="A465" s="130" t="s">
        <v>4065</v>
      </c>
      <c r="B465" s="127" t="s">
        <v>549</v>
      </c>
      <c r="C465" s="127" t="s">
        <v>4101</v>
      </c>
      <c r="D465" s="133"/>
      <c r="E465" s="126" t="s">
        <v>1</v>
      </c>
      <c r="F465" s="133"/>
      <c r="G465" s="126" t="s">
        <v>4098</v>
      </c>
      <c r="H465" s="131" t="str">
        <f t="shared" si="7"/>
        <v>IP6</v>
      </c>
      <c r="I465" s="131" t="str" cm="1">
        <f t="array" ref="I465">LEFT(G465, MIN(IF(ISNUMBER(--MID(G465, _xlfn.SEQUENCE(LEN(G465)), 1)), _xlfn.SEQUENCE(LEN(G465)))) - 1)</f>
        <v>IP</v>
      </c>
      <c r="J465" s="126" t="s">
        <v>4070</v>
      </c>
      <c r="K465" s="129"/>
    </row>
    <row r="466" spans="1:11" ht="17.25" x14ac:dyDescent="0.35">
      <c r="A466" s="131" t="s">
        <v>4160</v>
      </c>
      <c r="B466" s="128" t="s">
        <v>4894</v>
      </c>
      <c r="C466" s="129"/>
      <c r="D466" s="129"/>
      <c r="E466" s="129"/>
      <c r="F466" s="129"/>
      <c r="G466" s="128" t="s">
        <v>5004</v>
      </c>
      <c r="H466" s="131" t="str">
        <f t="shared" si="7"/>
        <v>IP6</v>
      </c>
      <c r="I466" s="131" t="str" cm="1">
        <f t="array" ref="I466">LEFT(G466, MIN(IF(ISNUMBER(--MID(G466, _xlfn.SEQUENCE(LEN(G466)), 1)), _xlfn.SEQUENCE(LEN(G466)))) - 1)</f>
        <v>IP</v>
      </c>
      <c r="J466" s="129" t="str">
        <f>_xlfn.XLOOKUP(H466,'GK IFT SDM POSTCODES'!A:A,'GK IFT SDM POSTCODES'!B:B,"")</f>
        <v>Kate Rayson</v>
      </c>
      <c r="K466" s="129"/>
    </row>
    <row r="467" spans="1:11" ht="17.25" x14ac:dyDescent="0.35">
      <c r="A467" s="131" t="s">
        <v>4160</v>
      </c>
      <c r="B467" s="136" t="s">
        <v>4895</v>
      </c>
      <c r="C467" s="129"/>
      <c r="D467" s="129"/>
      <c r="E467" s="129"/>
      <c r="F467" s="129"/>
      <c r="G467" s="136" t="s">
        <v>169</v>
      </c>
      <c r="H467" s="131" t="str">
        <f t="shared" si="7"/>
        <v>IP6</v>
      </c>
      <c r="I467" s="131" t="str" cm="1">
        <f t="array" ref="I467">LEFT(G467, MIN(IF(ISNUMBER(--MID(G467, _xlfn.SEQUENCE(LEN(G467)), 1)), _xlfn.SEQUENCE(LEN(G467)))) - 1)</f>
        <v>IP</v>
      </c>
      <c r="J467" s="129" t="str">
        <f>_xlfn.XLOOKUP(H467,'GK IFT SDM POSTCODES'!A:A,'GK IFT SDM POSTCODES'!B:B,"")</f>
        <v>Kate Rayson</v>
      </c>
      <c r="K467" s="129"/>
    </row>
    <row r="468" spans="1:11" ht="17.25" x14ac:dyDescent="0.35">
      <c r="A468" s="131" t="s">
        <v>4160</v>
      </c>
      <c r="B468" s="128" t="s">
        <v>4896</v>
      </c>
      <c r="C468" s="129"/>
      <c r="D468" s="129"/>
      <c r="E468" s="129"/>
      <c r="F468" s="129"/>
      <c r="G468" s="128" t="s">
        <v>145</v>
      </c>
      <c r="H468" s="131" t="str">
        <f t="shared" si="7"/>
        <v>IP6</v>
      </c>
      <c r="I468" s="131" t="str" cm="1">
        <f t="array" ref="I468">LEFT(G468, MIN(IF(ISNUMBER(--MID(G468, _xlfn.SEQUENCE(LEN(G468)), 1)), _xlfn.SEQUENCE(LEN(G468)))) - 1)</f>
        <v>IP</v>
      </c>
      <c r="J468" s="129" t="str">
        <f>_xlfn.XLOOKUP(H468,'GK IFT SDM POSTCODES'!A:A,'GK IFT SDM POSTCODES'!B:B,"")</f>
        <v>Kate Rayson</v>
      </c>
      <c r="K468" s="129"/>
    </row>
    <row r="469" spans="1:11" ht="17.25" x14ac:dyDescent="0.35">
      <c r="A469" s="130" t="s">
        <v>3752</v>
      </c>
      <c r="B469" s="131" t="s">
        <v>25</v>
      </c>
      <c r="C469" s="131" t="s">
        <v>89</v>
      </c>
      <c r="D469" s="131" t="s">
        <v>3748</v>
      </c>
      <c r="E469" s="131" t="s">
        <v>73</v>
      </c>
      <c r="F469" s="131" t="s">
        <v>45</v>
      </c>
      <c r="G469" s="131" t="s">
        <v>389</v>
      </c>
      <c r="H469" s="131" t="str">
        <f t="shared" si="7"/>
        <v>IP6</v>
      </c>
      <c r="I469" s="131" t="str" cm="1">
        <f t="array" ref="I469">LEFT(G469, MIN(IF(ISNUMBER(--MID(G469, _xlfn.SEQUENCE(LEN(G469)), 1)), _xlfn.SEQUENCE(LEN(G469)))) - 1)</f>
        <v>IP</v>
      </c>
      <c r="J469" s="131" t="s">
        <v>3706</v>
      </c>
      <c r="K469" s="129"/>
    </row>
    <row r="470" spans="1:11" ht="17.25" x14ac:dyDescent="0.35">
      <c r="A470" s="131" t="s">
        <v>4160</v>
      </c>
      <c r="B470" s="128" t="s">
        <v>4897</v>
      </c>
      <c r="C470" s="129"/>
      <c r="D470" s="129"/>
      <c r="E470" s="129"/>
      <c r="F470" s="129"/>
      <c r="G470" s="128" t="s">
        <v>147</v>
      </c>
      <c r="H470" s="131" t="str">
        <f t="shared" si="7"/>
        <v>IP6</v>
      </c>
      <c r="I470" s="131" t="str" cm="1">
        <f t="array" ref="I470">LEFT(G470, MIN(IF(ISNUMBER(--MID(G470, _xlfn.SEQUENCE(LEN(G470)), 1)), _xlfn.SEQUENCE(LEN(G470)))) - 1)</f>
        <v>IP</v>
      </c>
      <c r="J470" s="129" t="str">
        <f>_xlfn.XLOOKUP(H470,'GK IFT SDM POSTCODES'!A:A,'GK IFT SDM POSTCODES'!B:B,"")</f>
        <v>Kate Rayson</v>
      </c>
      <c r="K470" s="129"/>
    </row>
    <row r="471" spans="1:11" ht="17.25" x14ac:dyDescent="0.35">
      <c r="A471" s="131" t="s">
        <v>4160</v>
      </c>
      <c r="B471" s="128" t="s">
        <v>4898</v>
      </c>
      <c r="C471" s="129"/>
      <c r="D471" s="129"/>
      <c r="E471" s="129"/>
      <c r="F471" s="129"/>
      <c r="G471" s="128" t="s">
        <v>5005</v>
      </c>
      <c r="H471" s="131" t="str">
        <f t="shared" si="7"/>
        <v>IP6</v>
      </c>
      <c r="I471" s="131" t="str" cm="1">
        <f t="array" ref="I471">LEFT(G471, MIN(IF(ISNUMBER(--MID(G471, _xlfn.SEQUENCE(LEN(G471)), 1)), _xlfn.SEQUENCE(LEN(G471)))) - 1)</f>
        <v>IP</v>
      </c>
      <c r="J471" s="129" t="str">
        <f>_xlfn.XLOOKUP(H471,'GK IFT SDM POSTCODES'!A:A,'GK IFT SDM POSTCODES'!B:B,"")</f>
        <v>Kate Rayson</v>
      </c>
      <c r="K471" s="129"/>
    </row>
    <row r="472" spans="1:11" ht="17.25" x14ac:dyDescent="0.35">
      <c r="A472" s="131" t="s">
        <v>4160</v>
      </c>
      <c r="B472" s="128" t="s">
        <v>4899</v>
      </c>
      <c r="C472" s="129"/>
      <c r="D472" s="129"/>
      <c r="E472" s="129"/>
      <c r="F472" s="129"/>
      <c r="G472" s="128" t="s">
        <v>5006</v>
      </c>
      <c r="H472" s="131" t="str">
        <f t="shared" si="7"/>
        <v>IP6</v>
      </c>
      <c r="I472" s="131" t="str" cm="1">
        <f t="array" ref="I472">LEFT(G472, MIN(IF(ISNUMBER(--MID(G472, _xlfn.SEQUENCE(LEN(G472)), 1)), _xlfn.SEQUENCE(LEN(G472)))) - 1)</f>
        <v>IP</v>
      </c>
      <c r="J472" s="129" t="str">
        <f>_xlfn.XLOOKUP(H472,'GK IFT SDM POSTCODES'!A:A,'GK IFT SDM POSTCODES'!B:B,"")</f>
        <v>Kate Rayson</v>
      </c>
      <c r="K472" s="129"/>
    </row>
    <row r="473" spans="1:11" ht="17.25" x14ac:dyDescent="0.35">
      <c r="A473" s="129" t="s">
        <v>498</v>
      </c>
      <c r="B473" s="137" t="s">
        <v>5174</v>
      </c>
      <c r="C473" s="137" t="s">
        <v>5175</v>
      </c>
      <c r="D473" s="129"/>
      <c r="E473" s="137" t="s">
        <v>1</v>
      </c>
      <c r="F473" s="129"/>
      <c r="G473" s="137" t="s">
        <v>11</v>
      </c>
      <c r="H473" s="131" t="str">
        <f t="shared" si="7"/>
        <v>IP6</v>
      </c>
      <c r="I473" s="131" t="str" cm="1">
        <f t="array" ref="I473">LEFT(G473, MIN(IF(ISNUMBER(--MID(G473, _xlfn.SEQUENCE(LEN(G473)), 1)), _xlfn.SEQUENCE(LEN(G473)))) - 1)</f>
        <v>IP</v>
      </c>
      <c r="J473" s="137" t="s">
        <v>5141</v>
      </c>
      <c r="K473" s="129"/>
    </row>
    <row r="474" spans="1:11" ht="17.25" x14ac:dyDescent="0.35">
      <c r="A474" s="131" t="s">
        <v>4160</v>
      </c>
      <c r="B474" s="128" t="s">
        <v>4900</v>
      </c>
      <c r="C474" s="129"/>
      <c r="D474" s="129"/>
      <c r="E474" s="129"/>
      <c r="F474" s="129"/>
      <c r="G474" s="128" t="s">
        <v>5007</v>
      </c>
      <c r="H474" s="131" t="str">
        <f t="shared" si="7"/>
        <v>IP6</v>
      </c>
      <c r="I474" s="131" t="str" cm="1">
        <f t="array" ref="I474">LEFT(G474, MIN(IF(ISNUMBER(--MID(G474, _xlfn.SEQUENCE(LEN(G474)), 1)), _xlfn.SEQUENCE(LEN(G474)))) - 1)</f>
        <v>IP</v>
      </c>
      <c r="J474" s="129" t="str">
        <f>_xlfn.XLOOKUP(H474,'GK IFT SDM POSTCODES'!A:A,'GK IFT SDM POSTCODES'!B:B,"")</f>
        <v>Kate Rayson</v>
      </c>
      <c r="K474" s="129"/>
    </row>
    <row r="475" spans="1:11" ht="17.25" x14ac:dyDescent="0.35">
      <c r="A475" s="130" t="s">
        <v>3752</v>
      </c>
      <c r="B475" s="131" t="s">
        <v>893</v>
      </c>
      <c r="C475" s="131" t="s">
        <v>3372</v>
      </c>
      <c r="D475" s="131" t="s">
        <v>3749</v>
      </c>
      <c r="E475" s="131" t="s">
        <v>1</v>
      </c>
      <c r="F475" s="131" t="s">
        <v>45</v>
      </c>
      <c r="G475" s="131" t="s">
        <v>3750</v>
      </c>
      <c r="H475" s="131" t="str">
        <f t="shared" si="7"/>
        <v>IP7</v>
      </c>
      <c r="I475" s="131" t="str" cm="1">
        <f t="array" ref="I475">LEFT(G475, MIN(IF(ISNUMBER(--MID(G475, _xlfn.SEQUENCE(LEN(G475)), 1)), _xlfn.SEQUENCE(LEN(G475)))) - 1)</f>
        <v>IP</v>
      </c>
      <c r="J475" s="131" t="s">
        <v>3751</v>
      </c>
      <c r="K475" s="129"/>
    </row>
    <row r="476" spans="1:11" ht="17.25" x14ac:dyDescent="0.35">
      <c r="A476" s="131" t="s">
        <v>4160</v>
      </c>
      <c r="B476" s="128" t="s">
        <v>4901</v>
      </c>
      <c r="C476" s="129"/>
      <c r="D476" s="129"/>
      <c r="E476" s="129"/>
      <c r="F476" s="129"/>
      <c r="G476" s="128" t="s">
        <v>5008</v>
      </c>
      <c r="H476" s="131" t="str">
        <f t="shared" si="7"/>
        <v>IP7</v>
      </c>
      <c r="I476" s="131" t="str" cm="1">
        <f t="array" ref="I476">LEFT(G476, MIN(IF(ISNUMBER(--MID(G476, _xlfn.SEQUENCE(LEN(G476)), 1)), _xlfn.SEQUENCE(LEN(G476)))) - 1)</f>
        <v>IP</v>
      </c>
      <c r="J476" s="129" t="str">
        <f>_xlfn.XLOOKUP(H476,'GK IFT SDM POSTCODES'!A:A,'GK IFT SDM POSTCODES'!B:B,"")</f>
        <v>Kate Rayson</v>
      </c>
      <c r="K476" s="129"/>
    </row>
    <row r="477" spans="1:11" ht="17.25" x14ac:dyDescent="0.35">
      <c r="A477" s="131" t="s">
        <v>4160</v>
      </c>
      <c r="B477" s="136" t="s">
        <v>4902</v>
      </c>
      <c r="C477" s="129"/>
      <c r="D477" s="129"/>
      <c r="E477" s="129"/>
      <c r="F477" s="129"/>
      <c r="G477" s="136" t="s">
        <v>5009</v>
      </c>
      <c r="H477" s="131" t="str">
        <f t="shared" si="7"/>
        <v>IP7</v>
      </c>
      <c r="I477" s="131" t="str" cm="1">
        <f t="array" ref="I477">LEFT(G477, MIN(IF(ISNUMBER(--MID(G477, _xlfn.SEQUENCE(LEN(G477)), 1)), _xlfn.SEQUENCE(LEN(G477)))) - 1)</f>
        <v>IP</v>
      </c>
      <c r="J477" s="129" t="str">
        <f>_xlfn.XLOOKUP(H477,'GK IFT SDM POSTCODES'!A:A,'GK IFT SDM POSTCODES'!B:B,"")</f>
        <v>Kate Rayson</v>
      </c>
      <c r="K477" s="129"/>
    </row>
    <row r="478" spans="1:11" ht="21" x14ac:dyDescent="0.35">
      <c r="A478" s="130" t="s">
        <v>4065</v>
      </c>
      <c r="B478" s="127" t="s">
        <v>113</v>
      </c>
      <c r="C478" s="127" t="s">
        <v>2389</v>
      </c>
      <c r="D478" s="133"/>
      <c r="E478" s="126" t="s">
        <v>1</v>
      </c>
      <c r="F478" s="133"/>
      <c r="G478" s="126" t="s">
        <v>4099</v>
      </c>
      <c r="H478" s="131" t="str">
        <f t="shared" si="7"/>
        <v>IP7</v>
      </c>
      <c r="I478" s="131" t="str" cm="1">
        <f t="array" ref="I478">LEFT(G478, MIN(IF(ISNUMBER(--MID(G478, _xlfn.SEQUENCE(LEN(G478)), 1)), _xlfn.SEQUENCE(LEN(G478)))) - 1)</f>
        <v>IP</v>
      </c>
      <c r="J478" s="126" t="s">
        <v>4079</v>
      </c>
      <c r="K478" s="129"/>
    </row>
    <row r="479" spans="1:11" ht="17.25" x14ac:dyDescent="0.35">
      <c r="A479" s="131" t="s">
        <v>4160</v>
      </c>
      <c r="B479" s="128" t="s">
        <v>4903</v>
      </c>
      <c r="C479" s="129"/>
      <c r="D479" s="129"/>
      <c r="E479" s="129"/>
      <c r="F479" s="129"/>
      <c r="G479" s="128" t="s">
        <v>5010</v>
      </c>
      <c r="H479" s="131" t="str">
        <f t="shared" si="7"/>
        <v>IP7</v>
      </c>
      <c r="I479" s="131" t="str" cm="1">
        <f t="array" ref="I479">LEFT(G479, MIN(IF(ISNUMBER(--MID(G479, _xlfn.SEQUENCE(LEN(G479)), 1)), _xlfn.SEQUENCE(LEN(G479)))) - 1)</f>
        <v>IP</v>
      </c>
      <c r="J479" s="129" t="str">
        <f>_xlfn.XLOOKUP(H479,'GK IFT SDM POSTCODES'!A:A,'GK IFT SDM POSTCODES'!B:B,"")</f>
        <v>Kate Rayson</v>
      </c>
      <c r="K479" s="129"/>
    </row>
    <row r="480" spans="1:11" ht="17.25" x14ac:dyDescent="0.35">
      <c r="A480" s="134" t="s">
        <v>7</v>
      </c>
      <c r="B480" s="134" t="s">
        <v>625</v>
      </c>
      <c r="C480" s="134" t="s">
        <v>626</v>
      </c>
      <c r="D480" s="129"/>
      <c r="E480" s="134" t="s">
        <v>1</v>
      </c>
      <c r="F480" s="134" t="s">
        <v>45</v>
      </c>
      <c r="G480" s="134" t="s">
        <v>171</v>
      </c>
      <c r="H480" s="131" t="str">
        <f t="shared" si="7"/>
        <v>IP7</v>
      </c>
      <c r="I480" s="131" t="str" cm="1">
        <f t="array" ref="I480">LEFT(G480, MIN(IF(ISNUMBER(--MID(G480, _xlfn.SEQUENCE(LEN(G480)), 1)), _xlfn.SEQUENCE(LEN(G480)))) - 1)</f>
        <v>IP</v>
      </c>
      <c r="J480" s="146" t="s">
        <v>6231</v>
      </c>
      <c r="K480" s="129"/>
    </row>
    <row r="481" spans="1:11" ht="17.25" x14ac:dyDescent="0.35">
      <c r="A481" s="131" t="s">
        <v>4160</v>
      </c>
      <c r="B481" s="128" t="s">
        <v>4904</v>
      </c>
      <c r="C481" s="129"/>
      <c r="D481" s="129"/>
      <c r="E481" s="129"/>
      <c r="F481" s="129"/>
      <c r="G481" s="128" t="s">
        <v>5011</v>
      </c>
      <c r="H481" s="131" t="str">
        <f t="shared" si="7"/>
        <v>IP7</v>
      </c>
      <c r="I481" s="131" t="str" cm="1">
        <f t="array" ref="I481">LEFT(G481, MIN(IF(ISNUMBER(--MID(G481, _xlfn.SEQUENCE(LEN(G481)), 1)), _xlfn.SEQUENCE(LEN(G481)))) - 1)</f>
        <v>IP</v>
      </c>
      <c r="J481" s="129" t="str">
        <f>_xlfn.XLOOKUP(H481,'GK IFT SDM POSTCODES'!A:A,'GK IFT SDM POSTCODES'!B:B,"")</f>
        <v>Kate Rayson</v>
      </c>
      <c r="K481" s="129"/>
    </row>
    <row r="482" spans="1:11" ht="17.25" x14ac:dyDescent="0.35">
      <c r="A482" s="131" t="s">
        <v>4160</v>
      </c>
      <c r="B482" s="128" t="s">
        <v>4905</v>
      </c>
      <c r="C482" s="129"/>
      <c r="D482" s="129"/>
      <c r="E482" s="129"/>
      <c r="F482" s="129"/>
      <c r="G482" s="128" t="s">
        <v>5012</v>
      </c>
      <c r="H482" s="131" t="str">
        <f t="shared" si="7"/>
        <v>IP7</v>
      </c>
      <c r="I482" s="131" t="str" cm="1">
        <f t="array" ref="I482">LEFT(G482, MIN(IF(ISNUMBER(--MID(G482, _xlfn.SEQUENCE(LEN(G482)), 1)), _xlfn.SEQUENCE(LEN(G482)))) - 1)</f>
        <v>IP</v>
      </c>
      <c r="J482" s="129" t="str">
        <f>_xlfn.XLOOKUP(H482,'GK IFT SDM POSTCODES'!A:A,'GK IFT SDM POSTCODES'!B:B,"")</f>
        <v>Kate Rayson</v>
      </c>
      <c r="K482" s="129"/>
    </row>
    <row r="483" spans="1:11" ht="17.25" x14ac:dyDescent="0.35">
      <c r="A483" s="129" t="s">
        <v>498</v>
      </c>
      <c r="B483" s="137" t="s">
        <v>5176</v>
      </c>
      <c r="C483" s="137" t="s">
        <v>5177</v>
      </c>
      <c r="D483" s="129"/>
      <c r="E483" s="137" t="s">
        <v>1</v>
      </c>
      <c r="F483" s="129"/>
      <c r="G483" s="137" t="s">
        <v>5181</v>
      </c>
      <c r="H483" s="131" t="str">
        <f t="shared" si="7"/>
        <v>IP7</v>
      </c>
      <c r="I483" s="131" t="str" cm="1">
        <f t="array" ref="I483">LEFT(G483, MIN(IF(ISNUMBER(--MID(G483, _xlfn.SEQUENCE(LEN(G483)), 1)), _xlfn.SEQUENCE(LEN(G483)))) - 1)</f>
        <v>IP</v>
      </c>
      <c r="J483" s="143" t="s">
        <v>5147</v>
      </c>
      <c r="K483" s="129"/>
    </row>
    <row r="484" spans="1:11" ht="17.25" x14ac:dyDescent="0.35">
      <c r="A484" s="131" t="s">
        <v>4160</v>
      </c>
      <c r="B484" s="128" t="s">
        <v>4906</v>
      </c>
      <c r="C484" s="129"/>
      <c r="D484" s="129"/>
      <c r="E484" s="129"/>
      <c r="F484" s="129"/>
      <c r="G484" s="128" t="s">
        <v>5013</v>
      </c>
      <c r="H484" s="131" t="str">
        <f t="shared" si="7"/>
        <v>IP8</v>
      </c>
      <c r="I484" s="131" t="str" cm="1">
        <f t="array" ref="I484">LEFT(G484, MIN(IF(ISNUMBER(--MID(G484, _xlfn.SEQUENCE(LEN(G484)), 1)), _xlfn.SEQUENCE(LEN(G484)))) - 1)</f>
        <v>IP</v>
      </c>
      <c r="J484" s="129" t="str">
        <f>_xlfn.XLOOKUP(H484,'GK IFT SDM POSTCODES'!A:A,'GK IFT SDM POSTCODES'!B:B,"")</f>
        <v>Kate Rayson</v>
      </c>
      <c r="K484" s="129"/>
    </row>
    <row r="485" spans="1:11" ht="21" x14ac:dyDescent="0.35">
      <c r="A485" s="130" t="s">
        <v>4065</v>
      </c>
      <c r="B485" s="127" t="s">
        <v>893</v>
      </c>
      <c r="C485" s="127" t="s">
        <v>3208</v>
      </c>
      <c r="D485" s="133"/>
      <c r="E485" s="126" t="s">
        <v>1</v>
      </c>
      <c r="F485" s="133"/>
      <c r="G485" s="126" t="s">
        <v>4100</v>
      </c>
      <c r="H485" s="131" t="str">
        <f t="shared" si="7"/>
        <v>IP8</v>
      </c>
      <c r="I485" s="131" t="str" cm="1">
        <f t="array" ref="I485">LEFT(G485, MIN(IF(ISNUMBER(--MID(G485, _xlfn.SEQUENCE(LEN(G485)), 1)), _xlfn.SEQUENCE(LEN(G485)))) - 1)</f>
        <v>IP</v>
      </c>
      <c r="J485" s="126" t="s">
        <v>4070</v>
      </c>
      <c r="K485" s="129"/>
    </row>
    <row r="486" spans="1:11" ht="17.25" x14ac:dyDescent="0.35">
      <c r="A486" s="131" t="s">
        <v>4160</v>
      </c>
      <c r="B486" s="128" t="s">
        <v>4907</v>
      </c>
      <c r="C486" s="129"/>
      <c r="D486" s="129"/>
      <c r="E486" s="129"/>
      <c r="F486" s="129"/>
      <c r="G486" s="128" t="s">
        <v>5014</v>
      </c>
      <c r="H486" s="131" t="str">
        <f t="shared" si="7"/>
        <v>IP8</v>
      </c>
      <c r="I486" s="131" t="str" cm="1">
        <f t="array" ref="I486">LEFT(G486, MIN(IF(ISNUMBER(--MID(G486, _xlfn.SEQUENCE(LEN(G486)), 1)), _xlfn.SEQUENCE(LEN(G486)))) - 1)</f>
        <v>IP</v>
      </c>
      <c r="J486" s="129" t="str">
        <f>_xlfn.XLOOKUP(H486,'GK IFT SDM POSTCODES'!A:A,'GK IFT SDM POSTCODES'!B:B,"")</f>
        <v>Kate Rayson</v>
      </c>
      <c r="K486" s="129"/>
    </row>
    <row r="487" spans="1:11" ht="17.25" x14ac:dyDescent="0.35">
      <c r="A487" s="130" t="s">
        <v>4065</v>
      </c>
      <c r="B487" s="127" t="s">
        <v>356</v>
      </c>
      <c r="C487" s="127" t="s">
        <v>91</v>
      </c>
      <c r="D487" s="133"/>
      <c r="E487" s="126" t="s">
        <v>1</v>
      </c>
      <c r="F487" s="133"/>
      <c r="G487" s="126" t="s">
        <v>357</v>
      </c>
      <c r="H487" s="131" t="str">
        <f t="shared" si="7"/>
        <v>IP8</v>
      </c>
      <c r="I487" s="131" t="str" cm="1">
        <f t="array" ref="I487">LEFT(G487, MIN(IF(ISNUMBER(--MID(G487, _xlfn.SEQUENCE(LEN(G487)), 1)), _xlfn.SEQUENCE(LEN(G487)))) - 1)</f>
        <v>IP</v>
      </c>
      <c r="J487" s="126" t="s">
        <v>4063</v>
      </c>
      <c r="K487" s="129"/>
    </row>
    <row r="488" spans="1:11" ht="17.25" x14ac:dyDescent="0.35">
      <c r="A488" s="131" t="s">
        <v>4160</v>
      </c>
      <c r="B488" s="128" t="s">
        <v>4908</v>
      </c>
      <c r="C488" s="129"/>
      <c r="D488" s="129"/>
      <c r="E488" s="129"/>
      <c r="F488" s="129"/>
      <c r="G488" s="128" t="s">
        <v>5015</v>
      </c>
      <c r="H488" s="131" t="str">
        <f t="shared" si="7"/>
        <v>IP8</v>
      </c>
      <c r="I488" s="131" t="str" cm="1">
        <f t="array" ref="I488">LEFT(G488, MIN(IF(ISNUMBER(--MID(G488, _xlfn.SEQUENCE(LEN(G488)), 1)), _xlfn.SEQUENCE(LEN(G488)))) - 1)</f>
        <v>IP</v>
      </c>
      <c r="J488" s="129" t="str">
        <f>_xlfn.XLOOKUP(H488,'GK IFT SDM POSTCODES'!A:A,'GK IFT SDM POSTCODES'!B:B,"")</f>
        <v>Kate Rayson</v>
      </c>
      <c r="K488" s="129"/>
    </row>
    <row r="489" spans="1:11" ht="17.25" x14ac:dyDescent="0.35">
      <c r="A489" s="131" t="s">
        <v>4160</v>
      </c>
      <c r="B489" s="136" t="s">
        <v>4909</v>
      </c>
      <c r="C489" s="129"/>
      <c r="D489" s="129"/>
      <c r="E489" s="129"/>
      <c r="F489" s="129"/>
      <c r="G489" s="136" t="s">
        <v>5016</v>
      </c>
      <c r="H489" s="131" t="str">
        <f t="shared" si="7"/>
        <v>IP9</v>
      </c>
      <c r="I489" s="131" t="str" cm="1">
        <f t="array" ref="I489">LEFT(G489, MIN(IF(ISNUMBER(--MID(G489, _xlfn.SEQUENCE(LEN(G489)), 1)), _xlfn.SEQUENCE(LEN(G489)))) - 1)</f>
        <v>IP</v>
      </c>
      <c r="J489" s="129" t="str">
        <f>_xlfn.XLOOKUP(H489,'GK IFT SDM POSTCODES'!A:A,'GK IFT SDM POSTCODES'!B:B,"")</f>
        <v>Rob Brown</v>
      </c>
      <c r="K489" s="129"/>
    </row>
    <row r="490" spans="1:11" ht="17.25" x14ac:dyDescent="0.35">
      <c r="A490" s="131" t="s">
        <v>4160</v>
      </c>
      <c r="B490" s="128" t="s">
        <v>4910</v>
      </c>
      <c r="C490" s="129"/>
      <c r="D490" s="129"/>
      <c r="E490" s="129"/>
      <c r="F490" s="129"/>
      <c r="G490" s="128" t="s">
        <v>5017</v>
      </c>
      <c r="H490" s="131" t="str">
        <f t="shared" si="7"/>
        <v>IP9</v>
      </c>
      <c r="I490" s="131" t="str" cm="1">
        <f t="array" ref="I490">LEFT(G490, MIN(IF(ISNUMBER(--MID(G490, _xlfn.SEQUENCE(LEN(G490)), 1)), _xlfn.SEQUENCE(LEN(G490)))) - 1)</f>
        <v>IP</v>
      </c>
      <c r="J490" s="129" t="str">
        <f>_xlfn.XLOOKUP(H490,'GK IFT SDM POSTCODES'!A:A,'GK IFT SDM POSTCODES'!B:B,"")</f>
        <v>Rob Brown</v>
      </c>
      <c r="K490" s="129"/>
    </row>
    <row r="491" spans="1:11" ht="17.25" x14ac:dyDescent="0.35">
      <c r="A491" s="131" t="s">
        <v>4160</v>
      </c>
      <c r="B491" s="128" t="s">
        <v>4911</v>
      </c>
      <c r="C491" s="129"/>
      <c r="D491" s="129"/>
      <c r="E491" s="129"/>
      <c r="F491" s="129"/>
      <c r="G491" s="128" t="s">
        <v>5017</v>
      </c>
      <c r="H491" s="131" t="str">
        <f t="shared" si="7"/>
        <v>IP9</v>
      </c>
      <c r="I491" s="131" t="str" cm="1">
        <f t="array" ref="I491">LEFT(G491, MIN(IF(ISNUMBER(--MID(G491, _xlfn.SEQUENCE(LEN(G491)), 1)), _xlfn.SEQUENCE(LEN(G491)))) - 1)</f>
        <v>IP</v>
      </c>
      <c r="J491" s="129" t="str">
        <f>_xlfn.XLOOKUP(H491,'GK IFT SDM POSTCODES'!A:A,'GK IFT SDM POSTCODES'!B:B,"")</f>
        <v>Rob Brown</v>
      </c>
      <c r="K491" s="129"/>
    </row>
    <row r="492" spans="1:11" ht="17.25" x14ac:dyDescent="0.35">
      <c r="A492" s="131" t="s">
        <v>4160</v>
      </c>
      <c r="B492" s="128" t="s">
        <v>4912</v>
      </c>
      <c r="C492" s="129"/>
      <c r="D492" s="129"/>
      <c r="E492" s="129"/>
      <c r="F492" s="129"/>
      <c r="G492" s="128" t="s">
        <v>5018</v>
      </c>
      <c r="H492" s="131" t="str">
        <f t="shared" si="7"/>
        <v>IP9</v>
      </c>
      <c r="I492" s="131" t="str" cm="1">
        <f t="array" ref="I492">LEFT(G492, MIN(IF(ISNUMBER(--MID(G492, _xlfn.SEQUENCE(LEN(G492)), 1)), _xlfn.SEQUENCE(LEN(G492)))) - 1)</f>
        <v>IP</v>
      </c>
      <c r="J492" s="129" t="str">
        <f>_xlfn.XLOOKUP(H492,'GK IFT SDM POSTCODES'!A:A,'GK IFT SDM POSTCODES'!B:B,"")</f>
        <v>Rob Brown</v>
      </c>
      <c r="K492" s="129"/>
    </row>
    <row r="493" spans="1:11" ht="17.25" x14ac:dyDescent="0.35">
      <c r="A493" s="131" t="s">
        <v>4160</v>
      </c>
      <c r="B493" s="128" t="s">
        <v>4913</v>
      </c>
      <c r="C493" s="129"/>
      <c r="D493" s="129"/>
      <c r="E493" s="129"/>
      <c r="F493" s="129"/>
      <c r="G493" s="128" t="s">
        <v>5019</v>
      </c>
      <c r="H493" s="131" t="str">
        <f t="shared" si="7"/>
        <v>IP9</v>
      </c>
      <c r="I493" s="131" t="str" cm="1">
        <f t="array" ref="I493">LEFT(G493, MIN(IF(ISNUMBER(--MID(G493, _xlfn.SEQUENCE(LEN(G493)), 1)), _xlfn.SEQUENCE(LEN(G493)))) - 1)</f>
        <v>IP</v>
      </c>
      <c r="J493" s="129" t="str">
        <f>_xlfn.XLOOKUP(H493,'GK IFT SDM POSTCODES'!A:A,'GK IFT SDM POSTCODES'!B:B,"")</f>
        <v>Rob Brown</v>
      </c>
      <c r="K493" s="129"/>
    </row>
    <row r="494" spans="1:11" ht="17.25" x14ac:dyDescent="0.35">
      <c r="A494" s="131" t="s">
        <v>4160</v>
      </c>
      <c r="B494" s="128" t="s">
        <v>4204</v>
      </c>
      <c r="C494" s="129"/>
      <c r="D494" s="129"/>
      <c r="E494" s="129"/>
      <c r="F494" s="129"/>
      <c r="G494" s="128" t="s">
        <v>4550</v>
      </c>
      <c r="H494" s="131" t="str">
        <f t="shared" si="7"/>
        <v>NR1</v>
      </c>
      <c r="I494" s="131" t="str" cm="1">
        <f t="array" ref="I494">LEFT(G494, MIN(IF(ISNUMBER(--MID(G494, _xlfn.SEQUENCE(LEN(G494)), 1)), _xlfn.SEQUENCE(LEN(G494)))) - 1)</f>
        <v>NR</v>
      </c>
      <c r="J494" s="129" t="str">
        <f>_xlfn.XLOOKUP(H494,'GK IFT SDM POSTCODES'!A:A,'GK IFT SDM POSTCODES'!B:B,"")</f>
        <v>Adam Vass</v>
      </c>
      <c r="K494" s="129"/>
    </row>
    <row r="495" spans="1:11" ht="17.25" x14ac:dyDescent="0.35">
      <c r="A495" s="131" t="s">
        <v>4160</v>
      </c>
      <c r="B495" s="128" t="s">
        <v>4342</v>
      </c>
      <c r="C495" s="129"/>
      <c r="D495" s="129"/>
      <c r="E495" s="129"/>
      <c r="F495" s="129"/>
      <c r="G495" s="128" t="s">
        <v>4642</v>
      </c>
      <c r="H495" s="131" t="str">
        <f t="shared" si="7"/>
        <v>NR1</v>
      </c>
      <c r="I495" s="131" t="str" cm="1">
        <f t="array" ref="I495">LEFT(G495, MIN(IF(ISNUMBER(--MID(G495, _xlfn.SEQUENCE(LEN(G495)), 1)), _xlfn.SEQUENCE(LEN(G495)))) - 1)</f>
        <v>NR</v>
      </c>
      <c r="J495" s="129" t="str">
        <f>_xlfn.XLOOKUP(H495,'GK IFT SDM POSTCODES'!A:A,'GK IFT SDM POSTCODES'!B:B,"")</f>
        <v>Adam Vass</v>
      </c>
      <c r="K495" s="129"/>
    </row>
    <row r="496" spans="1:11" ht="17.25" x14ac:dyDescent="0.35">
      <c r="A496" s="134" t="s">
        <v>3902</v>
      </c>
      <c r="B496" s="134" t="s">
        <v>3903</v>
      </c>
      <c r="C496" s="134" t="s">
        <v>3844</v>
      </c>
      <c r="D496" s="129"/>
      <c r="E496" s="134" t="s">
        <v>255</v>
      </c>
      <c r="F496" s="134" t="s">
        <v>55</v>
      </c>
      <c r="G496" s="134" t="s">
        <v>3825</v>
      </c>
      <c r="H496" s="131" t="str">
        <f t="shared" si="7"/>
        <v>NR1</v>
      </c>
      <c r="I496" s="131" t="str" cm="1">
        <f t="array" ref="I496">LEFT(G496, MIN(IF(ISNUMBER(--MID(G496, _xlfn.SEQUENCE(LEN(G496)), 1)), _xlfn.SEQUENCE(LEN(G496)))) - 1)</f>
        <v>NR</v>
      </c>
      <c r="J496" s="134" t="s">
        <v>3984</v>
      </c>
      <c r="K496" s="129"/>
    </row>
    <row r="497" spans="1:11" ht="17.25" x14ac:dyDescent="0.35">
      <c r="A497" s="131" t="s">
        <v>4160</v>
      </c>
      <c r="B497" s="128" t="s">
        <v>4355</v>
      </c>
      <c r="C497" s="129"/>
      <c r="D497" s="129"/>
      <c r="E497" s="129"/>
      <c r="F497" s="129"/>
      <c r="G497" s="128" t="s">
        <v>4650</v>
      </c>
      <c r="H497" s="131" t="str">
        <f t="shared" si="7"/>
        <v>NR1</v>
      </c>
      <c r="I497" s="131" t="str" cm="1">
        <f t="array" ref="I497">LEFT(G497, MIN(IF(ISNUMBER(--MID(G497, _xlfn.SEQUENCE(LEN(G497)), 1)), _xlfn.SEQUENCE(LEN(G497)))) - 1)</f>
        <v>NR</v>
      </c>
      <c r="J497" s="129" t="str">
        <f>_xlfn.XLOOKUP(H497,'GK IFT SDM POSTCODES'!A:A,'GK IFT SDM POSTCODES'!B:B,"")</f>
        <v>Adam Vass</v>
      </c>
      <c r="K497" s="129"/>
    </row>
    <row r="498" spans="1:11" ht="17.25" x14ac:dyDescent="0.35">
      <c r="A498" s="131" t="s">
        <v>4160</v>
      </c>
      <c r="B498" s="128" t="s">
        <v>4368</v>
      </c>
      <c r="C498" s="129"/>
      <c r="D498" s="129"/>
      <c r="E498" s="129"/>
      <c r="F498" s="129"/>
      <c r="G498" s="128" t="s">
        <v>434</v>
      </c>
      <c r="H498" s="131" t="str">
        <f t="shared" si="7"/>
        <v>NR1</v>
      </c>
      <c r="I498" s="131" t="str" cm="1">
        <f t="array" ref="I498">LEFT(G498, MIN(IF(ISNUMBER(--MID(G498, _xlfn.SEQUENCE(LEN(G498)), 1)), _xlfn.SEQUENCE(LEN(G498)))) - 1)</f>
        <v>NR</v>
      </c>
      <c r="J498" s="129" t="str">
        <f>_xlfn.XLOOKUP(H498,'GK IFT SDM POSTCODES'!A:A,'GK IFT SDM POSTCODES'!B:B,"")</f>
        <v>Adam Vass</v>
      </c>
      <c r="K498" s="129"/>
    </row>
    <row r="499" spans="1:11" ht="17.25" x14ac:dyDescent="0.35">
      <c r="A499" s="131" t="s">
        <v>4160</v>
      </c>
      <c r="B499" s="128" t="s">
        <v>4319</v>
      </c>
      <c r="C499" s="129"/>
      <c r="D499" s="129"/>
      <c r="E499" s="129"/>
      <c r="F499" s="129"/>
      <c r="G499" s="128" t="s">
        <v>4626</v>
      </c>
      <c r="H499" s="131" t="str">
        <f t="shared" si="7"/>
        <v>NR1</v>
      </c>
      <c r="I499" s="131" t="str" cm="1">
        <f t="array" ref="I499">LEFT(G499, MIN(IF(ISNUMBER(--MID(G499, _xlfn.SEQUENCE(LEN(G499)), 1)), _xlfn.SEQUENCE(LEN(G499)))) - 1)</f>
        <v>NR</v>
      </c>
      <c r="J499" s="129" t="str">
        <f>_xlfn.XLOOKUP(H499,'GK IFT SDM POSTCODES'!A:A,'GK IFT SDM POSTCODES'!B:B,"")</f>
        <v>Adam Vass</v>
      </c>
      <c r="K499" s="129"/>
    </row>
    <row r="500" spans="1:11" ht="17.25" x14ac:dyDescent="0.35">
      <c r="A500" s="131" t="s">
        <v>4160</v>
      </c>
      <c r="B500" s="128" t="s">
        <v>4205</v>
      </c>
      <c r="C500" s="129"/>
      <c r="D500" s="129"/>
      <c r="E500" s="129"/>
      <c r="F500" s="129"/>
      <c r="G500" s="128" t="s">
        <v>4551</v>
      </c>
      <c r="H500" s="131" t="str">
        <f t="shared" si="7"/>
        <v>NR1</v>
      </c>
      <c r="I500" s="131" t="str" cm="1">
        <f t="array" ref="I500">LEFT(G500, MIN(IF(ISNUMBER(--MID(G500, _xlfn.SEQUENCE(LEN(G500)), 1)), _xlfn.SEQUENCE(LEN(G500)))) - 1)</f>
        <v>NR</v>
      </c>
      <c r="J500" s="129" t="str">
        <f>_xlfn.XLOOKUP(H500,'GK IFT SDM POSTCODES'!A:A,'GK IFT SDM POSTCODES'!B:B,"")</f>
        <v>Adam Vass</v>
      </c>
      <c r="K500" s="129"/>
    </row>
    <row r="501" spans="1:11" ht="17.25" x14ac:dyDescent="0.35">
      <c r="A501" s="131" t="s">
        <v>4160</v>
      </c>
      <c r="B501" s="128" t="s">
        <v>318</v>
      </c>
      <c r="C501" s="129"/>
      <c r="D501" s="129"/>
      <c r="E501" s="129"/>
      <c r="F501" s="129"/>
      <c r="G501" s="128" t="s">
        <v>319</v>
      </c>
      <c r="H501" s="131" t="str">
        <f t="shared" si="7"/>
        <v>NR1</v>
      </c>
      <c r="I501" s="131" t="str" cm="1">
        <f t="array" ref="I501">LEFT(G501, MIN(IF(ISNUMBER(--MID(G501, _xlfn.SEQUENCE(LEN(G501)), 1)), _xlfn.SEQUENCE(LEN(G501)))) - 1)</f>
        <v>NR</v>
      </c>
      <c r="J501" s="129" t="str">
        <f>_xlfn.XLOOKUP(H501,'GK IFT SDM POSTCODES'!A:A,'GK IFT SDM POSTCODES'!B:B,"")</f>
        <v>Adam Vass</v>
      </c>
      <c r="K501" s="129"/>
    </row>
    <row r="502" spans="1:11" ht="17.25" x14ac:dyDescent="0.35">
      <c r="A502" s="131" t="s">
        <v>4160</v>
      </c>
      <c r="B502" s="128" t="s">
        <v>4353</v>
      </c>
      <c r="C502" s="129"/>
      <c r="D502" s="129"/>
      <c r="E502" s="129"/>
      <c r="F502" s="129"/>
      <c r="G502" s="128" t="s">
        <v>4648</v>
      </c>
      <c r="H502" s="131" t="str">
        <f t="shared" si="7"/>
        <v>NR1</v>
      </c>
      <c r="I502" s="131" t="str" cm="1">
        <f t="array" ref="I502">LEFT(G502, MIN(IF(ISNUMBER(--MID(G502, _xlfn.SEQUENCE(LEN(G502)), 1)), _xlfn.SEQUENCE(LEN(G502)))) - 1)</f>
        <v>NR</v>
      </c>
      <c r="J502" s="129" t="str">
        <f>_xlfn.XLOOKUP(H502,'GK IFT SDM POSTCODES'!A:A,'GK IFT SDM POSTCODES'!B:B,"")</f>
        <v>Adam Vass</v>
      </c>
      <c r="K502" s="129"/>
    </row>
    <row r="503" spans="1:11" ht="17.25" x14ac:dyDescent="0.35">
      <c r="A503" s="131" t="s">
        <v>4160</v>
      </c>
      <c r="B503" s="128" t="s">
        <v>4326</v>
      </c>
      <c r="C503" s="129"/>
      <c r="D503" s="129"/>
      <c r="E503" s="129"/>
      <c r="F503" s="129"/>
      <c r="G503" s="128" t="s">
        <v>4632</v>
      </c>
      <c r="H503" s="131" t="str">
        <f t="shared" si="7"/>
        <v>NR1</v>
      </c>
      <c r="I503" s="131" t="str" cm="1">
        <f t="array" ref="I503">LEFT(G503, MIN(IF(ISNUMBER(--MID(G503, _xlfn.SEQUENCE(LEN(G503)), 1)), _xlfn.SEQUENCE(LEN(G503)))) - 1)</f>
        <v>NR</v>
      </c>
      <c r="J503" s="129" t="str">
        <f>_xlfn.XLOOKUP(H503,'GK IFT SDM POSTCODES'!A:A,'GK IFT SDM POSTCODES'!B:B,"")</f>
        <v>Adam Vass</v>
      </c>
      <c r="K503" s="129"/>
    </row>
    <row r="504" spans="1:11" ht="17.25" x14ac:dyDescent="0.35">
      <c r="A504" s="134" t="s">
        <v>3902</v>
      </c>
      <c r="B504" s="134" t="s">
        <v>3904</v>
      </c>
      <c r="C504" s="134" t="s">
        <v>3845</v>
      </c>
      <c r="D504" s="129"/>
      <c r="E504" s="134" t="s">
        <v>255</v>
      </c>
      <c r="F504" s="134" t="s">
        <v>55</v>
      </c>
      <c r="G504" s="134" t="s">
        <v>3598</v>
      </c>
      <c r="H504" s="131" t="str">
        <f t="shared" si="7"/>
        <v>NR1</v>
      </c>
      <c r="I504" s="131" t="str" cm="1">
        <f t="array" ref="I504">LEFT(G504, MIN(IF(ISNUMBER(--MID(G504, _xlfn.SEQUENCE(LEN(G504)), 1)), _xlfn.SEQUENCE(LEN(G504)))) - 1)</f>
        <v>NR</v>
      </c>
      <c r="J504" s="134" t="s">
        <v>3800</v>
      </c>
      <c r="K504" s="129"/>
    </row>
    <row r="505" spans="1:11" ht="17.25" x14ac:dyDescent="0.35">
      <c r="A505" s="134" t="s">
        <v>3902</v>
      </c>
      <c r="B505" s="134" t="s">
        <v>3905</v>
      </c>
      <c r="C505" s="134" t="s">
        <v>3846</v>
      </c>
      <c r="D505" s="129"/>
      <c r="E505" s="134" t="s">
        <v>255</v>
      </c>
      <c r="F505" s="134" t="s">
        <v>55</v>
      </c>
      <c r="G505" s="134" t="s">
        <v>3826</v>
      </c>
      <c r="H505" s="131" t="str">
        <f t="shared" si="7"/>
        <v>NR1</v>
      </c>
      <c r="I505" s="131" t="str" cm="1">
        <f t="array" ref="I505">LEFT(G505, MIN(IF(ISNUMBER(--MID(G505, _xlfn.SEQUENCE(LEN(G505)), 1)), _xlfn.SEQUENCE(LEN(G505)))) - 1)</f>
        <v>NR</v>
      </c>
      <c r="J505" s="134" t="s">
        <v>3985</v>
      </c>
      <c r="K505" s="129"/>
    </row>
    <row r="506" spans="1:11" ht="17.25" x14ac:dyDescent="0.35">
      <c r="A506" s="131" t="s">
        <v>4160</v>
      </c>
      <c r="B506" s="128" t="s">
        <v>4212</v>
      </c>
      <c r="C506" s="129"/>
      <c r="D506" s="129"/>
      <c r="E506" s="129"/>
      <c r="F506" s="129"/>
      <c r="G506" s="128" t="s">
        <v>423</v>
      </c>
      <c r="H506" s="131" t="str">
        <f t="shared" si="7"/>
        <v>NR1</v>
      </c>
      <c r="I506" s="131" t="str" cm="1">
        <f t="array" ref="I506">LEFT(G506, MIN(IF(ISNUMBER(--MID(G506, _xlfn.SEQUENCE(LEN(G506)), 1)), _xlfn.SEQUENCE(LEN(G506)))) - 1)</f>
        <v>NR</v>
      </c>
      <c r="J506" s="129" t="str">
        <f>_xlfn.XLOOKUP(H506,'GK IFT SDM POSTCODES'!A:A,'GK IFT SDM POSTCODES'!B:B,"")</f>
        <v>Adam Vass</v>
      </c>
      <c r="K506" s="129"/>
    </row>
    <row r="507" spans="1:11" ht="17.25" x14ac:dyDescent="0.35">
      <c r="A507" s="134" t="s">
        <v>3902</v>
      </c>
      <c r="B507" s="134" t="s">
        <v>3906</v>
      </c>
      <c r="C507" s="134" t="s">
        <v>3847</v>
      </c>
      <c r="D507" s="129"/>
      <c r="E507" s="134" t="s">
        <v>255</v>
      </c>
      <c r="F507" s="134" t="s">
        <v>55</v>
      </c>
      <c r="G507" s="134" t="s">
        <v>3827</v>
      </c>
      <c r="H507" s="131" t="str">
        <f t="shared" si="7"/>
        <v>NR10</v>
      </c>
      <c r="I507" s="131" t="str" cm="1">
        <f t="array" ref="I507">LEFT(G507, MIN(IF(ISNUMBER(--MID(G507, _xlfn.SEQUENCE(LEN(G507)), 1)), _xlfn.SEQUENCE(LEN(G507)))) - 1)</f>
        <v>NR</v>
      </c>
      <c r="J507" s="134" t="s">
        <v>3986</v>
      </c>
      <c r="K507" s="129"/>
    </row>
    <row r="508" spans="1:11" ht="17.25" x14ac:dyDescent="0.35">
      <c r="A508" s="131" t="s">
        <v>4160</v>
      </c>
      <c r="B508" s="128" t="s">
        <v>4237</v>
      </c>
      <c r="C508" s="129"/>
      <c r="D508" s="129"/>
      <c r="E508" s="129"/>
      <c r="F508" s="129"/>
      <c r="G508" s="128" t="s">
        <v>4570</v>
      </c>
      <c r="H508" s="131" t="str">
        <f t="shared" si="7"/>
        <v>NR10</v>
      </c>
      <c r="I508" s="131" t="str" cm="1">
        <f t="array" ref="I508">LEFT(G508, MIN(IF(ISNUMBER(--MID(G508, _xlfn.SEQUENCE(LEN(G508)), 1)), _xlfn.SEQUENCE(LEN(G508)))) - 1)</f>
        <v>NR</v>
      </c>
      <c r="J508" s="129" t="str">
        <f>_xlfn.XLOOKUP(H508,'GK IFT SDM POSTCODES'!A:A,'GK IFT SDM POSTCODES'!B:B,"")</f>
        <v>Andrew Galpin</v>
      </c>
      <c r="K508" s="129"/>
    </row>
    <row r="509" spans="1:11" ht="17.25" x14ac:dyDescent="0.35">
      <c r="A509" s="131" t="s">
        <v>4160</v>
      </c>
      <c r="B509" s="128" t="s">
        <v>4179</v>
      </c>
      <c r="C509" s="129"/>
      <c r="D509" s="129"/>
      <c r="E509" s="129"/>
      <c r="F509" s="129"/>
      <c r="G509" s="128" t="s">
        <v>4534</v>
      </c>
      <c r="H509" s="131" t="str">
        <f t="shared" si="7"/>
        <v>NR10</v>
      </c>
      <c r="I509" s="131" t="str" cm="1">
        <f t="array" ref="I509">LEFT(G509, MIN(IF(ISNUMBER(--MID(G509, _xlfn.SEQUENCE(LEN(G509)), 1)), _xlfn.SEQUENCE(LEN(G509)))) - 1)</f>
        <v>NR</v>
      </c>
      <c r="J509" s="129" t="str">
        <f>_xlfn.XLOOKUP(H509,'GK IFT SDM POSTCODES'!A:A,'GK IFT SDM POSTCODES'!B:B,"")</f>
        <v>Andrew Galpin</v>
      </c>
      <c r="K509" s="129"/>
    </row>
    <row r="510" spans="1:11" ht="17.25" x14ac:dyDescent="0.35">
      <c r="A510" s="131" t="s">
        <v>4160</v>
      </c>
      <c r="B510" s="128" t="s">
        <v>4410</v>
      </c>
      <c r="C510" s="129"/>
      <c r="D510" s="129"/>
      <c r="E510" s="129"/>
      <c r="F510" s="129"/>
      <c r="G510" s="128" t="s">
        <v>4687</v>
      </c>
      <c r="H510" s="131" t="str">
        <f t="shared" si="7"/>
        <v>NR10</v>
      </c>
      <c r="I510" s="131" t="str" cm="1">
        <f t="array" ref="I510">LEFT(G510, MIN(IF(ISNUMBER(--MID(G510, _xlfn.SEQUENCE(LEN(G510)), 1)), _xlfn.SEQUENCE(LEN(G510)))) - 1)</f>
        <v>NR</v>
      </c>
      <c r="J510" s="129" t="str">
        <f>_xlfn.XLOOKUP(H510,'GK IFT SDM POSTCODES'!A:A,'GK IFT SDM POSTCODES'!B:B,"")</f>
        <v>Andrew Galpin</v>
      </c>
      <c r="K510" s="129"/>
    </row>
    <row r="511" spans="1:11" ht="17.25" x14ac:dyDescent="0.35">
      <c r="A511" s="134" t="s">
        <v>7</v>
      </c>
      <c r="B511" s="134" t="s">
        <v>3907</v>
      </c>
      <c r="C511" s="134" t="s">
        <v>3848</v>
      </c>
      <c r="D511" s="129"/>
      <c r="E511" s="134" t="s">
        <v>255</v>
      </c>
      <c r="F511" s="134" t="s">
        <v>55</v>
      </c>
      <c r="G511" s="134" t="s">
        <v>3828</v>
      </c>
      <c r="H511" s="131" t="str">
        <f t="shared" si="7"/>
        <v>NR10</v>
      </c>
      <c r="I511" s="131" t="str" cm="1">
        <f t="array" ref="I511">LEFT(G511, MIN(IF(ISNUMBER(--MID(G511, _xlfn.SEQUENCE(LEN(G511)), 1)), _xlfn.SEQUENCE(LEN(G511)))) - 1)</f>
        <v>NR</v>
      </c>
      <c r="J511" s="134" t="s">
        <v>3987</v>
      </c>
      <c r="K511" s="129"/>
    </row>
    <row r="512" spans="1:11" ht="17.25" x14ac:dyDescent="0.35">
      <c r="A512" s="129" t="s">
        <v>498</v>
      </c>
      <c r="B512" s="137" t="s">
        <v>5225</v>
      </c>
      <c r="C512" s="137" t="s">
        <v>5226</v>
      </c>
      <c r="D512" s="129"/>
      <c r="E512" s="137" t="s">
        <v>639</v>
      </c>
      <c r="F512" s="129"/>
      <c r="G512" s="137" t="s">
        <v>337</v>
      </c>
      <c r="H512" s="131" t="str">
        <f t="shared" si="7"/>
        <v>NR10</v>
      </c>
      <c r="I512" s="131" t="str" cm="1">
        <f t="array" ref="I512">LEFT(G512, MIN(IF(ISNUMBER(--MID(G512, _xlfn.SEQUENCE(LEN(G512)), 1)), _xlfn.SEQUENCE(LEN(G512)))) - 1)</f>
        <v>NR</v>
      </c>
      <c r="J512" s="137" t="s">
        <v>5148</v>
      </c>
      <c r="K512" s="129"/>
    </row>
    <row r="513" spans="1:11" ht="17.25" x14ac:dyDescent="0.35">
      <c r="A513" s="129" t="s">
        <v>498</v>
      </c>
      <c r="B513" s="137" t="s">
        <v>5233</v>
      </c>
      <c r="C513" s="137" t="s">
        <v>5234</v>
      </c>
      <c r="D513" s="129"/>
      <c r="E513" s="137" t="s">
        <v>255</v>
      </c>
      <c r="F513" s="129"/>
      <c r="G513" s="137" t="s">
        <v>339</v>
      </c>
      <c r="H513" s="131" t="str">
        <f t="shared" si="7"/>
        <v>NR10</v>
      </c>
      <c r="I513" s="131" t="str" cm="1">
        <f t="array" ref="I513">LEFT(G513, MIN(IF(ISNUMBER(--MID(G513, _xlfn.SEQUENCE(LEN(G513)), 1)), _xlfn.SEQUENCE(LEN(G513)))) - 1)</f>
        <v>NR</v>
      </c>
      <c r="J513" s="137" t="s">
        <v>5148</v>
      </c>
      <c r="K513" s="129"/>
    </row>
    <row r="514" spans="1:11" ht="17.25" x14ac:dyDescent="0.35">
      <c r="A514" s="131" t="s">
        <v>4160</v>
      </c>
      <c r="B514" s="128" t="s">
        <v>4379</v>
      </c>
      <c r="C514" s="129"/>
      <c r="D514" s="129"/>
      <c r="E514" s="129"/>
      <c r="F514" s="129"/>
      <c r="G514" s="128" t="s">
        <v>4668</v>
      </c>
      <c r="H514" s="131" t="str">
        <f t="shared" ref="H514:H577" si="8">_xlfn.TEXTBEFORE(G514," ")</f>
        <v>NR10</v>
      </c>
      <c r="I514" s="131" t="str" cm="1">
        <f t="array" ref="I514">LEFT(G514, MIN(IF(ISNUMBER(--MID(G514, _xlfn.SEQUENCE(LEN(G514)), 1)), _xlfn.SEQUENCE(LEN(G514)))) - 1)</f>
        <v>NR</v>
      </c>
      <c r="J514" s="129" t="str">
        <f>_xlfn.XLOOKUP(H514,'GK IFT SDM POSTCODES'!A:A,'GK IFT SDM POSTCODES'!B:B,"")</f>
        <v>Andrew Galpin</v>
      </c>
      <c r="K514" s="129"/>
    </row>
    <row r="515" spans="1:11" ht="17.25" x14ac:dyDescent="0.35">
      <c r="A515" s="131" t="s">
        <v>4160</v>
      </c>
      <c r="B515" s="128" t="s">
        <v>4364</v>
      </c>
      <c r="C515" s="129"/>
      <c r="D515" s="129"/>
      <c r="E515" s="129"/>
      <c r="F515" s="129"/>
      <c r="G515" s="128" t="s">
        <v>4658</v>
      </c>
      <c r="H515" s="131" t="str">
        <f t="shared" si="8"/>
        <v>NR10</v>
      </c>
      <c r="I515" s="131" t="str" cm="1">
        <f t="array" ref="I515">LEFT(G515, MIN(IF(ISNUMBER(--MID(G515, _xlfn.SEQUENCE(LEN(G515)), 1)), _xlfn.SEQUENCE(LEN(G515)))) - 1)</f>
        <v>NR</v>
      </c>
      <c r="J515" s="129" t="str">
        <f>_xlfn.XLOOKUP(H515,'GK IFT SDM POSTCODES'!A:A,'GK IFT SDM POSTCODES'!B:B,"")</f>
        <v>Andrew Galpin</v>
      </c>
      <c r="K515" s="129"/>
    </row>
    <row r="516" spans="1:11" ht="17.25" x14ac:dyDescent="0.35">
      <c r="A516" s="131" t="s">
        <v>4160</v>
      </c>
      <c r="B516" s="128" t="s">
        <v>4236</v>
      </c>
      <c r="C516" s="129"/>
      <c r="D516" s="129"/>
      <c r="E516" s="129"/>
      <c r="F516" s="129"/>
      <c r="G516" s="128" t="s">
        <v>4569</v>
      </c>
      <c r="H516" s="131" t="str">
        <f t="shared" si="8"/>
        <v>NR10</v>
      </c>
      <c r="I516" s="131" t="str" cm="1">
        <f t="array" ref="I516">LEFT(G516, MIN(IF(ISNUMBER(--MID(G516, _xlfn.SEQUENCE(LEN(G516)), 1)), _xlfn.SEQUENCE(LEN(G516)))) - 1)</f>
        <v>NR</v>
      </c>
      <c r="J516" s="129" t="str">
        <f>_xlfn.XLOOKUP(H516,'GK IFT SDM POSTCODES'!A:A,'GK IFT SDM POSTCODES'!B:B,"")</f>
        <v>Andrew Galpin</v>
      </c>
      <c r="K516" s="129"/>
    </row>
    <row r="517" spans="1:11" ht="17.25" x14ac:dyDescent="0.35">
      <c r="A517" s="134" t="s">
        <v>7</v>
      </c>
      <c r="B517" s="134" t="s">
        <v>3908</v>
      </c>
      <c r="C517" s="134" t="s">
        <v>3849</v>
      </c>
      <c r="D517" s="129"/>
      <c r="E517" s="134" t="s">
        <v>255</v>
      </c>
      <c r="F517" s="134" t="s">
        <v>55</v>
      </c>
      <c r="G517" s="134" t="s">
        <v>436</v>
      </c>
      <c r="H517" s="131" t="str">
        <f t="shared" si="8"/>
        <v>NR11</v>
      </c>
      <c r="I517" s="131" t="str" cm="1">
        <f t="array" ref="I517">LEFT(G517, MIN(IF(ISNUMBER(--MID(G517, _xlfn.SEQUENCE(LEN(G517)), 1)), _xlfn.SEQUENCE(LEN(G517)))) - 1)</f>
        <v>NR</v>
      </c>
      <c r="J517" s="134" t="s">
        <v>3987</v>
      </c>
      <c r="K517" s="129"/>
    </row>
    <row r="518" spans="1:11" ht="17.25" x14ac:dyDescent="0.35">
      <c r="A518" s="131" t="s">
        <v>4160</v>
      </c>
      <c r="B518" s="128" t="s">
        <v>435</v>
      </c>
      <c r="C518" s="129"/>
      <c r="D518" s="129"/>
      <c r="E518" s="129"/>
      <c r="F518" s="129"/>
      <c r="G518" s="128" t="s">
        <v>436</v>
      </c>
      <c r="H518" s="131" t="str">
        <f t="shared" si="8"/>
        <v>NR11</v>
      </c>
      <c r="I518" s="131" t="str" cm="1">
        <f t="array" ref="I518">LEFT(G518, MIN(IF(ISNUMBER(--MID(G518, _xlfn.SEQUENCE(LEN(G518)), 1)), _xlfn.SEQUENCE(LEN(G518)))) - 1)</f>
        <v>NR</v>
      </c>
      <c r="J518" s="129" t="str">
        <f>_xlfn.XLOOKUP(H518,'GK IFT SDM POSTCODES'!A:A,'GK IFT SDM POSTCODES'!B:B,"")</f>
        <v>Andrew Galpin</v>
      </c>
      <c r="K518" s="129"/>
    </row>
    <row r="519" spans="1:11" ht="17.25" x14ac:dyDescent="0.35">
      <c r="A519" s="134" t="s">
        <v>7</v>
      </c>
      <c r="B519" s="134" t="s">
        <v>3909</v>
      </c>
      <c r="C519" s="134" t="s">
        <v>3850</v>
      </c>
      <c r="D519" s="129"/>
      <c r="E519" s="134" t="s">
        <v>255</v>
      </c>
      <c r="F519" s="134" t="s">
        <v>55</v>
      </c>
      <c r="G519" s="134" t="s">
        <v>437</v>
      </c>
      <c r="H519" s="131" t="str">
        <f t="shared" si="8"/>
        <v>NR11</v>
      </c>
      <c r="I519" s="131" t="str" cm="1">
        <f t="array" ref="I519">LEFT(G519, MIN(IF(ISNUMBER(--MID(G519, _xlfn.SEQUENCE(LEN(G519)), 1)), _xlfn.SEQUENCE(LEN(G519)))) - 1)</f>
        <v>NR</v>
      </c>
      <c r="J519" s="134" t="s">
        <v>3801</v>
      </c>
      <c r="K519" s="129"/>
    </row>
    <row r="520" spans="1:11" ht="17.25" x14ac:dyDescent="0.35">
      <c r="A520" s="131" t="s">
        <v>4160</v>
      </c>
      <c r="B520" s="128" t="s">
        <v>4243</v>
      </c>
      <c r="C520" s="129"/>
      <c r="D520" s="129"/>
      <c r="E520" s="129"/>
      <c r="F520" s="129"/>
      <c r="G520" s="128" t="s">
        <v>4573</v>
      </c>
      <c r="H520" s="131" t="str">
        <f t="shared" si="8"/>
        <v>NR11</v>
      </c>
      <c r="I520" s="131" t="str" cm="1">
        <f t="array" ref="I520">LEFT(G520, MIN(IF(ISNUMBER(--MID(G520, _xlfn.SEQUENCE(LEN(G520)), 1)), _xlfn.SEQUENCE(LEN(G520)))) - 1)</f>
        <v>NR</v>
      </c>
      <c r="J520" s="129" t="str">
        <f>_xlfn.XLOOKUP(H520,'GK IFT SDM POSTCODES'!A:A,'GK IFT SDM POSTCODES'!B:B,"")</f>
        <v>Andrew Galpin</v>
      </c>
      <c r="K520" s="129"/>
    </row>
    <row r="521" spans="1:11" ht="17.25" x14ac:dyDescent="0.35">
      <c r="A521" s="131" t="s">
        <v>4160</v>
      </c>
      <c r="B521" s="128" t="s">
        <v>4352</v>
      </c>
      <c r="C521" s="129"/>
      <c r="D521" s="129"/>
      <c r="E521" s="129"/>
      <c r="F521" s="129"/>
      <c r="G521" s="128" t="s">
        <v>4647</v>
      </c>
      <c r="H521" s="131" t="str">
        <f t="shared" si="8"/>
        <v>NR11</v>
      </c>
      <c r="I521" s="131" t="str" cm="1">
        <f t="array" ref="I521">LEFT(G521, MIN(IF(ISNUMBER(--MID(G521, _xlfn.SEQUENCE(LEN(G521)), 1)), _xlfn.SEQUENCE(LEN(G521)))) - 1)</f>
        <v>NR</v>
      </c>
      <c r="J521" s="129" t="str">
        <f>_xlfn.XLOOKUP(H521,'GK IFT SDM POSTCODES'!A:A,'GK IFT SDM POSTCODES'!B:B,"")</f>
        <v>Andrew Galpin</v>
      </c>
      <c r="K521" s="129"/>
    </row>
    <row r="522" spans="1:11" ht="17.25" x14ac:dyDescent="0.35">
      <c r="A522" s="131" t="s">
        <v>4160</v>
      </c>
      <c r="B522" s="128" t="s">
        <v>4178</v>
      </c>
      <c r="C522" s="129"/>
      <c r="D522" s="129"/>
      <c r="E522" s="129"/>
      <c r="F522" s="129"/>
      <c r="G522" s="128" t="s">
        <v>4533</v>
      </c>
      <c r="H522" s="131" t="str">
        <f t="shared" si="8"/>
        <v>NR11</v>
      </c>
      <c r="I522" s="131" t="str" cm="1">
        <f t="array" ref="I522">LEFT(G522, MIN(IF(ISNUMBER(--MID(G522, _xlfn.SEQUENCE(LEN(G522)), 1)), _xlfn.SEQUENCE(LEN(G522)))) - 1)</f>
        <v>NR</v>
      </c>
      <c r="J522" s="129" t="str">
        <f>_xlfn.XLOOKUP(H522,'GK IFT SDM POSTCODES'!A:A,'GK IFT SDM POSTCODES'!B:B,"")</f>
        <v>Andrew Galpin</v>
      </c>
      <c r="K522" s="129"/>
    </row>
    <row r="523" spans="1:11" ht="17.25" x14ac:dyDescent="0.35">
      <c r="A523" s="131" t="s">
        <v>4160</v>
      </c>
      <c r="B523" s="128" t="s">
        <v>4228</v>
      </c>
      <c r="C523" s="129"/>
      <c r="D523" s="129"/>
      <c r="E523" s="129"/>
      <c r="F523" s="129"/>
      <c r="G523" s="128" t="s">
        <v>4566</v>
      </c>
      <c r="H523" s="131" t="str">
        <f t="shared" si="8"/>
        <v>NR11</v>
      </c>
      <c r="I523" s="131" t="str" cm="1">
        <f t="array" ref="I523">LEFT(G523, MIN(IF(ISNUMBER(--MID(G523, _xlfn.SEQUENCE(LEN(G523)), 1)), _xlfn.SEQUENCE(LEN(G523)))) - 1)</f>
        <v>NR</v>
      </c>
      <c r="J523" s="129" t="str">
        <f>_xlfn.XLOOKUP(H523,'GK IFT SDM POSTCODES'!A:A,'GK IFT SDM POSTCODES'!B:B,"")</f>
        <v>Andrew Galpin</v>
      </c>
      <c r="K523" s="129"/>
    </row>
    <row r="524" spans="1:11" ht="17.25" x14ac:dyDescent="0.35">
      <c r="A524" s="131" t="s">
        <v>4160</v>
      </c>
      <c r="B524" s="128" t="s">
        <v>4473</v>
      </c>
      <c r="C524" s="129"/>
      <c r="D524" s="129"/>
      <c r="E524" s="129"/>
      <c r="F524" s="129"/>
      <c r="G524" s="128" t="s">
        <v>4566</v>
      </c>
      <c r="H524" s="131" t="str">
        <f t="shared" si="8"/>
        <v>NR11</v>
      </c>
      <c r="I524" s="131" t="str" cm="1">
        <f t="array" ref="I524">LEFT(G524, MIN(IF(ISNUMBER(--MID(G524, _xlfn.SEQUENCE(LEN(G524)), 1)), _xlfn.SEQUENCE(LEN(G524)))) - 1)</f>
        <v>NR</v>
      </c>
      <c r="J524" s="129" t="str">
        <f>_xlfn.XLOOKUP(H524,'GK IFT SDM POSTCODES'!A:A,'GK IFT SDM POSTCODES'!B:B,"")</f>
        <v>Andrew Galpin</v>
      </c>
      <c r="K524" s="129"/>
    </row>
    <row r="525" spans="1:11" ht="17.25" x14ac:dyDescent="0.35">
      <c r="A525" s="131" t="s">
        <v>4160</v>
      </c>
      <c r="B525" s="128" t="s">
        <v>4396</v>
      </c>
      <c r="C525" s="129"/>
      <c r="D525" s="129"/>
      <c r="E525" s="129"/>
      <c r="F525" s="129"/>
      <c r="G525" s="128" t="s">
        <v>166</v>
      </c>
      <c r="H525" s="131" t="str">
        <f t="shared" si="8"/>
        <v>NR11</v>
      </c>
      <c r="I525" s="131" t="str" cm="1">
        <f t="array" ref="I525">LEFT(G525, MIN(IF(ISNUMBER(--MID(G525, _xlfn.SEQUENCE(LEN(G525)), 1)), _xlfn.SEQUENCE(LEN(G525)))) - 1)</f>
        <v>NR</v>
      </c>
      <c r="J525" s="129" t="str">
        <f>_xlfn.XLOOKUP(H525,'GK IFT SDM POSTCODES'!A:A,'GK IFT SDM POSTCODES'!B:B,"")</f>
        <v>Andrew Galpin</v>
      </c>
      <c r="K525" s="129"/>
    </row>
    <row r="526" spans="1:11" ht="21" x14ac:dyDescent="0.35">
      <c r="A526" s="130" t="s">
        <v>4065</v>
      </c>
      <c r="B526" s="127" t="s">
        <v>278</v>
      </c>
      <c r="C526" s="127" t="s">
        <v>425</v>
      </c>
      <c r="D526" s="133"/>
      <c r="E526" s="127" t="s">
        <v>255</v>
      </c>
      <c r="F526" s="133"/>
      <c r="G526" s="127" t="s">
        <v>370</v>
      </c>
      <c r="H526" s="131" t="str">
        <f t="shared" si="8"/>
        <v>NR11</v>
      </c>
      <c r="I526" s="131" t="str" cm="1">
        <f t="array" ref="I526">LEFT(G526, MIN(IF(ISNUMBER(--MID(G526, _xlfn.SEQUENCE(LEN(G526)), 1)), _xlfn.SEQUENCE(LEN(G526)))) - 1)</f>
        <v>NR</v>
      </c>
      <c r="J526" s="127" t="s">
        <v>4070</v>
      </c>
      <c r="K526" s="129"/>
    </row>
    <row r="527" spans="1:11" ht="17.25" x14ac:dyDescent="0.35">
      <c r="A527" s="131" t="s">
        <v>4160</v>
      </c>
      <c r="B527" s="128" t="s">
        <v>4284</v>
      </c>
      <c r="C527" s="129"/>
      <c r="D527" s="129"/>
      <c r="E527" s="129"/>
      <c r="F527" s="129"/>
      <c r="G527" s="128" t="s">
        <v>4602</v>
      </c>
      <c r="H527" s="131" t="str">
        <f t="shared" si="8"/>
        <v>NR11</v>
      </c>
      <c r="I527" s="131" t="str" cm="1">
        <f t="array" ref="I527">LEFT(G527, MIN(IF(ISNUMBER(--MID(G527, _xlfn.SEQUENCE(LEN(G527)), 1)), _xlfn.SEQUENCE(LEN(G527)))) - 1)</f>
        <v>NR</v>
      </c>
      <c r="J527" s="129" t="str">
        <f>_xlfn.XLOOKUP(H527,'GK IFT SDM POSTCODES'!A:A,'GK IFT SDM POSTCODES'!B:B,"")</f>
        <v>Andrew Galpin</v>
      </c>
      <c r="K527" s="129"/>
    </row>
    <row r="528" spans="1:11" ht="17.25" x14ac:dyDescent="0.35">
      <c r="A528" s="131" t="s">
        <v>4160</v>
      </c>
      <c r="B528" s="128" t="s">
        <v>4487</v>
      </c>
      <c r="C528" s="129"/>
      <c r="D528" s="129"/>
      <c r="E528" s="129"/>
      <c r="F528" s="129"/>
      <c r="G528" s="128" t="s">
        <v>495</v>
      </c>
      <c r="H528" s="131" t="str">
        <f t="shared" si="8"/>
        <v>NR12</v>
      </c>
      <c r="I528" s="131" t="str" cm="1">
        <f t="array" ref="I528">LEFT(G528, MIN(IF(ISNUMBER(--MID(G528, _xlfn.SEQUENCE(LEN(G528)), 1)), _xlfn.SEQUENCE(LEN(G528)))) - 1)</f>
        <v>NR</v>
      </c>
      <c r="J528" s="129" t="str">
        <f>_xlfn.XLOOKUP(H528,'GK IFT SDM POSTCODES'!A:A,'GK IFT SDM POSTCODES'!B:B,"")</f>
        <v>Andrew Galpin</v>
      </c>
      <c r="K528" s="129"/>
    </row>
    <row r="529" spans="1:11" ht="17.25" x14ac:dyDescent="0.35">
      <c r="A529" s="131" t="s">
        <v>4160</v>
      </c>
      <c r="B529" s="128" t="s">
        <v>4415</v>
      </c>
      <c r="C529" s="129"/>
      <c r="D529" s="129"/>
      <c r="E529" s="129"/>
      <c r="F529" s="129"/>
      <c r="G529" s="128" t="s">
        <v>4690</v>
      </c>
      <c r="H529" s="131" t="str">
        <f t="shared" si="8"/>
        <v>NR12</v>
      </c>
      <c r="I529" s="131" t="str" cm="1">
        <f t="array" ref="I529">LEFT(G529, MIN(IF(ISNUMBER(--MID(G529, _xlfn.SEQUENCE(LEN(G529)), 1)), _xlfn.SEQUENCE(LEN(G529)))) - 1)</f>
        <v>NR</v>
      </c>
      <c r="J529" s="129" t="str">
        <f>_xlfn.XLOOKUP(H529,'GK IFT SDM POSTCODES'!A:A,'GK IFT SDM POSTCODES'!B:B,"")</f>
        <v>Andrew Galpin</v>
      </c>
      <c r="K529" s="129"/>
    </row>
    <row r="530" spans="1:11" ht="17.25" x14ac:dyDescent="0.35">
      <c r="A530" s="131" t="s">
        <v>4160</v>
      </c>
      <c r="B530" s="128" t="s">
        <v>4324</v>
      </c>
      <c r="C530" s="129"/>
      <c r="D530" s="129"/>
      <c r="E530" s="129"/>
      <c r="F530" s="129"/>
      <c r="G530" s="128" t="s">
        <v>4630</v>
      </c>
      <c r="H530" s="131" t="str">
        <f t="shared" si="8"/>
        <v>NR12</v>
      </c>
      <c r="I530" s="131" t="str" cm="1">
        <f t="array" ref="I530">LEFT(G530, MIN(IF(ISNUMBER(--MID(G530, _xlfn.SEQUENCE(LEN(G530)), 1)), _xlfn.SEQUENCE(LEN(G530)))) - 1)</f>
        <v>NR</v>
      </c>
      <c r="J530" s="129" t="str">
        <f>_xlfn.XLOOKUP(H530,'GK IFT SDM POSTCODES'!A:A,'GK IFT SDM POSTCODES'!B:B,"")</f>
        <v>Andrew Galpin</v>
      </c>
      <c r="K530" s="129"/>
    </row>
    <row r="531" spans="1:11" ht="17.25" x14ac:dyDescent="0.35">
      <c r="A531" s="131" t="s">
        <v>4160</v>
      </c>
      <c r="B531" s="128" t="s">
        <v>4296</v>
      </c>
      <c r="C531" s="129"/>
      <c r="D531" s="129"/>
      <c r="E531" s="129"/>
      <c r="F531" s="129"/>
      <c r="G531" s="128" t="s">
        <v>4611</v>
      </c>
      <c r="H531" s="131" t="str">
        <f t="shared" si="8"/>
        <v>NR12</v>
      </c>
      <c r="I531" s="131" t="str" cm="1">
        <f t="array" ref="I531">LEFT(G531, MIN(IF(ISNUMBER(--MID(G531, _xlfn.SEQUENCE(LEN(G531)), 1)), _xlfn.SEQUENCE(LEN(G531)))) - 1)</f>
        <v>NR</v>
      </c>
      <c r="J531" s="129" t="str">
        <f>_xlfn.XLOOKUP(H531,'GK IFT SDM POSTCODES'!A:A,'GK IFT SDM POSTCODES'!B:B,"")</f>
        <v>Andrew Galpin</v>
      </c>
      <c r="K531" s="129"/>
    </row>
    <row r="532" spans="1:11" ht="17.25" x14ac:dyDescent="0.35">
      <c r="A532" s="130" t="s">
        <v>4065</v>
      </c>
      <c r="B532" s="127" t="s">
        <v>549</v>
      </c>
      <c r="C532" s="127" t="s">
        <v>550</v>
      </c>
      <c r="D532" s="133"/>
      <c r="E532" s="127" t="s">
        <v>255</v>
      </c>
      <c r="F532" s="133"/>
      <c r="G532" s="127" t="s">
        <v>4073</v>
      </c>
      <c r="H532" s="131" t="str">
        <f t="shared" si="8"/>
        <v>NR12</v>
      </c>
      <c r="I532" s="131" t="str" cm="1">
        <f t="array" ref="I532">LEFT(G532, MIN(IF(ISNUMBER(--MID(G532, _xlfn.SEQUENCE(LEN(G532)), 1)), _xlfn.SEQUENCE(LEN(G532)))) - 1)</f>
        <v>NR</v>
      </c>
      <c r="J532" s="127" t="s">
        <v>4070</v>
      </c>
      <c r="K532" s="129"/>
    </row>
    <row r="533" spans="1:11" ht="17.25" x14ac:dyDescent="0.35">
      <c r="A533" s="134" t="s">
        <v>7</v>
      </c>
      <c r="B533" s="134" t="s">
        <v>3910</v>
      </c>
      <c r="C533" s="134" t="s">
        <v>3851</v>
      </c>
      <c r="D533" s="129"/>
      <c r="E533" s="134" t="s">
        <v>255</v>
      </c>
      <c r="F533" s="134" t="s">
        <v>55</v>
      </c>
      <c r="G533" s="134" t="s">
        <v>350</v>
      </c>
      <c r="H533" s="131" t="str">
        <f t="shared" si="8"/>
        <v>NR12</v>
      </c>
      <c r="I533" s="131" t="str" cm="1">
        <f t="array" ref="I533">LEFT(G533, MIN(IF(ISNUMBER(--MID(G533, _xlfn.SEQUENCE(LEN(G533)), 1)), _xlfn.SEQUENCE(LEN(G533)))) - 1)</f>
        <v>NR</v>
      </c>
      <c r="J533" s="134" t="s">
        <v>3987</v>
      </c>
      <c r="K533" s="129"/>
    </row>
    <row r="534" spans="1:11" ht="17.25" x14ac:dyDescent="0.35">
      <c r="A534" s="131" t="s">
        <v>4160</v>
      </c>
      <c r="B534" s="128" t="s">
        <v>4384</v>
      </c>
      <c r="C534" s="129"/>
      <c r="D534" s="129"/>
      <c r="E534" s="129"/>
      <c r="F534" s="129"/>
      <c r="G534" s="128" t="s">
        <v>4673</v>
      </c>
      <c r="H534" s="131" t="str">
        <f t="shared" si="8"/>
        <v>NR12</v>
      </c>
      <c r="I534" s="131" t="str" cm="1">
        <f t="array" ref="I534">LEFT(G534, MIN(IF(ISNUMBER(--MID(G534, _xlfn.SEQUENCE(LEN(G534)), 1)), _xlfn.SEQUENCE(LEN(G534)))) - 1)</f>
        <v>NR</v>
      </c>
      <c r="J534" s="129" t="str">
        <f>_xlfn.XLOOKUP(H534,'GK IFT SDM POSTCODES'!A:A,'GK IFT SDM POSTCODES'!B:B,"")</f>
        <v>Andrew Galpin</v>
      </c>
      <c r="K534" s="129"/>
    </row>
    <row r="535" spans="1:11" ht="17.25" x14ac:dyDescent="0.35">
      <c r="A535" s="134" t="s">
        <v>7</v>
      </c>
      <c r="B535" s="134" t="s">
        <v>3911</v>
      </c>
      <c r="C535" s="134" t="s">
        <v>3852</v>
      </c>
      <c r="D535" s="129"/>
      <c r="E535" s="134" t="s">
        <v>255</v>
      </c>
      <c r="F535" s="134" t="s">
        <v>55</v>
      </c>
      <c r="G535" s="134" t="s">
        <v>411</v>
      </c>
      <c r="H535" s="131" t="str">
        <f t="shared" si="8"/>
        <v>NR12</v>
      </c>
      <c r="I535" s="131" t="str" cm="1">
        <f t="array" ref="I535">LEFT(G535, MIN(IF(ISNUMBER(--MID(G535, _xlfn.SEQUENCE(LEN(G535)), 1)), _xlfn.SEQUENCE(LEN(G535)))) - 1)</f>
        <v>NR</v>
      </c>
      <c r="J535" s="134" t="s">
        <v>3987</v>
      </c>
      <c r="K535" s="129"/>
    </row>
    <row r="536" spans="1:11" ht="17.25" x14ac:dyDescent="0.35">
      <c r="A536" s="131" t="s">
        <v>4160</v>
      </c>
      <c r="B536" s="128" t="s">
        <v>4392</v>
      </c>
      <c r="C536" s="129"/>
      <c r="D536" s="129"/>
      <c r="E536" s="129"/>
      <c r="F536" s="129"/>
      <c r="G536" s="128" t="s">
        <v>409</v>
      </c>
      <c r="H536" s="131" t="str">
        <f t="shared" si="8"/>
        <v>NR12</v>
      </c>
      <c r="I536" s="131" t="str" cm="1">
        <f t="array" ref="I536">LEFT(G536, MIN(IF(ISNUMBER(--MID(G536, _xlfn.SEQUENCE(LEN(G536)), 1)), _xlfn.SEQUENCE(LEN(G536)))) - 1)</f>
        <v>NR</v>
      </c>
      <c r="J536" s="129" t="str">
        <f>_xlfn.XLOOKUP(H536,'GK IFT SDM POSTCODES'!A:A,'GK IFT SDM POSTCODES'!B:B,"")</f>
        <v>Andrew Galpin</v>
      </c>
      <c r="K536" s="129"/>
    </row>
    <row r="537" spans="1:11" ht="17.25" x14ac:dyDescent="0.35">
      <c r="A537" s="134" t="s">
        <v>7</v>
      </c>
      <c r="B537" s="134" t="s">
        <v>3912</v>
      </c>
      <c r="C537" s="134" t="s">
        <v>3853</v>
      </c>
      <c r="D537" s="129"/>
      <c r="E537" s="134" t="s">
        <v>255</v>
      </c>
      <c r="F537" s="134" t="s">
        <v>55</v>
      </c>
      <c r="G537" s="134" t="s">
        <v>279</v>
      </c>
      <c r="H537" s="131" t="str">
        <f t="shared" si="8"/>
        <v>NR12</v>
      </c>
      <c r="I537" s="131" t="str" cm="1">
        <f t="array" ref="I537">LEFT(G537, MIN(IF(ISNUMBER(--MID(G537, _xlfn.SEQUENCE(LEN(G537)), 1)), _xlfn.SEQUENCE(LEN(G537)))) - 1)</f>
        <v>NR</v>
      </c>
      <c r="J537" s="134" t="s">
        <v>3987</v>
      </c>
      <c r="K537" s="129"/>
    </row>
    <row r="538" spans="1:11" ht="17.25" x14ac:dyDescent="0.35">
      <c r="A538" s="131" t="s">
        <v>4160</v>
      </c>
      <c r="B538" s="128" t="s">
        <v>4485</v>
      </c>
      <c r="C538" s="129"/>
      <c r="D538" s="129"/>
      <c r="E538" s="129"/>
      <c r="F538" s="129"/>
      <c r="G538" s="128" t="s">
        <v>460</v>
      </c>
      <c r="H538" s="131" t="str">
        <f t="shared" si="8"/>
        <v>NR12</v>
      </c>
      <c r="I538" s="131" t="str" cm="1">
        <f t="array" ref="I538">LEFT(G538, MIN(IF(ISNUMBER(--MID(G538, _xlfn.SEQUENCE(LEN(G538)), 1)), _xlfn.SEQUENCE(LEN(G538)))) - 1)</f>
        <v>NR</v>
      </c>
      <c r="J538" s="129" t="str">
        <f>_xlfn.XLOOKUP(H538,'GK IFT SDM POSTCODES'!A:A,'GK IFT SDM POSTCODES'!B:B,"")</f>
        <v>Andrew Galpin</v>
      </c>
      <c r="K538" s="129"/>
    </row>
    <row r="539" spans="1:11" ht="17.25" x14ac:dyDescent="0.35">
      <c r="A539" s="131" t="s">
        <v>4160</v>
      </c>
      <c r="B539" s="128" t="s">
        <v>4449</v>
      </c>
      <c r="C539" s="129"/>
      <c r="D539" s="129"/>
      <c r="E539" s="129"/>
      <c r="F539" s="129"/>
      <c r="G539" s="128" t="s">
        <v>4710</v>
      </c>
      <c r="H539" s="131" t="str">
        <f t="shared" si="8"/>
        <v>NR12</v>
      </c>
      <c r="I539" s="131" t="str" cm="1">
        <f t="array" ref="I539">LEFT(G539, MIN(IF(ISNUMBER(--MID(G539, _xlfn.SEQUENCE(LEN(G539)), 1)), _xlfn.SEQUENCE(LEN(G539)))) - 1)</f>
        <v>NR</v>
      </c>
      <c r="J539" s="129" t="str">
        <f>_xlfn.XLOOKUP(H539,'GK IFT SDM POSTCODES'!A:A,'GK IFT SDM POSTCODES'!B:B,"")</f>
        <v>Andrew Galpin</v>
      </c>
      <c r="K539" s="129"/>
    </row>
    <row r="540" spans="1:11" ht="17.25" x14ac:dyDescent="0.35">
      <c r="A540" s="130" t="s">
        <v>4065</v>
      </c>
      <c r="B540" s="127" t="s">
        <v>638</v>
      </c>
      <c r="C540" s="127" t="s">
        <v>550</v>
      </c>
      <c r="D540" s="133"/>
      <c r="E540" s="127" t="s">
        <v>255</v>
      </c>
      <c r="F540" s="133"/>
      <c r="G540" s="127" t="s">
        <v>4074</v>
      </c>
      <c r="H540" s="131" t="str">
        <f t="shared" si="8"/>
        <v>NR12</v>
      </c>
      <c r="I540" s="131" t="str" cm="1">
        <f t="array" ref="I540">LEFT(G540, MIN(IF(ISNUMBER(--MID(G540, _xlfn.SEQUENCE(LEN(G540)), 1)), _xlfn.SEQUENCE(LEN(G540)))) - 1)</f>
        <v>NR</v>
      </c>
      <c r="J540" s="127" t="s">
        <v>4070</v>
      </c>
      <c r="K540" s="129"/>
    </row>
    <row r="541" spans="1:11" ht="17.25" x14ac:dyDescent="0.35">
      <c r="A541" s="131" t="s">
        <v>4160</v>
      </c>
      <c r="B541" s="128" t="s">
        <v>4418</v>
      </c>
      <c r="C541" s="129"/>
      <c r="D541" s="129"/>
      <c r="E541" s="129"/>
      <c r="F541" s="129"/>
      <c r="G541" s="128" t="s">
        <v>4692</v>
      </c>
      <c r="H541" s="131" t="str">
        <f t="shared" si="8"/>
        <v>NR12</v>
      </c>
      <c r="I541" s="131" t="str" cm="1">
        <f t="array" ref="I541">LEFT(G541, MIN(IF(ISNUMBER(--MID(G541, _xlfn.SEQUENCE(LEN(G541)), 1)), _xlfn.SEQUENCE(LEN(G541)))) - 1)</f>
        <v>NR</v>
      </c>
      <c r="J541" s="129" t="str">
        <f>_xlfn.XLOOKUP(H541,'GK IFT SDM POSTCODES'!A:A,'GK IFT SDM POSTCODES'!B:B,"")</f>
        <v>Andrew Galpin</v>
      </c>
      <c r="K541" s="129"/>
    </row>
    <row r="542" spans="1:11" ht="17.25" x14ac:dyDescent="0.35">
      <c r="A542" s="134" t="s">
        <v>7</v>
      </c>
      <c r="B542" s="134" t="s">
        <v>3913</v>
      </c>
      <c r="C542" s="134" t="s">
        <v>3854</v>
      </c>
      <c r="D542" s="129"/>
      <c r="E542" s="134" t="s">
        <v>255</v>
      </c>
      <c r="F542" s="134" t="s">
        <v>55</v>
      </c>
      <c r="G542" s="134" t="s">
        <v>215</v>
      </c>
      <c r="H542" s="131" t="str">
        <f t="shared" si="8"/>
        <v>NR13</v>
      </c>
      <c r="I542" s="131" t="str" cm="1">
        <f t="array" ref="I542">LEFT(G542, MIN(IF(ISNUMBER(--MID(G542, _xlfn.SEQUENCE(LEN(G542)), 1)), _xlfn.SEQUENCE(LEN(G542)))) - 1)</f>
        <v>NR</v>
      </c>
      <c r="J542" s="134" t="s">
        <v>3987</v>
      </c>
      <c r="K542" s="129"/>
    </row>
    <row r="543" spans="1:11" ht="17.25" x14ac:dyDescent="0.35">
      <c r="A543" s="131" t="s">
        <v>4160</v>
      </c>
      <c r="B543" s="128" t="s">
        <v>4285</v>
      </c>
      <c r="C543" s="129"/>
      <c r="D543" s="129"/>
      <c r="E543" s="129"/>
      <c r="F543" s="129"/>
      <c r="G543" s="128" t="s">
        <v>4603</v>
      </c>
      <c r="H543" s="131" t="str">
        <f t="shared" si="8"/>
        <v>NR13</v>
      </c>
      <c r="I543" s="131" t="str" cm="1">
        <f t="array" ref="I543">LEFT(G543, MIN(IF(ISNUMBER(--MID(G543, _xlfn.SEQUENCE(LEN(G543)), 1)), _xlfn.SEQUENCE(LEN(G543)))) - 1)</f>
        <v>NR</v>
      </c>
      <c r="J543" s="129" t="str">
        <f>_xlfn.XLOOKUP(H543,'GK IFT SDM POSTCODES'!A:A,'GK IFT SDM POSTCODES'!B:B,"")</f>
        <v>Adam Reditt</v>
      </c>
      <c r="K543" s="129"/>
    </row>
    <row r="544" spans="1:11" ht="17.25" x14ac:dyDescent="0.35">
      <c r="A544" s="134" t="s">
        <v>7</v>
      </c>
      <c r="B544" s="134" t="s">
        <v>216</v>
      </c>
      <c r="C544" s="134" t="s">
        <v>3855</v>
      </c>
      <c r="D544" s="129"/>
      <c r="E544" s="134" t="s">
        <v>255</v>
      </c>
      <c r="F544" s="134" t="s">
        <v>55</v>
      </c>
      <c r="G544" s="134" t="s">
        <v>217</v>
      </c>
      <c r="H544" s="131" t="str">
        <f t="shared" si="8"/>
        <v>NR13</v>
      </c>
      <c r="I544" s="131" t="str" cm="1">
        <f t="array" ref="I544">LEFT(G544, MIN(IF(ISNUMBER(--MID(G544, _xlfn.SEQUENCE(LEN(G544)), 1)), _xlfn.SEQUENCE(LEN(G544)))) - 1)</f>
        <v>NR</v>
      </c>
      <c r="J544" s="134" t="s">
        <v>3987</v>
      </c>
      <c r="K544" s="129"/>
    </row>
    <row r="545" spans="1:11" ht="17.25" x14ac:dyDescent="0.35">
      <c r="A545" s="131" t="s">
        <v>4160</v>
      </c>
      <c r="B545" s="128" t="s">
        <v>4389</v>
      </c>
      <c r="C545" s="129"/>
      <c r="D545" s="129"/>
      <c r="E545" s="129"/>
      <c r="F545" s="129"/>
      <c r="G545" s="128" t="s">
        <v>194</v>
      </c>
      <c r="H545" s="131" t="str">
        <f t="shared" si="8"/>
        <v>NR13</v>
      </c>
      <c r="I545" s="131" t="str" cm="1">
        <f t="array" ref="I545">LEFT(G545, MIN(IF(ISNUMBER(--MID(G545, _xlfn.SEQUENCE(LEN(G545)), 1)), _xlfn.SEQUENCE(LEN(G545)))) - 1)</f>
        <v>NR</v>
      </c>
      <c r="J545" s="129" t="str">
        <f>_xlfn.XLOOKUP(H545,'GK IFT SDM POSTCODES'!A:A,'GK IFT SDM POSTCODES'!B:B,"")</f>
        <v>Adam Reditt</v>
      </c>
      <c r="K545" s="129"/>
    </row>
    <row r="546" spans="1:11" ht="17.25" x14ac:dyDescent="0.35">
      <c r="A546" s="131" t="s">
        <v>4160</v>
      </c>
      <c r="B546" s="128" t="s">
        <v>4491</v>
      </c>
      <c r="C546" s="129"/>
      <c r="D546" s="129"/>
      <c r="E546" s="129"/>
      <c r="F546" s="129"/>
      <c r="G546" s="128" t="s">
        <v>194</v>
      </c>
      <c r="H546" s="131" t="str">
        <f t="shared" si="8"/>
        <v>NR13</v>
      </c>
      <c r="I546" s="131" t="str" cm="1">
        <f t="array" ref="I546">LEFT(G546, MIN(IF(ISNUMBER(--MID(G546, _xlfn.SEQUENCE(LEN(G546)), 1)), _xlfn.SEQUENCE(LEN(G546)))) - 1)</f>
        <v>NR</v>
      </c>
      <c r="J546" s="129" t="str">
        <f>_xlfn.XLOOKUP(H546,'GK IFT SDM POSTCODES'!A:A,'GK IFT SDM POSTCODES'!B:B,"")</f>
        <v>Adam Reditt</v>
      </c>
      <c r="K546" s="129"/>
    </row>
    <row r="547" spans="1:11" ht="17.25" x14ac:dyDescent="0.35">
      <c r="A547" s="131" t="s">
        <v>4160</v>
      </c>
      <c r="B547" s="128" t="s">
        <v>4216</v>
      </c>
      <c r="C547" s="129"/>
      <c r="D547" s="129"/>
      <c r="E547" s="129"/>
      <c r="F547" s="129"/>
      <c r="G547" s="128" t="s">
        <v>4559</v>
      </c>
      <c r="H547" s="131" t="str">
        <f t="shared" si="8"/>
        <v>NR13</v>
      </c>
      <c r="I547" s="131" t="str" cm="1">
        <f t="array" ref="I547">LEFT(G547, MIN(IF(ISNUMBER(--MID(G547, _xlfn.SEQUENCE(LEN(G547)), 1)), _xlfn.SEQUENCE(LEN(G547)))) - 1)</f>
        <v>NR</v>
      </c>
      <c r="J547" s="129" t="str">
        <f>_xlfn.XLOOKUP(H547,'GK IFT SDM POSTCODES'!A:A,'GK IFT SDM POSTCODES'!B:B,"")</f>
        <v>Adam Reditt</v>
      </c>
      <c r="K547" s="129"/>
    </row>
    <row r="548" spans="1:11" ht="17.25" x14ac:dyDescent="0.35">
      <c r="A548" s="131" t="s">
        <v>4160</v>
      </c>
      <c r="B548" s="136" t="s">
        <v>4502</v>
      </c>
      <c r="C548" s="129"/>
      <c r="D548" s="129"/>
      <c r="E548" s="129"/>
      <c r="F548" s="129"/>
      <c r="G548" s="136" t="s">
        <v>4743</v>
      </c>
      <c r="H548" s="131" t="str">
        <f t="shared" si="8"/>
        <v>NR13</v>
      </c>
      <c r="I548" s="131" t="str" cm="1">
        <f t="array" ref="I548">LEFT(G548, MIN(IF(ISNUMBER(--MID(G548, _xlfn.SEQUENCE(LEN(G548)), 1)), _xlfn.SEQUENCE(LEN(G548)))) - 1)</f>
        <v>NR</v>
      </c>
      <c r="J548" s="129" t="str">
        <f>_xlfn.XLOOKUP(H548,'GK IFT SDM POSTCODES'!A:A,'GK IFT SDM POSTCODES'!B:B,"")</f>
        <v>Adam Reditt</v>
      </c>
      <c r="K548" s="129"/>
    </row>
    <row r="549" spans="1:11" ht="17.25" x14ac:dyDescent="0.35">
      <c r="A549" s="131" t="s">
        <v>4160</v>
      </c>
      <c r="B549" s="128" t="s">
        <v>4388</v>
      </c>
      <c r="C549" s="129"/>
      <c r="D549" s="129"/>
      <c r="E549" s="129"/>
      <c r="F549" s="129"/>
      <c r="G549" s="128" t="s">
        <v>4675</v>
      </c>
      <c r="H549" s="131" t="str">
        <f t="shared" si="8"/>
        <v>NR13</v>
      </c>
      <c r="I549" s="131" t="str" cm="1">
        <f t="array" ref="I549">LEFT(G549, MIN(IF(ISNUMBER(--MID(G549, _xlfn.SEQUENCE(LEN(G549)), 1)), _xlfn.SEQUENCE(LEN(G549)))) - 1)</f>
        <v>NR</v>
      </c>
      <c r="J549" s="129" t="str">
        <f>_xlfn.XLOOKUP(H549,'GK IFT SDM POSTCODES'!A:A,'GK IFT SDM POSTCODES'!B:B,"")</f>
        <v>Adam Reditt</v>
      </c>
      <c r="K549" s="129"/>
    </row>
    <row r="550" spans="1:11" ht="17.25" x14ac:dyDescent="0.35">
      <c r="A550" s="131" t="s">
        <v>4160</v>
      </c>
      <c r="B550" s="128" t="s">
        <v>4329</v>
      </c>
      <c r="C550" s="129"/>
      <c r="D550" s="129"/>
      <c r="E550" s="129"/>
      <c r="F550" s="129"/>
      <c r="G550" s="128" t="s">
        <v>4633</v>
      </c>
      <c r="H550" s="131" t="str">
        <f t="shared" si="8"/>
        <v>NR13</v>
      </c>
      <c r="I550" s="131" t="str" cm="1">
        <f t="array" ref="I550">LEFT(G550, MIN(IF(ISNUMBER(--MID(G550, _xlfn.SEQUENCE(LEN(G550)), 1)), _xlfn.SEQUENCE(LEN(G550)))) - 1)</f>
        <v>NR</v>
      </c>
      <c r="J550" s="129" t="str">
        <f>_xlfn.XLOOKUP(H550,'GK IFT SDM POSTCODES'!A:A,'GK IFT SDM POSTCODES'!B:B,"")</f>
        <v>Adam Reditt</v>
      </c>
      <c r="K550" s="129"/>
    </row>
    <row r="551" spans="1:11" ht="17.25" x14ac:dyDescent="0.35">
      <c r="A551" s="131" t="s">
        <v>4160</v>
      </c>
      <c r="B551" s="128" t="s">
        <v>4315</v>
      </c>
      <c r="C551" s="129"/>
      <c r="D551" s="129"/>
      <c r="E551" s="129"/>
      <c r="F551" s="129"/>
      <c r="G551" s="128" t="s">
        <v>276</v>
      </c>
      <c r="H551" s="131" t="str">
        <f t="shared" si="8"/>
        <v>NR13</v>
      </c>
      <c r="I551" s="131" t="str" cm="1">
        <f t="array" ref="I551">LEFT(G551, MIN(IF(ISNUMBER(--MID(G551, _xlfn.SEQUENCE(LEN(G551)), 1)), _xlfn.SEQUENCE(LEN(G551)))) - 1)</f>
        <v>NR</v>
      </c>
      <c r="J551" s="129" t="str">
        <f>_xlfn.XLOOKUP(H551,'GK IFT SDM POSTCODES'!A:A,'GK IFT SDM POSTCODES'!B:B,"")</f>
        <v>Adam Reditt</v>
      </c>
      <c r="K551" s="129"/>
    </row>
    <row r="552" spans="1:11" ht="17.25" x14ac:dyDescent="0.35">
      <c r="A552" s="134" t="s">
        <v>7</v>
      </c>
      <c r="B552" s="134" t="s">
        <v>3914</v>
      </c>
      <c r="C552" s="134" t="s">
        <v>3856</v>
      </c>
      <c r="D552" s="129"/>
      <c r="E552" s="134" t="s">
        <v>255</v>
      </c>
      <c r="F552" s="134" t="s">
        <v>55</v>
      </c>
      <c r="G552" s="134" t="s">
        <v>277</v>
      </c>
      <c r="H552" s="131" t="str">
        <f t="shared" si="8"/>
        <v>NR13</v>
      </c>
      <c r="I552" s="131" t="str" cm="1">
        <f t="array" ref="I552">LEFT(G552, MIN(IF(ISNUMBER(--MID(G552, _xlfn.SEQUENCE(LEN(G552)), 1)), _xlfn.SEQUENCE(LEN(G552)))) - 1)</f>
        <v>NR</v>
      </c>
      <c r="J552" s="134" t="s">
        <v>3987</v>
      </c>
      <c r="K552" s="129"/>
    </row>
    <row r="553" spans="1:11" ht="17.25" x14ac:dyDescent="0.35">
      <c r="A553" s="131" t="s">
        <v>4160</v>
      </c>
      <c r="B553" s="128" t="s">
        <v>4182</v>
      </c>
      <c r="C553" s="129"/>
      <c r="D553" s="129"/>
      <c r="E553" s="129"/>
      <c r="F553" s="129"/>
      <c r="G553" s="128" t="s">
        <v>277</v>
      </c>
      <c r="H553" s="131" t="str">
        <f t="shared" si="8"/>
        <v>NR13</v>
      </c>
      <c r="I553" s="131" t="str" cm="1">
        <f t="array" ref="I553">LEFT(G553, MIN(IF(ISNUMBER(--MID(G553, _xlfn.SEQUENCE(LEN(G553)), 1)), _xlfn.SEQUENCE(LEN(G553)))) - 1)</f>
        <v>NR</v>
      </c>
      <c r="J553" s="129" t="str">
        <f>_xlfn.XLOOKUP(H553,'GK IFT SDM POSTCODES'!A:A,'GK IFT SDM POSTCODES'!B:B,"")</f>
        <v>Adam Reditt</v>
      </c>
      <c r="K553" s="129"/>
    </row>
    <row r="554" spans="1:11" ht="17.25" x14ac:dyDescent="0.35">
      <c r="A554" s="134" t="s">
        <v>7</v>
      </c>
      <c r="B554" s="134" t="s">
        <v>3915</v>
      </c>
      <c r="C554" s="134" t="s">
        <v>3857</v>
      </c>
      <c r="D554" s="129"/>
      <c r="E554" s="134" t="s">
        <v>255</v>
      </c>
      <c r="F554" s="134" t="s">
        <v>55</v>
      </c>
      <c r="G554" s="134" t="s">
        <v>454</v>
      </c>
      <c r="H554" s="131" t="str">
        <f t="shared" si="8"/>
        <v>NR13</v>
      </c>
      <c r="I554" s="131" t="str" cm="1">
        <f t="array" ref="I554">LEFT(G554, MIN(IF(ISNUMBER(--MID(G554, _xlfn.SEQUENCE(LEN(G554)), 1)), _xlfn.SEQUENCE(LEN(G554)))) - 1)</f>
        <v>NR</v>
      </c>
      <c r="J554" s="134" t="s">
        <v>3987</v>
      </c>
      <c r="K554" s="129"/>
    </row>
    <row r="555" spans="1:11" ht="17.25" x14ac:dyDescent="0.35">
      <c r="A555" s="130" t="s">
        <v>4065</v>
      </c>
      <c r="B555" s="127" t="s">
        <v>156</v>
      </c>
      <c r="C555" s="127" t="s">
        <v>613</v>
      </c>
      <c r="D555" s="133"/>
      <c r="E555" s="127" t="s">
        <v>255</v>
      </c>
      <c r="F555" s="133"/>
      <c r="G555" s="127" t="s">
        <v>157</v>
      </c>
      <c r="H555" s="131" t="str">
        <f t="shared" si="8"/>
        <v>NR13</v>
      </c>
      <c r="I555" s="131" t="str" cm="1">
        <f t="array" ref="I555">LEFT(G555, MIN(IF(ISNUMBER(--MID(G555, _xlfn.SEQUENCE(LEN(G555)), 1)), _xlfn.SEQUENCE(LEN(G555)))) - 1)</f>
        <v>NR</v>
      </c>
      <c r="J555" s="127" t="s">
        <v>4070</v>
      </c>
      <c r="K555" s="129"/>
    </row>
    <row r="556" spans="1:11" ht="17.25" x14ac:dyDescent="0.35">
      <c r="A556" s="131" t="s">
        <v>4160</v>
      </c>
      <c r="B556" s="136" t="s">
        <v>4515</v>
      </c>
      <c r="C556" s="129"/>
      <c r="D556" s="129"/>
      <c r="E556" s="129"/>
      <c r="F556" s="129"/>
      <c r="G556" s="136" t="s">
        <v>679</v>
      </c>
      <c r="H556" s="131" t="str">
        <f t="shared" si="8"/>
        <v>NR13</v>
      </c>
      <c r="I556" s="131" t="str" cm="1">
        <f t="array" ref="I556">LEFT(G556, MIN(IF(ISNUMBER(--MID(G556, _xlfn.SEQUENCE(LEN(G556)), 1)), _xlfn.SEQUENCE(LEN(G556)))) - 1)</f>
        <v>NR</v>
      </c>
      <c r="J556" s="129" t="str">
        <f>_xlfn.XLOOKUP(H556,'GK IFT SDM POSTCODES'!A:A,'GK IFT SDM POSTCODES'!B:B,"")</f>
        <v>Adam Reditt</v>
      </c>
      <c r="K556" s="129"/>
    </row>
    <row r="557" spans="1:11" ht="17.25" x14ac:dyDescent="0.35">
      <c r="A557" s="131" t="s">
        <v>4160</v>
      </c>
      <c r="B557" s="128" t="s">
        <v>4171</v>
      </c>
      <c r="C557" s="129"/>
      <c r="D557" s="129"/>
      <c r="E557" s="129"/>
      <c r="F557" s="129"/>
      <c r="G557" s="128" t="s">
        <v>4527</v>
      </c>
      <c r="H557" s="131" t="str">
        <f t="shared" si="8"/>
        <v>NR14</v>
      </c>
      <c r="I557" s="131" t="str" cm="1">
        <f t="array" ref="I557">LEFT(G557, MIN(IF(ISNUMBER(--MID(G557, _xlfn.SEQUENCE(LEN(G557)), 1)), _xlfn.SEQUENCE(LEN(G557)))) - 1)</f>
        <v>NR</v>
      </c>
      <c r="J557" s="129" t="str">
        <f>_xlfn.XLOOKUP(H557,'GK IFT SDM POSTCODES'!A:A,'GK IFT SDM POSTCODES'!B:B,"")</f>
        <v>Adam Reditt</v>
      </c>
      <c r="K557" s="129"/>
    </row>
    <row r="558" spans="1:11" ht="17.25" x14ac:dyDescent="0.35">
      <c r="A558" s="134" t="s">
        <v>3902</v>
      </c>
      <c r="B558" s="134" t="s">
        <v>3916</v>
      </c>
      <c r="C558" s="134" t="s">
        <v>3858</v>
      </c>
      <c r="D558" s="129"/>
      <c r="E558" s="134" t="s">
        <v>255</v>
      </c>
      <c r="F558" s="134" t="s">
        <v>55</v>
      </c>
      <c r="G558" s="134" t="s">
        <v>191</v>
      </c>
      <c r="H558" s="131" t="str">
        <f t="shared" si="8"/>
        <v>NR14</v>
      </c>
      <c r="I558" s="131" t="str" cm="1">
        <f t="array" ref="I558">LEFT(G558, MIN(IF(ISNUMBER(--MID(G558, _xlfn.SEQUENCE(LEN(G558)), 1)), _xlfn.SEQUENCE(LEN(G558)))) - 1)</f>
        <v>NR</v>
      </c>
      <c r="J558" s="134" t="s">
        <v>3986</v>
      </c>
      <c r="K558" s="129"/>
    </row>
    <row r="559" spans="1:11" ht="21" x14ac:dyDescent="0.35">
      <c r="A559" s="130" t="s">
        <v>4065</v>
      </c>
      <c r="B559" s="127" t="s">
        <v>192</v>
      </c>
      <c r="C559" s="127" t="s">
        <v>425</v>
      </c>
      <c r="D559" s="133"/>
      <c r="E559" s="127" t="s">
        <v>255</v>
      </c>
      <c r="F559" s="133"/>
      <c r="G559" s="127" t="s">
        <v>193</v>
      </c>
      <c r="H559" s="131" t="str">
        <f t="shared" si="8"/>
        <v>NR14</v>
      </c>
      <c r="I559" s="131" t="str" cm="1">
        <f t="array" ref="I559">LEFT(G559, MIN(IF(ISNUMBER(--MID(G559, _xlfn.SEQUENCE(LEN(G559)), 1)), _xlfn.SEQUENCE(LEN(G559)))) - 1)</f>
        <v>NR</v>
      </c>
      <c r="J559" s="127" t="s">
        <v>4070</v>
      </c>
      <c r="K559" s="129"/>
    </row>
    <row r="560" spans="1:11" ht="17.25" x14ac:dyDescent="0.35">
      <c r="A560" s="131" t="s">
        <v>4160</v>
      </c>
      <c r="B560" s="128" t="s">
        <v>4375</v>
      </c>
      <c r="C560" s="129"/>
      <c r="D560" s="129"/>
      <c r="E560" s="129"/>
      <c r="F560" s="129"/>
      <c r="G560" s="128" t="s">
        <v>4664</v>
      </c>
      <c r="H560" s="131" t="str">
        <f t="shared" si="8"/>
        <v>NR14</v>
      </c>
      <c r="I560" s="131" t="str" cm="1">
        <f t="array" ref="I560">LEFT(G560, MIN(IF(ISNUMBER(--MID(G560, _xlfn.SEQUENCE(LEN(G560)), 1)), _xlfn.SEQUENCE(LEN(G560)))) - 1)</f>
        <v>NR</v>
      </c>
      <c r="J560" s="129" t="str">
        <f>_xlfn.XLOOKUP(H560,'GK IFT SDM POSTCODES'!A:A,'GK IFT SDM POSTCODES'!B:B,"")</f>
        <v>Adam Reditt</v>
      </c>
      <c r="K560" s="129"/>
    </row>
    <row r="561" spans="1:11" ht="17.25" x14ac:dyDescent="0.35">
      <c r="A561" s="131" t="s">
        <v>4160</v>
      </c>
      <c r="B561" s="136" t="s">
        <v>4496</v>
      </c>
      <c r="C561" s="129"/>
      <c r="D561" s="129"/>
      <c r="E561" s="129"/>
      <c r="F561" s="129"/>
      <c r="G561" s="136" t="s">
        <v>4737</v>
      </c>
      <c r="H561" s="131" t="str">
        <f t="shared" si="8"/>
        <v>NR14</v>
      </c>
      <c r="I561" s="131" t="str" cm="1">
        <f t="array" ref="I561">LEFT(G561, MIN(IF(ISNUMBER(--MID(G561, _xlfn.SEQUENCE(LEN(G561)), 1)), _xlfn.SEQUENCE(LEN(G561)))) - 1)</f>
        <v>NR</v>
      </c>
      <c r="J561" s="129" t="str">
        <f>_xlfn.XLOOKUP(H561,'GK IFT SDM POSTCODES'!A:A,'GK IFT SDM POSTCODES'!B:B,"")</f>
        <v>Adam Reditt</v>
      </c>
      <c r="K561" s="129"/>
    </row>
    <row r="562" spans="1:11" ht="17.25" x14ac:dyDescent="0.35">
      <c r="A562" s="129" t="s">
        <v>498</v>
      </c>
      <c r="B562" s="137" t="s">
        <v>5235</v>
      </c>
      <c r="C562" s="137" t="s">
        <v>5236</v>
      </c>
      <c r="D562" s="129"/>
      <c r="E562" s="137" t="s">
        <v>255</v>
      </c>
      <c r="F562" s="129"/>
      <c r="G562" s="137" t="s">
        <v>5185</v>
      </c>
      <c r="H562" s="131" t="str">
        <f t="shared" si="8"/>
        <v>NR14</v>
      </c>
      <c r="I562" s="131" t="str" cm="1">
        <f t="array" ref="I562">LEFT(G562, MIN(IF(ISNUMBER(--MID(G562, _xlfn.SEQUENCE(LEN(G562)), 1)), _xlfn.SEQUENCE(LEN(G562)))) - 1)</f>
        <v>NR</v>
      </c>
      <c r="J562" s="137" t="s">
        <v>5148</v>
      </c>
      <c r="K562" s="129"/>
    </row>
    <row r="563" spans="1:11" ht="17.25" x14ac:dyDescent="0.35">
      <c r="A563" s="131" t="s">
        <v>4160</v>
      </c>
      <c r="B563" s="136" t="s">
        <v>4510</v>
      </c>
      <c r="C563" s="129"/>
      <c r="D563" s="129"/>
      <c r="E563" s="129"/>
      <c r="F563" s="129"/>
      <c r="G563" s="136" t="s">
        <v>4751</v>
      </c>
      <c r="H563" s="131" t="str">
        <f t="shared" si="8"/>
        <v>NR14</v>
      </c>
      <c r="I563" s="131" t="str" cm="1">
        <f t="array" ref="I563">LEFT(G563, MIN(IF(ISNUMBER(--MID(G563, _xlfn.SEQUENCE(LEN(G563)), 1)), _xlfn.SEQUENCE(LEN(G563)))) - 1)</f>
        <v>NR</v>
      </c>
      <c r="J563" s="129" t="str">
        <f>_xlfn.XLOOKUP(H563,'GK IFT SDM POSTCODES'!A:A,'GK IFT SDM POSTCODES'!B:B,"")</f>
        <v>Adam Reditt</v>
      </c>
      <c r="K563" s="129"/>
    </row>
    <row r="564" spans="1:11" ht="21" x14ac:dyDescent="0.35">
      <c r="A564" s="130" t="s">
        <v>4065</v>
      </c>
      <c r="B564" s="127" t="s">
        <v>2679</v>
      </c>
      <c r="C564" s="127" t="s">
        <v>4086</v>
      </c>
      <c r="D564" s="133"/>
      <c r="E564" s="127" t="s">
        <v>255</v>
      </c>
      <c r="F564" s="133"/>
      <c r="G564" s="127" t="s">
        <v>4072</v>
      </c>
      <c r="H564" s="131" t="str">
        <f t="shared" si="8"/>
        <v>NR14</v>
      </c>
      <c r="I564" s="131" t="str" cm="1">
        <f t="array" ref="I564">LEFT(G564, MIN(IF(ISNUMBER(--MID(G564, _xlfn.SEQUENCE(LEN(G564)), 1)), _xlfn.SEQUENCE(LEN(G564)))) - 1)</f>
        <v>NR</v>
      </c>
      <c r="J564" s="127" t="s">
        <v>4070</v>
      </c>
      <c r="K564" s="129"/>
    </row>
    <row r="565" spans="1:11" ht="17.25" x14ac:dyDescent="0.35">
      <c r="A565" s="131" t="s">
        <v>4160</v>
      </c>
      <c r="B565" s="128" t="s">
        <v>4456</v>
      </c>
      <c r="C565" s="129"/>
      <c r="D565" s="129"/>
      <c r="E565" s="129"/>
      <c r="F565" s="129"/>
      <c r="G565" s="128" t="s">
        <v>4715</v>
      </c>
      <c r="H565" s="131" t="str">
        <f t="shared" si="8"/>
        <v>NR14</v>
      </c>
      <c r="I565" s="131" t="str" cm="1">
        <f t="array" ref="I565">LEFT(G565, MIN(IF(ISNUMBER(--MID(G565, _xlfn.SEQUENCE(LEN(G565)), 1)), _xlfn.SEQUENCE(LEN(G565)))) - 1)</f>
        <v>NR</v>
      </c>
      <c r="J565" s="129" t="str">
        <f>_xlfn.XLOOKUP(H565,'GK IFT SDM POSTCODES'!A:A,'GK IFT SDM POSTCODES'!B:B,"")</f>
        <v>Adam Reditt</v>
      </c>
      <c r="K565" s="129"/>
    </row>
    <row r="566" spans="1:11" ht="17.25" x14ac:dyDescent="0.35">
      <c r="A566" s="131" t="s">
        <v>4160</v>
      </c>
      <c r="B566" s="128" t="s">
        <v>4480</v>
      </c>
      <c r="C566" s="129"/>
      <c r="D566" s="129"/>
      <c r="E566" s="129"/>
      <c r="F566" s="129"/>
      <c r="G566" s="128" t="s">
        <v>4729</v>
      </c>
      <c r="H566" s="131" t="str">
        <f t="shared" si="8"/>
        <v>NR14</v>
      </c>
      <c r="I566" s="131" t="str" cm="1">
        <f t="array" ref="I566">LEFT(G566, MIN(IF(ISNUMBER(--MID(G566, _xlfn.SEQUENCE(LEN(G566)), 1)), _xlfn.SEQUENCE(LEN(G566)))) - 1)</f>
        <v>NR</v>
      </c>
      <c r="J566" s="129" t="str">
        <f>_xlfn.XLOOKUP(H566,'GK IFT SDM POSTCODES'!A:A,'GK IFT SDM POSTCODES'!B:B,"")</f>
        <v>Adam Reditt</v>
      </c>
      <c r="K566" s="129"/>
    </row>
    <row r="567" spans="1:11" ht="17.25" x14ac:dyDescent="0.35">
      <c r="A567" s="134" t="s">
        <v>7</v>
      </c>
      <c r="B567" s="134" t="s">
        <v>3917</v>
      </c>
      <c r="C567" s="134" t="s">
        <v>3859</v>
      </c>
      <c r="D567" s="129"/>
      <c r="E567" s="134" t="s">
        <v>255</v>
      </c>
      <c r="F567" s="134" t="s">
        <v>55</v>
      </c>
      <c r="G567" s="134" t="s">
        <v>305</v>
      </c>
      <c r="H567" s="131" t="str">
        <f t="shared" si="8"/>
        <v>NR14</v>
      </c>
      <c r="I567" s="131" t="str" cm="1">
        <f t="array" ref="I567">LEFT(G567, MIN(IF(ISNUMBER(--MID(G567, _xlfn.SEQUENCE(LEN(G567)), 1)), _xlfn.SEQUENCE(LEN(G567)))) - 1)</f>
        <v>NR</v>
      </c>
      <c r="J567" s="134" t="s">
        <v>3987</v>
      </c>
      <c r="K567" s="129"/>
    </row>
    <row r="568" spans="1:11" ht="21" x14ac:dyDescent="0.35">
      <c r="A568" s="130" t="s">
        <v>4065</v>
      </c>
      <c r="B568" s="127" t="s">
        <v>192</v>
      </c>
      <c r="C568" s="127" t="s">
        <v>273</v>
      </c>
      <c r="D568" s="133"/>
      <c r="E568" s="127" t="s">
        <v>255</v>
      </c>
      <c r="F568" s="133"/>
      <c r="G568" s="127" t="s">
        <v>433</v>
      </c>
      <c r="H568" s="131" t="str">
        <f t="shared" si="8"/>
        <v>NR14</v>
      </c>
      <c r="I568" s="131" t="str" cm="1">
        <f t="array" ref="I568">LEFT(G568, MIN(IF(ISNUMBER(--MID(G568, _xlfn.SEQUENCE(LEN(G568)), 1)), _xlfn.SEQUENCE(LEN(G568)))) - 1)</f>
        <v>NR</v>
      </c>
      <c r="J568" s="127" t="s">
        <v>4070</v>
      </c>
      <c r="K568" s="129"/>
    </row>
    <row r="569" spans="1:11" ht="17.25" x14ac:dyDescent="0.35">
      <c r="A569" s="131" t="s">
        <v>4160</v>
      </c>
      <c r="B569" s="128" t="s">
        <v>4420</v>
      </c>
      <c r="C569" s="129"/>
      <c r="D569" s="129"/>
      <c r="E569" s="129"/>
      <c r="F569" s="129"/>
      <c r="G569" s="128" t="s">
        <v>4694</v>
      </c>
      <c r="H569" s="131" t="str">
        <f t="shared" si="8"/>
        <v>NR15</v>
      </c>
      <c r="I569" s="131" t="str" cm="1">
        <f t="array" ref="I569">LEFT(G569, MIN(IF(ISNUMBER(--MID(G569, _xlfn.SEQUENCE(LEN(G569)), 1)), _xlfn.SEQUENCE(LEN(G569)))) - 1)</f>
        <v>NR</v>
      </c>
      <c r="J569" s="129" t="str">
        <f>_xlfn.XLOOKUP(H569,'GK IFT SDM POSTCODES'!A:A,'GK IFT SDM POSTCODES'!B:B,"")</f>
        <v>Adam Reditt</v>
      </c>
      <c r="K569" s="129"/>
    </row>
    <row r="570" spans="1:11" ht="17.25" x14ac:dyDescent="0.35">
      <c r="A570" s="129" t="s">
        <v>498</v>
      </c>
      <c r="B570" s="137" t="s">
        <v>5239</v>
      </c>
      <c r="C570" s="137" t="s">
        <v>5240</v>
      </c>
      <c r="D570" s="129"/>
      <c r="E570" s="137" t="s">
        <v>5186</v>
      </c>
      <c r="F570" s="129"/>
      <c r="G570" s="137" t="s">
        <v>3616</v>
      </c>
      <c r="H570" s="131" t="str">
        <f t="shared" si="8"/>
        <v>NR15</v>
      </c>
      <c r="I570" s="131" t="str" cm="1">
        <f t="array" ref="I570">LEFT(G570, MIN(IF(ISNUMBER(--MID(G570, _xlfn.SEQUENCE(LEN(G570)), 1)), _xlfn.SEQUENCE(LEN(G570)))) - 1)</f>
        <v>NR</v>
      </c>
      <c r="J570" s="137" t="s">
        <v>5148</v>
      </c>
      <c r="K570" s="129"/>
    </row>
    <row r="571" spans="1:11" ht="17.25" x14ac:dyDescent="0.35">
      <c r="A571" s="129" t="s">
        <v>498</v>
      </c>
      <c r="B571" s="137" t="s">
        <v>5245</v>
      </c>
      <c r="C571" s="137" t="s">
        <v>5246</v>
      </c>
      <c r="D571" s="129"/>
      <c r="E571" s="137" t="s">
        <v>5187</v>
      </c>
      <c r="F571" s="129"/>
      <c r="G571" s="137" t="s">
        <v>3623</v>
      </c>
      <c r="H571" s="131" t="str">
        <f t="shared" si="8"/>
        <v>NR15</v>
      </c>
      <c r="I571" s="131" t="str" cm="1">
        <f t="array" ref="I571">LEFT(G571, MIN(IF(ISNUMBER(--MID(G571, _xlfn.SEQUENCE(LEN(G571)), 1)), _xlfn.SEQUENCE(LEN(G571)))) - 1)</f>
        <v>NR</v>
      </c>
      <c r="J571" s="137" t="s">
        <v>5148</v>
      </c>
      <c r="K571" s="129"/>
    </row>
    <row r="572" spans="1:11" ht="17.25" x14ac:dyDescent="0.35">
      <c r="A572" s="131" t="s">
        <v>4160</v>
      </c>
      <c r="B572" s="128" t="s">
        <v>4484</v>
      </c>
      <c r="C572" s="129"/>
      <c r="D572" s="129"/>
      <c r="E572" s="129"/>
      <c r="F572" s="129"/>
      <c r="G572" s="128" t="s">
        <v>4732</v>
      </c>
      <c r="H572" s="131" t="str">
        <f t="shared" si="8"/>
        <v>NR15</v>
      </c>
      <c r="I572" s="131" t="str" cm="1">
        <f t="array" ref="I572">LEFT(G572, MIN(IF(ISNUMBER(--MID(G572, _xlfn.SEQUENCE(LEN(G572)), 1)), _xlfn.SEQUENCE(LEN(G572)))) - 1)</f>
        <v>NR</v>
      </c>
      <c r="J572" s="129" t="str">
        <f>_xlfn.XLOOKUP(H572,'GK IFT SDM POSTCODES'!A:A,'GK IFT SDM POSTCODES'!B:B,"")</f>
        <v>Adam Reditt</v>
      </c>
      <c r="K572" s="129"/>
    </row>
    <row r="573" spans="1:11" ht="17.25" x14ac:dyDescent="0.35">
      <c r="A573" s="131" t="s">
        <v>4160</v>
      </c>
      <c r="B573" s="128" t="s">
        <v>4429</v>
      </c>
      <c r="C573" s="129"/>
      <c r="D573" s="129"/>
      <c r="E573" s="129"/>
      <c r="F573" s="129"/>
      <c r="G573" s="128" t="s">
        <v>4698</v>
      </c>
      <c r="H573" s="131" t="str">
        <f t="shared" si="8"/>
        <v>NR15</v>
      </c>
      <c r="I573" s="131" t="str" cm="1">
        <f t="array" ref="I573">LEFT(G573, MIN(IF(ISNUMBER(--MID(G573, _xlfn.SEQUENCE(LEN(G573)), 1)), _xlfn.SEQUENCE(LEN(G573)))) - 1)</f>
        <v>NR</v>
      </c>
      <c r="J573" s="129" t="str">
        <f>_xlfn.XLOOKUP(H573,'GK IFT SDM POSTCODES'!A:A,'GK IFT SDM POSTCODES'!B:B,"")</f>
        <v>Adam Reditt</v>
      </c>
      <c r="K573" s="129"/>
    </row>
    <row r="574" spans="1:11" ht="17.25" x14ac:dyDescent="0.35">
      <c r="A574" s="131" t="s">
        <v>4160</v>
      </c>
      <c r="B574" s="128" t="s">
        <v>4376</v>
      </c>
      <c r="C574" s="129"/>
      <c r="D574" s="129"/>
      <c r="E574" s="129"/>
      <c r="F574" s="129"/>
      <c r="G574" s="128" t="s">
        <v>4665</v>
      </c>
      <c r="H574" s="131" t="str">
        <f t="shared" si="8"/>
        <v>NR15</v>
      </c>
      <c r="I574" s="131" t="str" cm="1">
        <f t="array" ref="I574">LEFT(G574, MIN(IF(ISNUMBER(--MID(G574, _xlfn.SEQUENCE(LEN(G574)), 1)), _xlfn.SEQUENCE(LEN(G574)))) - 1)</f>
        <v>NR</v>
      </c>
      <c r="J574" s="129" t="str">
        <f>_xlfn.XLOOKUP(H574,'GK IFT SDM POSTCODES'!A:A,'GK IFT SDM POSTCODES'!B:B,"")</f>
        <v>Adam Reditt</v>
      </c>
      <c r="K574" s="129"/>
    </row>
    <row r="575" spans="1:11" ht="17.25" x14ac:dyDescent="0.35">
      <c r="A575" s="131" t="s">
        <v>4160</v>
      </c>
      <c r="B575" s="128" t="s">
        <v>4471</v>
      </c>
      <c r="C575" s="129"/>
      <c r="D575" s="129"/>
      <c r="E575" s="129"/>
      <c r="F575" s="129"/>
      <c r="G575" s="128" t="s">
        <v>4724</v>
      </c>
      <c r="H575" s="131" t="str">
        <f t="shared" si="8"/>
        <v>NR16</v>
      </c>
      <c r="I575" s="131" t="str" cm="1">
        <f t="array" ref="I575">LEFT(G575, MIN(IF(ISNUMBER(--MID(G575, _xlfn.SEQUENCE(LEN(G575)), 1)), _xlfn.SEQUENCE(LEN(G575)))) - 1)</f>
        <v>NR</v>
      </c>
      <c r="J575" s="129" t="str">
        <f>_xlfn.XLOOKUP(H575,'GK IFT SDM POSTCODES'!A:A,'GK IFT SDM POSTCODES'!B:B,"")</f>
        <v>Adam Reditt</v>
      </c>
      <c r="K575" s="129"/>
    </row>
    <row r="576" spans="1:11" ht="17.25" x14ac:dyDescent="0.35">
      <c r="A576" s="131" t="s">
        <v>4160</v>
      </c>
      <c r="B576" s="128" t="s">
        <v>4177</v>
      </c>
      <c r="C576" s="129"/>
      <c r="D576" s="129"/>
      <c r="E576" s="129"/>
      <c r="F576" s="129"/>
      <c r="G576" s="128" t="s">
        <v>4532</v>
      </c>
      <c r="H576" s="131" t="str">
        <f t="shared" si="8"/>
        <v>NR16</v>
      </c>
      <c r="I576" s="131" t="str" cm="1">
        <f t="array" ref="I576">LEFT(G576, MIN(IF(ISNUMBER(--MID(G576, _xlfn.SEQUENCE(LEN(G576)), 1)), _xlfn.SEQUENCE(LEN(G576)))) - 1)</f>
        <v>NR</v>
      </c>
      <c r="J576" s="129" t="str">
        <f>_xlfn.XLOOKUP(H576,'GK IFT SDM POSTCODES'!A:A,'GK IFT SDM POSTCODES'!B:B,"")</f>
        <v>Adam Reditt</v>
      </c>
      <c r="K576" s="129"/>
    </row>
    <row r="577" spans="1:11" ht="17.25" x14ac:dyDescent="0.35">
      <c r="A577" s="131" t="s">
        <v>4160</v>
      </c>
      <c r="B577" s="128" t="s">
        <v>4206</v>
      </c>
      <c r="C577" s="129"/>
      <c r="D577" s="129"/>
      <c r="E577" s="129"/>
      <c r="F577" s="129"/>
      <c r="G577" s="128" t="s">
        <v>4552</v>
      </c>
      <c r="H577" s="131" t="str">
        <f t="shared" si="8"/>
        <v>NR16</v>
      </c>
      <c r="I577" s="131" t="str" cm="1">
        <f t="array" ref="I577">LEFT(G577, MIN(IF(ISNUMBER(--MID(G577, _xlfn.SEQUENCE(LEN(G577)), 1)), _xlfn.SEQUENCE(LEN(G577)))) - 1)</f>
        <v>NR</v>
      </c>
      <c r="J577" s="129" t="str">
        <f>_xlfn.XLOOKUP(H577,'GK IFT SDM POSTCODES'!A:A,'GK IFT SDM POSTCODES'!B:B,"")</f>
        <v>Adam Reditt</v>
      </c>
      <c r="K577" s="129"/>
    </row>
    <row r="578" spans="1:11" ht="17.25" x14ac:dyDescent="0.35">
      <c r="A578" s="134" t="s">
        <v>7</v>
      </c>
      <c r="B578" s="134" t="s">
        <v>3918</v>
      </c>
      <c r="C578" s="134" t="s">
        <v>3860</v>
      </c>
      <c r="D578" s="129"/>
      <c r="E578" s="134" t="s">
        <v>255</v>
      </c>
      <c r="F578" s="134" t="s">
        <v>55</v>
      </c>
      <c r="G578" s="134" t="s">
        <v>430</v>
      </c>
      <c r="H578" s="131" t="str">
        <f t="shared" ref="H578:H641" si="9">_xlfn.TEXTBEFORE(G578," ")</f>
        <v>NR16</v>
      </c>
      <c r="I578" s="131" t="str" cm="1">
        <f t="array" ref="I578">LEFT(G578, MIN(IF(ISNUMBER(--MID(G578, _xlfn.SEQUENCE(LEN(G578)), 1)), _xlfn.SEQUENCE(LEN(G578)))) - 1)</f>
        <v>NR</v>
      </c>
      <c r="J578" s="134" t="s">
        <v>3801</v>
      </c>
      <c r="K578" s="129"/>
    </row>
    <row r="579" spans="1:11" ht="17.25" x14ac:dyDescent="0.35">
      <c r="A579" s="131" t="s">
        <v>4160</v>
      </c>
      <c r="B579" s="128" t="s">
        <v>4349</v>
      </c>
      <c r="C579" s="129"/>
      <c r="D579" s="129"/>
      <c r="E579" s="129"/>
      <c r="F579" s="129"/>
      <c r="G579" s="128" t="s">
        <v>430</v>
      </c>
      <c r="H579" s="131" t="str">
        <f t="shared" si="9"/>
        <v>NR16</v>
      </c>
      <c r="I579" s="131" t="str" cm="1">
        <f t="array" ref="I579">LEFT(G579, MIN(IF(ISNUMBER(--MID(G579, _xlfn.SEQUENCE(LEN(G579)), 1)), _xlfn.SEQUENCE(LEN(G579)))) - 1)</f>
        <v>NR</v>
      </c>
      <c r="J579" s="129" t="str">
        <f>_xlfn.XLOOKUP(H579,'GK IFT SDM POSTCODES'!A:A,'GK IFT SDM POSTCODES'!B:B,"")</f>
        <v>Adam Reditt</v>
      </c>
      <c r="K579" s="129"/>
    </row>
    <row r="580" spans="1:11" ht="17.25" x14ac:dyDescent="0.35">
      <c r="A580" s="131" t="s">
        <v>4160</v>
      </c>
      <c r="B580" s="128" t="s">
        <v>4385</v>
      </c>
      <c r="C580" s="129"/>
      <c r="D580" s="129"/>
      <c r="E580" s="129"/>
      <c r="F580" s="129"/>
      <c r="G580" s="128" t="s">
        <v>3636</v>
      </c>
      <c r="H580" s="131" t="str">
        <f t="shared" si="9"/>
        <v>NR16</v>
      </c>
      <c r="I580" s="131" t="str" cm="1">
        <f t="array" ref="I580">LEFT(G580, MIN(IF(ISNUMBER(--MID(G580, _xlfn.SEQUENCE(LEN(G580)), 1)), _xlfn.SEQUENCE(LEN(G580)))) - 1)</f>
        <v>NR</v>
      </c>
      <c r="J580" s="129" t="str">
        <f>_xlfn.XLOOKUP(H580,'GK IFT SDM POSTCODES'!A:A,'GK IFT SDM POSTCODES'!B:B,"")</f>
        <v>Adam Reditt</v>
      </c>
      <c r="K580" s="129"/>
    </row>
    <row r="581" spans="1:11" ht="17.25" x14ac:dyDescent="0.35">
      <c r="A581" s="131" t="s">
        <v>4160</v>
      </c>
      <c r="B581" s="128" t="s">
        <v>4168</v>
      </c>
      <c r="C581" s="129"/>
      <c r="D581" s="129"/>
      <c r="E581" s="129"/>
      <c r="F581" s="129"/>
      <c r="G581" s="128" t="s">
        <v>4524</v>
      </c>
      <c r="H581" s="131" t="str">
        <f t="shared" si="9"/>
        <v>NR16</v>
      </c>
      <c r="I581" s="131" t="str" cm="1">
        <f t="array" ref="I581">LEFT(G581, MIN(IF(ISNUMBER(--MID(G581, _xlfn.SEQUENCE(LEN(G581)), 1)), _xlfn.SEQUENCE(LEN(G581)))) - 1)</f>
        <v>NR</v>
      </c>
      <c r="J581" s="129" t="str">
        <f>_xlfn.XLOOKUP(H581,'GK IFT SDM POSTCODES'!A:A,'GK IFT SDM POSTCODES'!B:B,"")</f>
        <v>Adam Reditt</v>
      </c>
      <c r="K581" s="129"/>
    </row>
    <row r="582" spans="1:11" ht="17.25" x14ac:dyDescent="0.35">
      <c r="A582" s="131" t="s">
        <v>4160</v>
      </c>
      <c r="B582" s="128" t="s">
        <v>4246</v>
      </c>
      <c r="C582" s="129"/>
      <c r="D582" s="129"/>
      <c r="E582" s="129"/>
      <c r="F582" s="129"/>
      <c r="G582" s="128" t="s">
        <v>431</v>
      </c>
      <c r="H582" s="131" t="str">
        <f t="shared" si="9"/>
        <v>NR16</v>
      </c>
      <c r="I582" s="131" t="str" cm="1">
        <f t="array" ref="I582">LEFT(G582, MIN(IF(ISNUMBER(--MID(G582, _xlfn.SEQUENCE(LEN(G582)), 1)), _xlfn.SEQUENCE(LEN(G582)))) - 1)</f>
        <v>NR</v>
      </c>
      <c r="J582" s="129" t="str">
        <f>_xlfn.XLOOKUP(H582,'GK IFT SDM POSTCODES'!A:A,'GK IFT SDM POSTCODES'!B:B,"")</f>
        <v>Adam Reditt</v>
      </c>
      <c r="K582" s="129"/>
    </row>
    <row r="583" spans="1:11" ht="17.25" x14ac:dyDescent="0.35">
      <c r="A583" s="134" t="s">
        <v>7</v>
      </c>
      <c r="B583" s="134" t="s">
        <v>3919</v>
      </c>
      <c r="C583" s="134" t="s">
        <v>103</v>
      </c>
      <c r="D583" s="129"/>
      <c r="E583" s="134" t="s">
        <v>620</v>
      </c>
      <c r="F583" s="134" t="s">
        <v>55</v>
      </c>
      <c r="G583" s="134" t="s">
        <v>282</v>
      </c>
      <c r="H583" s="131" t="str">
        <f t="shared" si="9"/>
        <v>NR17</v>
      </c>
      <c r="I583" s="131" t="str" cm="1">
        <f t="array" ref="I583">LEFT(G583, MIN(IF(ISNUMBER(--MID(G583, _xlfn.SEQUENCE(LEN(G583)), 1)), _xlfn.SEQUENCE(LEN(G583)))) - 1)</f>
        <v>NR</v>
      </c>
      <c r="J583" s="134" t="s">
        <v>3801</v>
      </c>
      <c r="K583" s="129"/>
    </row>
    <row r="584" spans="1:11" ht="17.25" x14ac:dyDescent="0.35">
      <c r="A584" s="131" t="s">
        <v>4160</v>
      </c>
      <c r="B584" s="128" t="s">
        <v>4383</v>
      </c>
      <c r="C584" s="129"/>
      <c r="D584" s="129"/>
      <c r="E584" s="129"/>
      <c r="F584" s="129"/>
      <c r="G584" s="128" t="s">
        <v>4672</v>
      </c>
      <c r="H584" s="131" t="str">
        <f t="shared" si="9"/>
        <v>NR17</v>
      </c>
      <c r="I584" s="131" t="str" cm="1">
        <f t="array" ref="I584">LEFT(G584, MIN(IF(ISNUMBER(--MID(G584, _xlfn.SEQUENCE(LEN(G584)), 1)), _xlfn.SEQUENCE(LEN(G584)))) - 1)</f>
        <v>NR</v>
      </c>
      <c r="J584" s="129" t="str">
        <f>_xlfn.XLOOKUP(H584,'GK IFT SDM POSTCODES'!A:A,'GK IFT SDM POSTCODES'!B:B,"")</f>
        <v>Adam Reditt</v>
      </c>
      <c r="K584" s="129"/>
    </row>
    <row r="585" spans="1:11" ht="17.25" x14ac:dyDescent="0.35">
      <c r="A585" s="131" t="s">
        <v>4160</v>
      </c>
      <c r="B585" s="128" t="s">
        <v>4478</v>
      </c>
      <c r="C585" s="129"/>
      <c r="D585" s="129"/>
      <c r="E585" s="129"/>
      <c r="F585" s="129"/>
      <c r="G585" s="128" t="s">
        <v>4728</v>
      </c>
      <c r="H585" s="131" t="str">
        <f t="shared" si="9"/>
        <v>NR17</v>
      </c>
      <c r="I585" s="131" t="str" cm="1">
        <f t="array" ref="I585">LEFT(G585, MIN(IF(ISNUMBER(--MID(G585, _xlfn.SEQUENCE(LEN(G585)), 1)), _xlfn.SEQUENCE(LEN(G585)))) - 1)</f>
        <v>NR</v>
      </c>
      <c r="J585" s="129" t="str">
        <f>_xlfn.XLOOKUP(H585,'GK IFT SDM POSTCODES'!A:A,'GK IFT SDM POSTCODES'!B:B,"")</f>
        <v>Adam Reditt</v>
      </c>
      <c r="K585" s="129"/>
    </row>
    <row r="586" spans="1:11" ht="17.25" x14ac:dyDescent="0.35">
      <c r="A586" s="131" t="s">
        <v>4160</v>
      </c>
      <c r="B586" s="128" t="s">
        <v>4327</v>
      </c>
      <c r="C586" s="129"/>
      <c r="D586" s="129"/>
      <c r="E586" s="129"/>
      <c r="F586" s="129"/>
      <c r="G586" s="128" t="s">
        <v>291</v>
      </c>
      <c r="H586" s="131" t="str">
        <f t="shared" si="9"/>
        <v>NR17</v>
      </c>
      <c r="I586" s="131" t="str" cm="1">
        <f t="array" ref="I586">LEFT(G586, MIN(IF(ISNUMBER(--MID(G586, _xlfn.SEQUENCE(LEN(G586)), 1)), _xlfn.SEQUENCE(LEN(G586)))) - 1)</f>
        <v>NR</v>
      </c>
      <c r="J586" s="129" t="str">
        <f>_xlfn.XLOOKUP(H586,'GK IFT SDM POSTCODES'!A:A,'GK IFT SDM POSTCODES'!B:B,"")</f>
        <v>Adam Reditt</v>
      </c>
      <c r="K586" s="129"/>
    </row>
    <row r="587" spans="1:11" ht="17.25" x14ac:dyDescent="0.35">
      <c r="A587" s="131" t="s">
        <v>4160</v>
      </c>
      <c r="B587" s="128" t="s">
        <v>4224</v>
      </c>
      <c r="C587" s="129"/>
      <c r="D587" s="129"/>
      <c r="E587" s="129"/>
      <c r="F587" s="129"/>
      <c r="G587" s="128" t="s">
        <v>290</v>
      </c>
      <c r="H587" s="131" t="str">
        <f t="shared" si="9"/>
        <v>NR17</v>
      </c>
      <c r="I587" s="131" t="str" cm="1">
        <f t="array" ref="I587">LEFT(G587, MIN(IF(ISNUMBER(--MID(G587, _xlfn.SEQUENCE(LEN(G587)), 1)), _xlfn.SEQUENCE(LEN(G587)))) - 1)</f>
        <v>NR</v>
      </c>
      <c r="J587" s="129" t="str">
        <f>_xlfn.XLOOKUP(H587,'GK IFT SDM POSTCODES'!A:A,'GK IFT SDM POSTCODES'!B:B,"")</f>
        <v>Adam Reditt</v>
      </c>
      <c r="K587" s="129"/>
    </row>
    <row r="588" spans="1:11" ht="17.25" x14ac:dyDescent="0.35">
      <c r="A588" s="134" t="s">
        <v>7</v>
      </c>
      <c r="B588" s="134" t="s">
        <v>3920</v>
      </c>
      <c r="C588" s="134" t="s">
        <v>582</v>
      </c>
      <c r="D588" s="129"/>
      <c r="E588" s="134" t="s">
        <v>583</v>
      </c>
      <c r="F588" s="134" t="s">
        <v>55</v>
      </c>
      <c r="G588" s="134" t="s">
        <v>429</v>
      </c>
      <c r="H588" s="131" t="str">
        <f t="shared" si="9"/>
        <v>NR18</v>
      </c>
      <c r="I588" s="131" t="str" cm="1">
        <f t="array" ref="I588">LEFT(G588, MIN(IF(ISNUMBER(--MID(G588, _xlfn.SEQUENCE(LEN(G588)), 1)), _xlfn.SEQUENCE(LEN(G588)))) - 1)</f>
        <v>NR</v>
      </c>
      <c r="J588" s="134" t="s">
        <v>3801</v>
      </c>
      <c r="K588" s="129"/>
    </row>
    <row r="589" spans="1:11" ht="17.25" x14ac:dyDescent="0.35">
      <c r="A589" s="131" t="s">
        <v>4160</v>
      </c>
      <c r="B589" s="128" t="s">
        <v>4227</v>
      </c>
      <c r="C589" s="129"/>
      <c r="D589" s="129"/>
      <c r="E589" s="129"/>
      <c r="F589" s="129"/>
      <c r="G589" s="128" t="s">
        <v>4565</v>
      </c>
      <c r="H589" s="131" t="str">
        <f t="shared" si="9"/>
        <v>NR18</v>
      </c>
      <c r="I589" s="131" t="str" cm="1">
        <f t="array" ref="I589">LEFT(G589, MIN(IF(ISNUMBER(--MID(G589, _xlfn.SEQUENCE(LEN(G589)), 1)), _xlfn.SEQUENCE(LEN(G589)))) - 1)</f>
        <v>NR</v>
      </c>
      <c r="J589" s="129" t="str">
        <f>_xlfn.XLOOKUP(H589,'GK IFT SDM POSTCODES'!A:A,'GK IFT SDM POSTCODES'!B:B,"")</f>
        <v>Adam Reditt</v>
      </c>
      <c r="K589" s="129"/>
    </row>
    <row r="590" spans="1:11" ht="17.25" x14ac:dyDescent="0.35">
      <c r="A590" s="130" t="s">
        <v>3752</v>
      </c>
      <c r="B590" s="131" t="s">
        <v>3719</v>
      </c>
      <c r="C590" s="131" t="s">
        <v>3373</v>
      </c>
      <c r="D590" s="131" t="s">
        <v>583</v>
      </c>
      <c r="E590" s="131"/>
      <c r="F590" s="131" t="s">
        <v>55</v>
      </c>
      <c r="G590" s="131" t="s">
        <v>3720</v>
      </c>
      <c r="H590" s="131" t="str">
        <f t="shared" si="9"/>
        <v>NR18</v>
      </c>
      <c r="I590" s="131" t="str" cm="1">
        <f t="array" ref="I590">LEFT(G590, MIN(IF(ISNUMBER(--MID(G590, _xlfn.SEQUENCE(LEN(G590)), 1)), _xlfn.SEQUENCE(LEN(G590)))) - 1)</f>
        <v>NR</v>
      </c>
      <c r="J590" s="131" t="s">
        <v>3706</v>
      </c>
      <c r="K590" s="129"/>
    </row>
    <row r="591" spans="1:11" ht="17.25" x14ac:dyDescent="0.35">
      <c r="A591" s="129" t="s">
        <v>498</v>
      </c>
      <c r="B591" s="137" t="s">
        <v>5243</v>
      </c>
      <c r="C591" s="137" t="s">
        <v>5244</v>
      </c>
      <c r="D591" s="129"/>
      <c r="E591" s="137" t="s">
        <v>583</v>
      </c>
      <c r="F591" s="129"/>
      <c r="G591" s="137" t="s">
        <v>281</v>
      </c>
      <c r="H591" s="131" t="str">
        <f t="shared" si="9"/>
        <v>NR18</v>
      </c>
      <c r="I591" s="131" t="str" cm="1">
        <f t="array" ref="I591">LEFT(G591, MIN(IF(ISNUMBER(--MID(G591, _xlfn.SEQUENCE(LEN(G591)), 1)), _xlfn.SEQUENCE(LEN(G591)))) - 1)</f>
        <v>NR</v>
      </c>
      <c r="J591" s="137" t="s">
        <v>5148</v>
      </c>
      <c r="K591" s="129"/>
    </row>
    <row r="592" spans="1:11" ht="17.25" x14ac:dyDescent="0.35">
      <c r="A592" s="131" t="s">
        <v>4160</v>
      </c>
      <c r="B592" s="128" t="s">
        <v>4433</v>
      </c>
      <c r="C592" s="129"/>
      <c r="D592" s="129"/>
      <c r="E592" s="129"/>
      <c r="F592" s="129"/>
      <c r="G592" s="128" t="s">
        <v>185</v>
      </c>
      <c r="H592" s="131" t="str">
        <f t="shared" si="9"/>
        <v>NR19</v>
      </c>
      <c r="I592" s="131" t="str" cm="1">
        <f t="array" ref="I592">LEFT(G592, MIN(IF(ISNUMBER(--MID(G592, _xlfn.SEQUENCE(LEN(G592)), 1)), _xlfn.SEQUENCE(LEN(G592)))) - 1)</f>
        <v>NR</v>
      </c>
      <c r="J592" s="129" t="str">
        <f>_xlfn.XLOOKUP(H592,'GK IFT SDM POSTCODES'!A:A,'GK IFT SDM POSTCODES'!B:B,"")</f>
        <v>Adam Reditt</v>
      </c>
      <c r="K592" s="129"/>
    </row>
    <row r="593" spans="1:11" ht="17.25" x14ac:dyDescent="0.35">
      <c r="A593" s="131" t="s">
        <v>4160</v>
      </c>
      <c r="B593" s="128" t="s">
        <v>4214</v>
      </c>
      <c r="C593" s="129"/>
      <c r="D593" s="129"/>
      <c r="E593" s="129"/>
      <c r="F593" s="129"/>
      <c r="G593" s="128" t="s">
        <v>189</v>
      </c>
      <c r="H593" s="131" t="str">
        <f t="shared" si="9"/>
        <v>NR19</v>
      </c>
      <c r="I593" s="131" t="str" cm="1">
        <f t="array" ref="I593">LEFT(G593, MIN(IF(ISNUMBER(--MID(G593, _xlfn.SEQUENCE(LEN(G593)), 1)), _xlfn.SEQUENCE(LEN(G593)))) - 1)</f>
        <v>NR</v>
      </c>
      <c r="J593" s="129" t="str">
        <f>_xlfn.XLOOKUP(H593,'GK IFT SDM POSTCODES'!A:A,'GK IFT SDM POSTCODES'!B:B,"")</f>
        <v>Adam Reditt</v>
      </c>
      <c r="K593" s="129"/>
    </row>
    <row r="594" spans="1:11" ht="34.5" x14ac:dyDescent="0.35">
      <c r="A594" s="130" t="s">
        <v>3718</v>
      </c>
      <c r="B594" s="124" t="s">
        <v>198</v>
      </c>
      <c r="C594" s="131" t="s">
        <v>2781</v>
      </c>
      <c r="D594" s="131" t="s">
        <v>187</v>
      </c>
      <c r="E594" s="131"/>
      <c r="F594" s="131" t="s">
        <v>55</v>
      </c>
      <c r="G594" s="124" t="s">
        <v>108</v>
      </c>
      <c r="H594" s="131" t="str">
        <f t="shared" si="9"/>
        <v>NR19</v>
      </c>
      <c r="I594" s="131" t="str" cm="1">
        <f t="array" ref="I594">LEFT(G594, MIN(IF(ISNUMBER(--MID(G594, _xlfn.SEQUENCE(LEN(G594)), 1)), _xlfn.SEQUENCE(LEN(G594)))) - 1)</f>
        <v>NR</v>
      </c>
      <c r="J594" s="124" t="s">
        <v>3707</v>
      </c>
      <c r="K594" s="129"/>
    </row>
    <row r="595" spans="1:11" ht="17.25" x14ac:dyDescent="0.35">
      <c r="A595" s="134" t="s">
        <v>7</v>
      </c>
      <c r="B595" s="134" t="s">
        <v>3921</v>
      </c>
      <c r="C595" s="134" t="s">
        <v>547</v>
      </c>
      <c r="D595" s="129"/>
      <c r="E595" s="134" t="s">
        <v>187</v>
      </c>
      <c r="F595" s="134" t="s">
        <v>55</v>
      </c>
      <c r="G595" s="134" t="s">
        <v>107</v>
      </c>
      <c r="H595" s="131" t="str">
        <f t="shared" si="9"/>
        <v>NR19</v>
      </c>
      <c r="I595" s="131" t="str" cm="1">
        <f t="array" ref="I595">LEFT(G595, MIN(IF(ISNUMBER(--MID(G595, _xlfn.SEQUENCE(LEN(G595)), 1)), _xlfn.SEQUENCE(LEN(G595)))) - 1)</f>
        <v>NR</v>
      </c>
      <c r="J595" s="134" t="s">
        <v>3801</v>
      </c>
      <c r="K595" s="129"/>
    </row>
    <row r="596" spans="1:11" ht="17.25" x14ac:dyDescent="0.35">
      <c r="A596" s="131" t="s">
        <v>4160</v>
      </c>
      <c r="B596" s="128" t="s">
        <v>88</v>
      </c>
      <c r="C596" s="129"/>
      <c r="D596" s="129"/>
      <c r="E596" s="129"/>
      <c r="F596" s="129"/>
      <c r="G596" s="128" t="s">
        <v>186</v>
      </c>
      <c r="H596" s="131" t="str">
        <f t="shared" si="9"/>
        <v>NR19</v>
      </c>
      <c r="I596" s="131" t="str" cm="1">
        <f t="array" ref="I596">LEFT(G596, MIN(IF(ISNUMBER(--MID(G596, _xlfn.SEQUENCE(LEN(G596)), 1)), _xlfn.SEQUENCE(LEN(G596)))) - 1)</f>
        <v>NR</v>
      </c>
      <c r="J596" s="129" t="str">
        <f>_xlfn.XLOOKUP(H596,'GK IFT SDM POSTCODES'!A:A,'GK IFT SDM POSTCODES'!B:B,"")</f>
        <v>Adam Reditt</v>
      </c>
      <c r="K596" s="129"/>
    </row>
    <row r="597" spans="1:11" ht="17.25" x14ac:dyDescent="0.35">
      <c r="A597" s="134" t="s">
        <v>3902</v>
      </c>
      <c r="B597" s="134" t="s">
        <v>3922</v>
      </c>
      <c r="C597" s="134" t="s">
        <v>3861</v>
      </c>
      <c r="D597" s="129"/>
      <c r="E597" s="134" t="s">
        <v>187</v>
      </c>
      <c r="F597" s="134" t="s">
        <v>55</v>
      </c>
      <c r="G597" s="134" t="s">
        <v>443</v>
      </c>
      <c r="H597" s="131" t="str">
        <f t="shared" si="9"/>
        <v>NR19</v>
      </c>
      <c r="I597" s="131" t="str" cm="1">
        <f t="array" ref="I597">LEFT(G597, MIN(IF(ISNUMBER(--MID(G597, _xlfn.SEQUENCE(LEN(G597)), 1)), _xlfn.SEQUENCE(LEN(G597)))) - 1)</f>
        <v>NR</v>
      </c>
      <c r="J597" s="134" t="s">
        <v>3800</v>
      </c>
      <c r="K597" s="129"/>
    </row>
    <row r="598" spans="1:11" ht="17.25" x14ac:dyDescent="0.35">
      <c r="A598" s="131" t="s">
        <v>4160</v>
      </c>
      <c r="B598" s="128" t="s">
        <v>3691</v>
      </c>
      <c r="C598" s="129"/>
      <c r="D598" s="129"/>
      <c r="E598" s="129"/>
      <c r="F598" s="129"/>
      <c r="G598" s="128" t="s">
        <v>443</v>
      </c>
      <c r="H598" s="131" t="str">
        <f t="shared" si="9"/>
        <v>NR19</v>
      </c>
      <c r="I598" s="131" t="str" cm="1">
        <f t="array" ref="I598">LEFT(G598, MIN(IF(ISNUMBER(--MID(G598, _xlfn.SEQUENCE(LEN(G598)), 1)), _xlfn.SEQUENCE(LEN(G598)))) - 1)</f>
        <v>NR</v>
      </c>
      <c r="J598" s="129" t="str">
        <f>_xlfn.XLOOKUP(H598,'GK IFT SDM POSTCODES'!A:A,'GK IFT SDM POSTCODES'!B:B,"")</f>
        <v>Adam Reditt</v>
      </c>
      <c r="K598" s="129"/>
    </row>
    <row r="599" spans="1:11" ht="17.25" x14ac:dyDescent="0.35">
      <c r="A599" s="131" t="s">
        <v>4160</v>
      </c>
      <c r="B599" s="128" t="s">
        <v>4235</v>
      </c>
      <c r="C599" s="129"/>
      <c r="D599" s="129"/>
      <c r="E599" s="129"/>
      <c r="F599" s="129"/>
      <c r="G599" s="128" t="s">
        <v>188</v>
      </c>
      <c r="H599" s="131" t="str">
        <f t="shared" si="9"/>
        <v>NR19</v>
      </c>
      <c r="I599" s="131" t="str" cm="1">
        <f t="array" ref="I599">LEFT(G599, MIN(IF(ISNUMBER(--MID(G599, _xlfn.SEQUENCE(LEN(G599)), 1)), _xlfn.SEQUENCE(LEN(G599)))) - 1)</f>
        <v>NR</v>
      </c>
      <c r="J599" s="129" t="str">
        <f>_xlfn.XLOOKUP(H599,'GK IFT SDM POSTCODES'!A:A,'GK IFT SDM POSTCODES'!B:B,"")</f>
        <v>Adam Reditt</v>
      </c>
      <c r="K599" s="129"/>
    </row>
    <row r="600" spans="1:11" ht="17.25" x14ac:dyDescent="0.35">
      <c r="A600" s="131" t="s">
        <v>4160</v>
      </c>
      <c r="B600" s="128" t="s">
        <v>4209</v>
      </c>
      <c r="C600" s="129"/>
      <c r="D600" s="129"/>
      <c r="E600" s="129"/>
      <c r="F600" s="129"/>
      <c r="G600" s="128" t="s">
        <v>190</v>
      </c>
      <c r="H600" s="131" t="str">
        <f t="shared" si="9"/>
        <v>NR19</v>
      </c>
      <c r="I600" s="131" t="str" cm="1">
        <f t="array" ref="I600">LEFT(G600, MIN(IF(ISNUMBER(--MID(G600, _xlfn.SEQUENCE(LEN(G600)), 1)), _xlfn.SEQUENCE(LEN(G600)))) - 1)</f>
        <v>NR</v>
      </c>
      <c r="J600" s="129" t="str">
        <f>_xlfn.XLOOKUP(H600,'GK IFT SDM POSTCODES'!A:A,'GK IFT SDM POSTCODES'!B:B,"")</f>
        <v>Adam Reditt</v>
      </c>
      <c r="K600" s="129"/>
    </row>
    <row r="601" spans="1:11" ht="17.25" x14ac:dyDescent="0.35">
      <c r="A601" s="131" t="s">
        <v>4160</v>
      </c>
      <c r="B601" s="128" t="s">
        <v>4462</v>
      </c>
      <c r="C601" s="129"/>
      <c r="D601" s="129"/>
      <c r="E601" s="129"/>
      <c r="F601" s="129"/>
      <c r="G601" s="128" t="s">
        <v>399</v>
      </c>
      <c r="H601" s="131" t="str">
        <f t="shared" si="9"/>
        <v>NR19</v>
      </c>
      <c r="I601" s="131" t="str" cm="1">
        <f t="array" ref="I601">LEFT(G601, MIN(IF(ISNUMBER(--MID(G601, _xlfn.SEQUENCE(LEN(G601)), 1)), _xlfn.SEQUENCE(LEN(G601)))) - 1)</f>
        <v>NR</v>
      </c>
      <c r="J601" s="129" t="str">
        <f>_xlfn.XLOOKUP(H601,'GK IFT SDM POSTCODES'!A:A,'GK IFT SDM POSTCODES'!B:B,"")</f>
        <v>Adam Reditt</v>
      </c>
      <c r="K601" s="129"/>
    </row>
    <row r="602" spans="1:11" ht="21" x14ac:dyDescent="0.35">
      <c r="A602" s="130" t="s">
        <v>4065</v>
      </c>
      <c r="B602" s="127" t="s">
        <v>3473</v>
      </c>
      <c r="C602" s="127" t="s">
        <v>3474</v>
      </c>
      <c r="D602" s="133"/>
      <c r="E602" s="127" t="s">
        <v>255</v>
      </c>
      <c r="F602" s="133"/>
      <c r="G602" s="127" t="s">
        <v>924</v>
      </c>
      <c r="H602" s="131" t="str">
        <f t="shared" si="9"/>
        <v>NR2</v>
      </c>
      <c r="I602" s="131" t="str" cm="1">
        <f t="array" ref="I602">LEFT(G602, MIN(IF(ISNUMBER(--MID(G602, _xlfn.SEQUENCE(LEN(G602)), 1)), _xlfn.SEQUENCE(LEN(G602)))) - 1)</f>
        <v>NR</v>
      </c>
      <c r="J602" s="127" t="s">
        <v>4070</v>
      </c>
      <c r="K602" s="129"/>
    </row>
    <row r="603" spans="1:11" ht="17.25" x14ac:dyDescent="0.35">
      <c r="A603" s="131" t="s">
        <v>4160</v>
      </c>
      <c r="B603" s="128" t="s">
        <v>4305</v>
      </c>
      <c r="C603" s="129"/>
      <c r="D603" s="129"/>
      <c r="E603" s="129"/>
      <c r="F603" s="129"/>
      <c r="G603" s="128" t="s">
        <v>924</v>
      </c>
      <c r="H603" s="131" t="str">
        <f t="shared" si="9"/>
        <v>NR2</v>
      </c>
      <c r="I603" s="131" t="str" cm="1">
        <f t="array" ref="I603">LEFT(G603, MIN(IF(ISNUMBER(--MID(G603, _xlfn.SEQUENCE(LEN(G603)), 1)), _xlfn.SEQUENCE(LEN(G603)))) - 1)</f>
        <v>NR</v>
      </c>
      <c r="J603" s="129" t="str">
        <f>_xlfn.XLOOKUP(H603,'GK IFT SDM POSTCODES'!A:A,'GK IFT SDM POSTCODES'!B:B,"")</f>
        <v>Adam Reditt</v>
      </c>
      <c r="K603" s="129"/>
    </row>
    <row r="604" spans="1:11" ht="17.25" x14ac:dyDescent="0.35">
      <c r="A604" s="131" t="s">
        <v>4160</v>
      </c>
      <c r="B604" s="128" t="s">
        <v>4201</v>
      </c>
      <c r="C604" s="129"/>
      <c r="D604" s="129"/>
      <c r="E604" s="129"/>
      <c r="F604" s="129"/>
      <c r="G604" s="128" t="s">
        <v>4547</v>
      </c>
      <c r="H604" s="131" t="str">
        <f t="shared" si="9"/>
        <v>NR2</v>
      </c>
      <c r="I604" s="131" t="str" cm="1">
        <f t="array" ref="I604">LEFT(G604, MIN(IF(ISNUMBER(--MID(G604, _xlfn.SEQUENCE(LEN(G604)), 1)), _xlfn.SEQUENCE(LEN(G604)))) - 1)</f>
        <v>NR</v>
      </c>
      <c r="J604" s="129" t="str">
        <f>_xlfn.XLOOKUP(H604,'GK IFT SDM POSTCODES'!A:A,'GK IFT SDM POSTCODES'!B:B,"")</f>
        <v>Adam Reditt</v>
      </c>
      <c r="K604" s="129"/>
    </row>
    <row r="605" spans="1:11" ht="17.25" x14ac:dyDescent="0.35">
      <c r="A605" s="131" t="s">
        <v>4160</v>
      </c>
      <c r="B605" s="128" t="s">
        <v>4443</v>
      </c>
      <c r="C605" s="129"/>
      <c r="D605" s="129"/>
      <c r="E605" s="129"/>
      <c r="F605" s="129"/>
      <c r="G605" s="128" t="s">
        <v>340</v>
      </c>
      <c r="H605" s="131" t="str">
        <f t="shared" si="9"/>
        <v>NR2</v>
      </c>
      <c r="I605" s="131" t="str" cm="1">
        <f t="array" ref="I605">LEFT(G605, MIN(IF(ISNUMBER(--MID(G605, _xlfn.SEQUENCE(LEN(G605)), 1)), _xlfn.SEQUENCE(LEN(G605)))) - 1)</f>
        <v>NR</v>
      </c>
      <c r="J605" s="129" t="str">
        <f>_xlfn.XLOOKUP(H605,'GK IFT SDM POSTCODES'!A:A,'GK IFT SDM POSTCODES'!B:B,"")</f>
        <v>Adam Reditt</v>
      </c>
      <c r="K605" s="129"/>
    </row>
    <row r="606" spans="1:11" ht="17.25" x14ac:dyDescent="0.35">
      <c r="A606" s="130" t="s">
        <v>3718</v>
      </c>
      <c r="B606" s="124" t="s">
        <v>3374</v>
      </c>
      <c r="C606" s="131" t="s">
        <v>3375</v>
      </c>
      <c r="D606" s="131" t="s">
        <v>255</v>
      </c>
      <c r="E606" s="131"/>
      <c r="F606" s="131" t="s">
        <v>55</v>
      </c>
      <c r="G606" s="124" t="s">
        <v>244</v>
      </c>
      <c r="H606" s="131" t="str">
        <f t="shared" si="9"/>
        <v>NR2</v>
      </c>
      <c r="I606" s="131" t="str" cm="1">
        <f t="array" ref="I606">LEFT(G606, MIN(IF(ISNUMBER(--MID(G606, _xlfn.SEQUENCE(LEN(G606)), 1)), _xlfn.SEQUENCE(LEN(G606)))) - 1)</f>
        <v>NR</v>
      </c>
      <c r="J606" s="124" t="s">
        <v>3707</v>
      </c>
      <c r="K606" s="129"/>
    </row>
    <row r="607" spans="1:11" ht="17.25" x14ac:dyDescent="0.35">
      <c r="A607" s="131" t="s">
        <v>4160</v>
      </c>
      <c r="B607" s="128" t="s">
        <v>4335</v>
      </c>
      <c r="C607" s="129"/>
      <c r="D607" s="129"/>
      <c r="E607" s="129"/>
      <c r="F607" s="129"/>
      <c r="G607" s="128" t="s">
        <v>4638</v>
      </c>
      <c r="H607" s="131" t="str">
        <f t="shared" si="9"/>
        <v>NR2</v>
      </c>
      <c r="I607" s="131" t="str" cm="1">
        <f t="array" ref="I607">LEFT(G607, MIN(IF(ISNUMBER(--MID(G607, _xlfn.SEQUENCE(LEN(G607)), 1)), _xlfn.SEQUENCE(LEN(G607)))) - 1)</f>
        <v>NR</v>
      </c>
      <c r="J607" s="129" t="str">
        <f>_xlfn.XLOOKUP(H607,'GK IFT SDM POSTCODES'!A:A,'GK IFT SDM POSTCODES'!B:B,"")</f>
        <v>Adam Reditt</v>
      </c>
      <c r="K607" s="129"/>
    </row>
    <row r="608" spans="1:11" ht="17.25" x14ac:dyDescent="0.35">
      <c r="A608" s="131" t="s">
        <v>4160</v>
      </c>
      <c r="B608" s="128" t="s">
        <v>4466</v>
      </c>
      <c r="C608" s="129"/>
      <c r="D608" s="129"/>
      <c r="E608" s="129"/>
      <c r="F608" s="129"/>
      <c r="G608" s="128" t="s">
        <v>4720</v>
      </c>
      <c r="H608" s="131" t="str">
        <f t="shared" si="9"/>
        <v>NR2</v>
      </c>
      <c r="I608" s="131" t="str" cm="1">
        <f t="array" ref="I608">LEFT(G608, MIN(IF(ISNUMBER(--MID(G608, _xlfn.SEQUENCE(LEN(G608)), 1)), _xlfn.SEQUENCE(LEN(G608)))) - 1)</f>
        <v>NR</v>
      </c>
      <c r="J608" s="129" t="str">
        <f>_xlfn.XLOOKUP(H608,'GK IFT SDM POSTCODES'!A:A,'GK IFT SDM POSTCODES'!B:B,"")</f>
        <v>Adam Reditt</v>
      </c>
      <c r="K608" s="129"/>
    </row>
    <row r="609" spans="1:11" ht="17.25" x14ac:dyDescent="0.35">
      <c r="A609" s="134" t="s">
        <v>3902</v>
      </c>
      <c r="B609" s="134" t="s">
        <v>3923</v>
      </c>
      <c r="C609" s="134" t="s">
        <v>611</v>
      </c>
      <c r="D609" s="129"/>
      <c r="E609" s="134" t="s">
        <v>255</v>
      </c>
      <c r="F609" s="134" t="s">
        <v>55</v>
      </c>
      <c r="G609" s="134" t="s">
        <v>321</v>
      </c>
      <c r="H609" s="131" t="str">
        <f t="shared" si="9"/>
        <v>NR2</v>
      </c>
      <c r="I609" s="131" t="str" cm="1">
        <f t="array" ref="I609">LEFT(G609, MIN(IF(ISNUMBER(--MID(G609, _xlfn.SEQUENCE(LEN(G609)), 1)), _xlfn.SEQUENCE(LEN(G609)))) - 1)</f>
        <v>NR</v>
      </c>
      <c r="J609" s="134" t="s">
        <v>3988</v>
      </c>
      <c r="K609" s="129"/>
    </row>
    <row r="610" spans="1:11" ht="17.25" x14ac:dyDescent="0.35">
      <c r="A610" s="130" t="s">
        <v>3718</v>
      </c>
      <c r="B610" s="124" t="s">
        <v>257</v>
      </c>
      <c r="C610" s="131" t="s">
        <v>3181</v>
      </c>
      <c r="D610" s="131" t="s">
        <v>255</v>
      </c>
      <c r="E610" s="131"/>
      <c r="F610" s="131" t="s">
        <v>55</v>
      </c>
      <c r="G610" s="124" t="s">
        <v>344</v>
      </c>
      <c r="H610" s="131" t="str">
        <f t="shared" si="9"/>
        <v>NR2</v>
      </c>
      <c r="I610" s="131" t="str" cm="1">
        <f t="array" ref="I610">LEFT(G610, MIN(IF(ISNUMBER(--MID(G610, _xlfn.SEQUENCE(LEN(G610)), 1)), _xlfn.SEQUENCE(LEN(G610)))) - 1)</f>
        <v>NR</v>
      </c>
      <c r="J610" s="124" t="s">
        <v>3707</v>
      </c>
      <c r="K610" s="129"/>
    </row>
    <row r="611" spans="1:11" ht="17.25" x14ac:dyDescent="0.35">
      <c r="A611" s="134" t="s">
        <v>7</v>
      </c>
      <c r="B611" s="134" t="s">
        <v>3924</v>
      </c>
      <c r="C611" s="134" t="s">
        <v>571</v>
      </c>
      <c r="D611" s="129"/>
      <c r="E611" s="134" t="s">
        <v>255</v>
      </c>
      <c r="F611" s="134" t="s">
        <v>55</v>
      </c>
      <c r="G611" s="134" t="s">
        <v>3829</v>
      </c>
      <c r="H611" s="131" t="str">
        <f t="shared" si="9"/>
        <v>NR2</v>
      </c>
      <c r="I611" s="131" t="str" cm="1">
        <f t="array" ref="I611">LEFT(G611, MIN(IF(ISNUMBER(--MID(G611, _xlfn.SEQUENCE(LEN(G611)), 1)), _xlfn.SEQUENCE(LEN(G611)))) - 1)</f>
        <v>NR</v>
      </c>
      <c r="J611" s="134" t="s">
        <v>3987</v>
      </c>
      <c r="K611" s="129"/>
    </row>
    <row r="612" spans="1:11" ht="17.25" x14ac:dyDescent="0.35">
      <c r="A612" s="134" t="s">
        <v>7</v>
      </c>
      <c r="B612" s="134" t="s">
        <v>3925</v>
      </c>
      <c r="C612" s="134" t="s">
        <v>3428</v>
      </c>
      <c r="D612" s="129"/>
      <c r="E612" s="134" t="s">
        <v>255</v>
      </c>
      <c r="F612" s="134" t="s">
        <v>55</v>
      </c>
      <c r="G612" s="134" t="s">
        <v>79</v>
      </c>
      <c r="H612" s="131" t="str">
        <f t="shared" si="9"/>
        <v>NR2</v>
      </c>
      <c r="I612" s="131" t="str" cm="1">
        <f t="array" ref="I612">LEFT(G612, MIN(IF(ISNUMBER(--MID(G612, _xlfn.SEQUENCE(LEN(G612)), 1)), _xlfn.SEQUENCE(LEN(G612)))) - 1)</f>
        <v>NR</v>
      </c>
      <c r="J612" s="134" t="s">
        <v>3987</v>
      </c>
      <c r="K612" s="129"/>
    </row>
    <row r="613" spans="1:11" ht="17.25" x14ac:dyDescent="0.35">
      <c r="A613" s="131" t="s">
        <v>4160</v>
      </c>
      <c r="B613" s="128" t="s">
        <v>4249</v>
      </c>
      <c r="C613" s="129"/>
      <c r="D613" s="129"/>
      <c r="E613" s="129"/>
      <c r="F613" s="129"/>
      <c r="G613" s="128" t="s">
        <v>311</v>
      </c>
      <c r="H613" s="131" t="str">
        <f t="shared" si="9"/>
        <v>NR2</v>
      </c>
      <c r="I613" s="131" t="str" cm="1">
        <f t="array" ref="I613">LEFT(G613, MIN(IF(ISNUMBER(--MID(G613, _xlfn.SEQUENCE(LEN(G613)), 1)), _xlfn.SEQUENCE(LEN(G613)))) - 1)</f>
        <v>NR</v>
      </c>
      <c r="J613" s="129" t="str">
        <f>_xlfn.XLOOKUP(H613,'GK IFT SDM POSTCODES'!A:A,'GK IFT SDM POSTCODES'!B:B,"")</f>
        <v>Adam Reditt</v>
      </c>
      <c r="K613" s="129"/>
    </row>
    <row r="614" spans="1:11" ht="17.25" x14ac:dyDescent="0.35">
      <c r="A614" s="134" t="s">
        <v>7</v>
      </c>
      <c r="B614" s="134" t="s">
        <v>3926</v>
      </c>
      <c r="C614" s="134" t="s">
        <v>3862</v>
      </c>
      <c r="D614" s="129"/>
      <c r="E614" s="134" t="s">
        <v>255</v>
      </c>
      <c r="F614" s="134" t="s">
        <v>55</v>
      </c>
      <c r="G614" s="134" t="s">
        <v>78</v>
      </c>
      <c r="H614" s="131" t="str">
        <f t="shared" si="9"/>
        <v>NR2</v>
      </c>
      <c r="I614" s="131" t="str" cm="1">
        <f t="array" ref="I614">LEFT(G614, MIN(IF(ISNUMBER(--MID(G614, _xlfn.SEQUENCE(LEN(G614)), 1)), _xlfn.SEQUENCE(LEN(G614)))) - 1)</f>
        <v>NR</v>
      </c>
      <c r="J614" s="134" t="s">
        <v>3987</v>
      </c>
      <c r="K614" s="129"/>
    </row>
    <row r="615" spans="1:11" ht="17.25" x14ac:dyDescent="0.35">
      <c r="A615" s="129" t="s">
        <v>498</v>
      </c>
      <c r="B615" s="137" t="s">
        <v>5249</v>
      </c>
      <c r="C615" s="137" t="s">
        <v>5250</v>
      </c>
      <c r="D615" s="129"/>
      <c r="E615" s="137" t="s">
        <v>255</v>
      </c>
      <c r="F615" s="129"/>
      <c r="G615" s="137" t="s">
        <v>3603</v>
      </c>
      <c r="H615" s="131" t="str">
        <f t="shared" si="9"/>
        <v>NR2</v>
      </c>
      <c r="I615" s="131" t="str" cm="1">
        <f t="array" ref="I615">LEFT(G615, MIN(IF(ISNUMBER(--MID(G615, _xlfn.SEQUENCE(LEN(G615)), 1)), _xlfn.SEQUENCE(LEN(G615)))) - 1)</f>
        <v>NR</v>
      </c>
      <c r="J615" s="137" t="s">
        <v>5148</v>
      </c>
      <c r="K615" s="129"/>
    </row>
    <row r="616" spans="1:11" ht="17.25" x14ac:dyDescent="0.35">
      <c r="A616" s="129" t="s">
        <v>498</v>
      </c>
      <c r="B616" s="137" t="s">
        <v>5229</v>
      </c>
      <c r="C616" s="137" t="s">
        <v>5230</v>
      </c>
      <c r="D616" s="129"/>
      <c r="E616" s="137" t="s">
        <v>255</v>
      </c>
      <c r="F616" s="129"/>
      <c r="G616" s="137" t="s">
        <v>5184</v>
      </c>
      <c r="H616" s="131" t="str">
        <f t="shared" si="9"/>
        <v>NR2</v>
      </c>
      <c r="I616" s="131" t="str" cm="1">
        <f t="array" ref="I616">LEFT(G616, MIN(IF(ISNUMBER(--MID(G616, _xlfn.SEQUENCE(LEN(G616)), 1)), _xlfn.SEQUENCE(LEN(G616)))) - 1)</f>
        <v>NR</v>
      </c>
      <c r="J616" s="137" t="s">
        <v>5148</v>
      </c>
      <c r="K616" s="129"/>
    </row>
    <row r="617" spans="1:11" ht="17.25" x14ac:dyDescent="0.35">
      <c r="A617" s="134" t="s">
        <v>7</v>
      </c>
      <c r="B617" s="134" t="s">
        <v>3927</v>
      </c>
      <c r="C617" s="134" t="s">
        <v>566</v>
      </c>
      <c r="D617" s="129"/>
      <c r="E617" s="134" t="s">
        <v>255</v>
      </c>
      <c r="F617" s="134" t="s">
        <v>55</v>
      </c>
      <c r="G617" s="134" t="s">
        <v>3830</v>
      </c>
      <c r="H617" s="131" t="str">
        <f t="shared" si="9"/>
        <v>NR2</v>
      </c>
      <c r="I617" s="131" t="str" cm="1">
        <f t="array" ref="I617">LEFT(G617, MIN(IF(ISNUMBER(--MID(G617, _xlfn.SEQUENCE(LEN(G617)), 1)), _xlfn.SEQUENCE(LEN(G617)))) - 1)</f>
        <v>NR</v>
      </c>
      <c r="J617" s="134" t="s">
        <v>3987</v>
      </c>
      <c r="K617" s="129"/>
    </row>
    <row r="618" spans="1:11" ht="17.25" x14ac:dyDescent="0.35">
      <c r="A618" s="134" t="s">
        <v>3902</v>
      </c>
      <c r="B618" s="134" t="s">
        <v>3928</v>
      </c>
      <c r="C618" s="134" t="s">
        <v>3863</v>
      </c>
      <c r="D618" s="129"/>
      <c r="E618" s="134" t="s">
        <v>255</v>
      </c>
      <c r="F618" s="134" t="s">
        <v>55</v>
      </c>
      <c r="G618" s="134" t="s">
        <v>3592</v>
      </c>
      <c r="H618" s="131" t="str">
        <f t="shared" si="9"/>
        <v>NR2</v>
      </c>
      <c r="I618" s="131" t="str" cm="1">
        <f t="array" ref="I618">LEFT(G618, MIN(IF(ISNUMBER(--MID(G618, _xlfn.SEQUENCE(LEN(G618)), 1)), _xlfn.SEQUENCE(LEN(G618)))) - 1)</f>
        <v>NR</v>
      </c>
      <c r="J618" s="134" t="s">
        <v>3800</v>
      </c>
      <c r="K618" s="129"/>
    </row>
    <row r="619" spans="1:11" ht="17.25" x14ac:dyDescent="0.35">
      <c r="A619" s="131" t="s">
        <v>4160</v>
      </c>
      <c r="B619" s="128" t="s">
        <v>4422</v>
      </c>
      <c r="C619" s="129"/>
      <c r="D619" s="129"/>
      <c r="E619" s="129"/>
      <c r="F619" s="129"/>
      <c r="G619" s="128" t="s">
        <v>930</v>
      </c>
      <c r="H619" s="131" t="str">
        <f t="shared" si="9"/>
        <v>NR2</v>
      </c>
      <c r="I619" s="131" t="str" cm="1">
        <f t="array" ref="I619">LEFT(G619, MIN(IF(ISNUMBER(--MID(G619, _xlfn.SEQUENCE(LEN(G619)), 1)), _xlfn.SEQUENCE(LEN(G619)))) - 1)</f>
        <v>NR</v>
      </c>
      <c r="J619" s="129" t="str">
        <f>_xlfn.XLOOKUP(H619,'GK IFT SDM POSTCODES'!A:A,'GK IFT SDM POSTCODES'!B:B,"")</f>
        <v>Adam Reditt</v>
      </c>
      <c r="K619" s="129"/>
    </row>
    <row r="620" spans="1:11" ht="17.25" x14ac:dyDescent="0.35">
      <c r="A620" s="134" t="s">
        <v>7</v>
      </c>
      <c r="B620" s="134" t="s">
        <v>3929</v>
      </c>
      <c r="C620" s="134" t="s">
        <v>552</v>
      </c>
      <c r="D620" s="129"/>
      <c r="E620" s="134" t="s">
        <v>255</v>
      </c>
      <c r="F620" s="134" t="s">
        <v>55</v>
      </c>
      <c r="G620" s="134" t="s">
        <v>81</v>
      </c>
      <c r="H620" s="131" t="str">
        <f t="shared" si="9"/>
        <v>NR2</v>
      </c>
      <c r="I620" s="131" t="str" cm="1">
        <f t="array" ref="I620">LEFT(G620, MIN(IF(ISNUMBER(--MID(G620, _xlfn.SEQUENCE(LEN(G620)), 1)), _xlfn.SEQUENCE(LEN(G620)))) - 1)</f>
        <v>NR</v>
      </c>
      <c r="J620" s="134" t="s">
        <v>3987</v>
      </c>
      <c r="K620" s="129"/>
    </row>
    <row r="621" spans="1:11" ht="17.25" x14ac:dyDescent="0.35">
      <c r="A621" s="134" t="s">
        <v>7</v>
      </c>
      <c r="B621" s="134" t="s">
        <v>3930</v>
      </c>
      <c r="C621" s="134" t="s">
        <v>3864</v>
      </c>
      <c r="D621" s="129"/>
      <c r="E621" s="134" t="s">
        <v>255</v>
      </c>
      <c r="F621" s="134" t="s">
        <v>55</v>
      </c>
      <c r="G621" s="134" t="s">
        <v>84</v>
      </c>
      <c r="H621" s="131" t="str">
        <f t="shared" si="9"/>
        <v>NR2</v>
      </c>
      <c r="I621" s="131" t="str" cm="1">
        <f t="array" ref="I621">LEFT(G621, MIN(IF(ISNUMBER(--MID(G621, _xlfn.SEQUENCE(LEN(G621)), 1)), _xlfn.SEQUENCE(LEN(G621)))) - 1)</f>
        <v>NR</v>
      </c>
      <c r="J621" s="134" t="s">
        <v>3987</v>
      </c>
      <c r="K621" s="129"/>
    </row>
    <row r="622" spans="1:11" ht="17.25" x14ac:dyDescent="0.35">
      <c r="A622" s="131" t="s">
        <v>4160</v>
      </c>
      <c r="B622" s="128" t="s">
        <v>4259</v>
      </c>
      <c r="C622" s="129"/>
      <c r="D622" s="129"/>
      <c r="E622" s="129"/>
      <c r="F622" s="129"/>
      <c r="G622" s="128" t="s">
        <v>4582</v>
      </c>
      <c r="H622" s="131" t="str">
        <f t="shared" si="9"/>
        <v>NR2</v>
      </c>
      <c r="I622" s="131" t="str" cm="1">
        <f t="array" ref="I622">LEFT(G622, MIN(IF(ISNUMBER(--MID(G622, _xlfn.SEQUENCE(LEN(G622)), 1)), _xlfn.SEQUENCE(LEN(G622)))) - 1)</f>
        <v>NR</v>
      </c>
      <c r="J622" s="129" t="str">
        <f>_xlfn.XLOOKUP(H622,'GK IFT SDM POSTCODES'!A:A,'GK IFT SDM POSTCODES'!B:B,"")</f>
        <v>Adam Reditt</v>
      </c>
      <c r="K622" s="129"/>
    </row>
    <row r="623" spans="1:11" ht="17.25" x14ac:dyDescent="0.35">
      <c r="A623" s="134" t="s">
        <v>3902</v>
      </c>
      <c r="B623" s="134" t="s">
        <v>3931</v>
      </c>
      <c r="C623" s="134" t="s">
        <v>3865</v>
      </c>
      <c r="D623" s="129"/>
      <c r="E623" s="134" t="s">
        <v>255</v>
      </c>
      <c r="F623" s="134" t="s">
        <v>55</v>
      </c>
      <c r="G623" s="134" t="s">
        <v>3831</v>
      </c>
      <c r="H623" s="131" t="str">
        <f t="shared" si="9"/>
        <v>NR2</v>
      </c>
      <c r="I623" s="131" t="str" cm="1">
        <f t="array" ref="I623">LEFT(G623, MIN(IF(ISNUMBER(--MID(G623, _xlfn.SEQUENCE(LEN(G623)), 1)), _xlfn.SEQUENCE(LEN(G623)))) - 1)</f>
        <v>NR</v>
      </c>
      <c r="J623" s="134" t="s">
        <v>3989</v>
      </c>
      <c r="K623" s="129"/>
    </row>
    <row r="624" spans="1:11" ht="17.25" x14ac:dyDescent="0.35">
      <c r="A624" s="131" t="s">
        <v>4160</v>
      </c>
      <c r="B624" s="136" t="s">
        <v>4513</v>
      </c>
      <c r="C624" s="129"/>
      <c r="D624" s="129"/>
      <c r="E624" s="129"/>
      <c r="F624" s="129"/>
      <c r="G624" s="136" t="s">
        <v>4754</v>
      </c>
      <c r="H624" s="131" t="str">
        <f t="shared" si="9"/>
        <v>NR20</v>
      </c>
      <c r="I624" s="131" t="str" cm="1">
        <f t="array" ref="I624">LEFT(G624, MIN(IF(ISNUMBER(--MID(G624, _xlfn.SEQUENCE(LEN(G624)), 1)), _xlfn.SEQUENCE(LEN(G624)))) - 1)</f>
        <v>NR</v>
      </c>
      <c r="J624" s="129" t="str">
        <f>_xlfn.XLOOKUP(H624,'GK IFT SDM POSTCODES'!A:A,'GK IFT SDM POSTCODES'!B:B,"")</f>
        <v>Adam Reditt</v>
      </c>
      <c r="K624" s="129"/>
    </row>
    <row r="625" spans="1:11" ht="17.25" x14ac:dyDescent="0.35">
      <c r="A625" s="131" t="s">
        <v>4160</v>
      </c>
      <c r="B625" s="128" t="s">
        <v>4247</v>
      </c>
      <c r="C625" s="129"/>
      <c r="D625" s="129"/>
      <c r="E625" s="129"/>
      <c r="F625" s="129"/>
      <c r="G625" s="128" t="s">
        <v>4575</v>
      </c>
      <c r="H625" s="131" t="str">
        <f t="shared" si="9"/>
        <v>NR20</v>
      </c>
      <c r="I625" s="131" t="str" cm="1">
        <f t="array" ref="I625">LEFT(G625, MIN(IF(ISNUMBER(--MID(G625, _xlfn.SEQUENCE(LEN(G625)), 1)), _xlfn.SEQUENCE(LEN(G625)))) - 1)</f>
        <v>NR</v>
      </c>
      <c r="J625" s="129" t="str">
        <f>_xlfn.XLOOKUP(H625,'GK IFT SDM POSTCODES'!A:A,'GK IFT SDM POSTCODES'!B:B,"")</f>
        <v>Adam Reditt</v>
      </c>
      <c r="K625" s="129"/>
    </row>
    <row r="626" spans="1:11" ht="17.25" x14ac:dyDescent="0.35">
      <c r="A626" s="131" t="s">
        <v>4160</v>
      </c>
      <c r="B626" s="136" t="s">
        <v>4507</v>
      </c>
      <c r="C626" s="129"/>
      <c r="D626" s="129"/>
      <c r="E626" s="129"/>
      <c r="F626" s="129"/>
      <c r="G626" s="136" t="s">
        <v>4748</v>
      </c>
      <c r="H626" s="131" t="str">
        <f t="shared" si="9"/>
        <v>NR20</v>
      </c>
      <c r="I626" s="131" t="str" cm="1">
        <f t="array" ref="I626">LEFT(G626, MIN(IF(ISNUMBER(--MID(G626, _xlfn.SEQUENCE(LEN(G626)), 1)), _xlfn.SEQUENCE(LEN(G626)))) - 1)</f>
        <v>NR</v>
      </c>
      <c r="J626" s="129" t="str">
        <f>_xlfn.XLOOKUP(H626,'GK IFT SDM POSTCODES'!A:A,'GK IFT SDM POSTCODES'!B:B,"")</f>
        <v>Adam Reditt</v>
      </c>
      <c r="K626" s="129"/>
    </row>
    <row r="627" spans="1:11" ht="17.25" x14ac:dyDescent="0.35">
      <c r="A627" s="131" t="s">
        <v>4160</v>
      </c>
      <c r="B627" s="128" t="s">
        <v>4426</v>
      </c>
      <c r="C627" s="129"/>
      <c r="D627" s="129"/>
      <c r="E627" s="129"/>
      <c r="F627" s="129"/>
      <c r="G627" s="128" t="s">
        <v>4695</v>
      </c>
      <c r="H627" s="131" t="str">
        <f t="shared" si="9"/>
        <v>NR20</v>
      </c>
      <c r="I627" s="131" t="str" cm="1">
        <f t="array" ref="I627">LEFT(G627, MIN(IF(ISNUMBER(--MID(G627, _xlfn.SEQUENCE(LEN(G627)), 1)), _xlfn.SEQUENCE(LEN(G627)))) - 1)</f>
        <v>NR</v>
      </c>
      <c r="J627" s="129" t="str">
        <f>_xlfn.XLOOKUP(H627,'GK IFT SDM POSTCODES'!A:A,'GK IFT SDM POSTCODES'!B:B,"")</f>
        <v>Adam Reditt</v>
      </c>
      <c r="K627" s="129"/>
    </row>
    <row r="628" spans="1:11" ht="17.25" x14ac:dyDescent="0.35">
      <c r="A628" s="131" t="s">
        <v>4160</v>
      </c>
      <c r="B628" s="128" t="s">
        <v>4366</v>
      </c>
      <c r="C628" s="129"/>
      <c r="D628" s="129"/>
      <c r="E628" s="129"/>
      <c r="F628" s="129"/>
      <c r="G628" s="128" t="s">
        <v>4660</v>
      </c>
      <c r="H628" s="131" t="str">
        <f t="shared" si="9"/>
        <v>NR20</v>
      </c>
      <c r="I628" s="131" t="str" cm="1">
        <f t="array" ref="I628">LEFT(G628, MIN(IF(ISNUMBER(--MID(G628, _xlfn.SEQUENCE(LEN(G628)), 1)), _xlfn.SEQUENCE(LEN(G628)))) - 1)</f>
        <v>NR</v>
      </c>
      <c r="J628" s="129" t="str">
        <f>_xlfn.XLOOKUP(H628,'GK IFT SDM POSTCODES'!A:A,'GK IFT SDM POSTCODES'!B:B,"")</f>
        <v>Adam Reditt</v>
      </c>
      <c r="K628" s="129"/>
    </row>
    <row r="629" spans="1:11" ht="17.25" x14ac:dyDescent="0.35">
      <c r="A629" s="131" t="s">
        <v>4160</v>
      </c>
      <c r="B629" s="128" t="s">
        <v>4419</v>
      </c>
      <c r="C629" s="129"/>
      <c r="D629" s="129"/>
      <c r="E629" s="129"/>
      <c r="F629" s="129"/>
      <c r="G629" s="128" t="s">
        <v>4693</v>
      </c>
      <c r="H629" s="131" t="str">
        <f t="shared" si="9"/>
        <v>NR20</v>
      </c>
      <c r="I629" s="131" t="str" cm="1">
        <f t="array" ref="I629">LEFT(G629, MIN(IF(ISNUMBER(--MID(G629, _xlfn.SEQUENCE(LEN(G629)), 1)), _xlfn.SEQUENCE(LEN(G629)))) - 1)</f>
        <v>NR</v>
      </c>
      <c r="J629" s="129" t="str">
        <f>_xlfn.XLOOKUP(H629,'GK IFT SDM POSTCODES'!A:A,'GK IFT SDM POSTCODES'!B:B,"")</f>
        <v>Adam Reditt</v>
      </c>
      <c r="K629" s="129"/>
    </row>
    <row r="630" spans="1:11" ht="17.25" x14ac:dyDescent="0.35">
      <c r="A630" s="131" t="s">
        <v>4160</v>
      </c>
      <c r="B630" s="128" t="s">
        <v>4234</v>
      </c>
      <c r="C630" s="129"/>
      <c r="D630" s="129"/>
      <c r="E630" s="129"/>
      <c r="F630" s="129"/>
      <c r="G630" s="128" t="s">
        <v>336</v>
      </c>
      <c r="H630" s="131" t="str">
        <f t="shared" si="9"/>
        <v>NR20</v>
      </c>
      <c r="I630" s="131" t="str" cm="1">
        <f t="array" ref="I630">LEFT(G630, MIN(IF(ISNUMBER(--MID(G630, _xlfn.SEQUENCE(LEN(G630)), 1)), _xlfn.SEQUENCE(LEN(G630)))) - 1)</f>
        <v>NR</v>
      </c>
      <c r="J630" s="129" t="str">
        <f>_xlfn.XLOOKUP(H630,'GK IFT SDM POSTCODES'!A:A,'GK IFT SDM POSTCODES'!B:B,"")</f>
        <v>Adam Reditt</v>
      </c>
      <c r="K630" s="129"/>
    </row>
    <row r="631" spans="1:11" ht="17.25" x14ac:dyDescent="0.35">
      <c r="A631" s="131" t="s">
        <v>4160</v>
      </c>
      <c r="B631" s="136" t="s">
        <v>4516</v>
      </c>
      <c r="C631" s="129"/>
      <c r="D631" s="129"/>
      <c r="E631" s="129"/>
      <c r="F631" s="129"/>
      <c r="G631" s="136" t="s">
        <v>4755</v>
      </c>
      <c r="H631" s="131" t="str">
        <f t="shared" si="9"/>
        <v>NR20</v>
      </c>
      <c r="I631" s="131" t="str" cm="1">
        <f t="array" ref="I631">LEFT(G631, MIN(IF(ISNUMBER(--MID(G631, _xlfn.SEQUENCE(LEN(G631)), 1)), _xlfn.SEQUENCE(LEN(G631)))) - 1)</f>
        <v>NR</v>
      </c>
      <c r="J631" s="129" t="str">
        <f>_xlfn.XLOOKUP(H631,'GK IFT SDM POSTCODES'!A:A,'GK IFT SDM POSTCODES'!B:B,"")</f>
        <v>Adam Reditt</v>
      </c>
      <c r="K631" s="129"/>
    </row>
    <row r="632" spans="1:11" ht="17.25" x14ac:dyDescent="0.35">
      <c r="A632" s="131" t="s">
        <v>4160</v>
      </c>
      <c r="B632" s="128" t="s">
        <v>4377</v>
      </c>
      <c r="C632" s="129"/>
      <c r="D632" s="129"/>
      <c r="E632" s="129"/>
      <c r="F632" s="129"/>
      <c r="G632" s="128" t="s">
        <v>4666</v>
      </c>
      <c r="H632" s="131" t="str">
        <f t="shared" si="9"/>
        <v>NR20</v>
      </c>
      <c r="I632" s="131" t="str" cm="1">
        <f t="array" ref="I632">LEFT(G632, MIN(IF(ISNUMBER(--MID(G632, _xlfn.SEQUENCE(LEN(G632)), 1)), _xlfn.SEQUENCE(LEN(G632)))) - 1)</f>
        <v>NR</v>
      </c>
      <c r="J632" s="129" t="str">
        <f>_xlfn.XLOOKUP(H632,'GK IFT SDM POSTCODES'!A:A,'GK IFT SDM POSTCODES'!B:B,"")</f>
        <v>Adam Reditt</v>
      </c>
      <c r="K632" s="129"/>
    </row>
    <row r="633" spans="1:11" ht="17.25" x14ac:dyDescent="0.35">
      <c r="A633" s="131" t="s">
        <v>4160</v>
      </c>
      <c r="B633" s="136" t="s">
        <v>4499</v>
      </c>
      <c r="C633" s="129"/>
      <c r="D633" s="129"/>
      <c r="E633" s="129"/>
      <c r="F633" s="129"/>
      <c r="G633" s="136" t="s">
        <v>4740</v>
      </c>
      <c r="H633" s="131" t="str">
        <f t="shared" si="9"/>
        <v>NR21</v>
      </c>
      <c r="I633" s="131" t="str" cm="1">
        <f t="array" ref="I633">LEFT(G633, MIN(IF(ISNUMBER(--MID(G633, _xlfn.SEQUENCE(LEN(G633)), 1)), _xlfn.SEQUENCE(LEN(G633)))) - 1)</f>
        <v>NR</v>
      </c>
      <c r="J633" s="129" t="str">
        <f>_xlfn.XLOOKUP(H633,'GK IFT SDM POSTCODES'!A:A,'GK IFT SDM POSTCODES'!B:B,"")</f>
        <v>Andrew Galpin</v>
      </c>
      <c r="K633" s="129"/>
    </row>
    <row r="634" spans="1:11" ht="17.25" x14ac:dyDescent="0.35">
      <c r="A634" s="129" t="s">
        <v>498</v>
      </c>
      <c r="B634" s="137" t="s">
        <v>5231</v>
      </c>
      <c r="C634" s="137" t="s">
        <v>5232</v>
      </c>
      <c r="D634" s="129"/>
      <c r="E634" s="137" t="s">
        <v>635</v>
      </c>
      <c r="F634" s="129"/>
      <c r="G634" s="137" t="s">
        <v>3609</v>
      </c>
      <c r="H634" s="131" t="str">
        <f t="shared" si="9"/>
        <v>NR21</v>
      </c>
      <c r="I634" s="131" t="str" cm="1">
        <f t="array" ref="I634">LEFT(G634, MIN(IF(ISNUMBER(--MID(G634, _xlfn.SEQUENCE(LEN(G634)), 1)), _xlfn.SEQUENCE(LEN(G634)))) - 1)</f>
        <v>NR</v>
      </c>
      <c r="J634" s="137" t="s">
        <v>5148</v>
      </c>
      <c r="K634" s="129"/>
    </row>
    <row r="635" spans="1:11" ht="17.25" x14ac:dyDescent="0.35">
      <c r="A635" s="131" t="s">
        <v>4160</v>
      </c>
      <c r="B635" s="128" t="s">
        <v>4328</v>
      </c>
      <c r="C635" s="129"/>
      <c r="D635" s="129"/>
      <c r="E635" s="129"/>
      <c r="F635" s="129"/>
      <c r="G635" s="128" t="s">
        <v>3637</v>
      </c>
      <c r="H635" s="131" t="str">
        <f t="shared" si="9"/>
        <v>NR21</v>
      </c>
      <c r="I635" s="131" t="str" cm="1">
        <f t="array" ref="I635">LEFT(G635, MIN(IF(ISNUMBER(--MID(G635, _xlfn.SEQUENCE(LEN(G635)), 1)), _xlfn.SEQUENCE(LEN(G635)))) - 1)</f>
        <v>NR</v>
      </c>
      <c r="J635" s="129" t="str">
        <f>_xlfn.XLOOKUP(H635,'GK IFT SDM POSTCODES'!A:A,'GK IFT SDM POSTCODES'!B:B,"")</f>
        <v>Andrew Galpin</v>
      </c>
      <c r="K635" s="129"/>
    </row>
    <row r="636" spans="1:11" ht="17.25" x14ac:dyDescent="0.35">
      <c r="A636" s="131" t="s">
        <v>4160</v>
      </c>
      <c r="B636" s="128" t="s">
        <v>4370</v>
      </c>
      <c r="C636" s="129"/>
      <c r="D636" s="129"/>
      <c r="E636" s="129"/>
      <c r="F636" s="129"/>
      <c r="G636" s="128" t="s">
        <v>3637</v>
      </c>
      <c r="H636" s="131" t="str">
        <f t="shared" si="9"/>
        <v>NR21</v>
      </c>
      <c r="I636" s="131" t="str" cm="1">
        <f t="array" ref="I636">LEFT(G636, MIN(IF(ISNUMBER(--MID(G636, _xlfn.SEQUENCE(LEN(G636)), 1)), _xlfn.SEQUENCE(LEN(G636)))) - 1)</f>
        <v>NR</v>
      </c>
      <c r="J636" s="129" t="str">
        <f>_xlfn.XLOOKUP(H636,'GK IFT SDM POSTCODES'!A:A,'GK IFT SDM POSTCODES'!B:B,"")</f>
        <v>Andrew Galpin</v>
      </c>
      <c r="K636" s="129"/>
    </row>
    <row r="637" spans="1:11" ht="17.25" x14ac:dyDescent="0.35">
      <c r="A637" s="131" t="s">
        <v>4160</v>
      </c>
      <c r="B637" s="128" t="s">
        <v>3641</v>
      </c>
      <c r="C637" s="129"/>
      <c r="D637" s="129"/>
      <c r="E637" s="129"/>
      <c r="F637" s="129"/>
      <c r="G637" s="128" t="s">
        <v>3642</v>
      </c>
      <c r="H637" s="131" t="str">
        <f t="shared" si="9"/>
        <v>NR21</v>
      </c>
      <c r="I637" s="131" t="str" cm="1">
        <f t="array" ref="I637">LEFT(G637, MIN(IF(ISNUMBER(--MID(G637, _xlfn.SEQUENCE(LEN(G637)), 1)), _xlfn.SEQUENCE(LEN(G637)))) - 1)</f>
        <v>NR</v>
      </c>
      <c r="J637" s="129" t="str">
        <f>_xlfn.XLOOKUP(H637,'GK IFT SDM POSTCODES'!A:A,'GK IFT SDM POSTCODES'!B:B,"")</f>
        <v>Andrew Galpin</v>
      </c>
      <c r="K637" s="129"/>
    </row>
    <row r="638" spans="1:11" ht="17.25" x14ac:dyDescent="0.35">
      <c r="A638" s="134" t="s">
        <v>3902</v>
      </c>
      <c r="B638" s="134" t="s">
        <v>3932</v>
      </c>
      <c r="C638" s="134" t="s">
        <v>3866</v>
      </c>
      <c r="D638" s="129"/>
      <c r="E638" s="134" t="s">
        <v>635</v>
      </c>
      <c r="F638" s="134" t="s">
        <v>55</v>
      </c>
      <c r="G638" s="134" t="s">
        <v>3608</v>
      </c>
      <c r="H638" s="131" t="str">
        <f t="shared" si="9"/>
        <v>NR21</v>
      </c>
      <c r="I638" s="131" t="str" cm="1">
        <f t="array" ref="I638">LEFT(G638, MIN(IF(ISNUMBER(--MID(G638, _xlfn.SEQUENCE(LEN(G638)), 1)), _xlfn.SEQUENCE(LEN(G638)))) - 1)</f>
        <v>NR</v>
      </c>
      <c r="J638" s="134" t="s">
        <v>3988</v>
      </c>
      <c r="K638" s="129"/>
    </row>
    <row r="639" spans="1:11" ht="17.25" x14ac:dyDescent="0.35">
      <c r="A639" s="131" t="s">
        <v>4160</v>
      </c>
      <c r="B639" s="128" t="s">
        <v>4229</v>
      </c>
      <c r="C639" s="129"/>
      <c r="D639" s="129"/>
      <c r="E639" s="129"/>
      <c r="F639" s="129"/>
      <c r="G639" s="128" t="s">
        <v>4567</v>
      </c>
      <c r="H639" s="131" t="str">
        <f t="shared" si="9"/>
        <v>NR21</v>
      </c>
      <c r="I639" s="131" t="str" cm="1">
        <f t="array" ref="I639">LEFT(G639, MIN(IF(ISNUMBER(--MID(G639, _xlfn.SEQUENCE(LEN(G639)), 1)), _xlfn.SEQUENCE(LEN(G639)))) - 1)</f>
        <v>NR</v>
      </c>
      <c r="J639" s="129" t="str">
        <f>_xlfn.XLOOKUP(H639,'GK IFT SDM POSTCODES'!A:A,'GK IFT SDM POSTCODES'!B:B,"")</f>
        <v>Andrew Galpin</v>
      </c>
      <c r="K639" s="129"/>
    </row>
    <row r="640" spans="1:11" ht="34.5" x14ac:dyDescent="0.35">
      <c r="A640" s="130" t="s">
        <v>3718</v>
      </c>
      <c r="B640" s="124" t="s">
        <v>3721</v>
      </c>
      <c r="C640" s="131" t="s">
        <v>3379</v>
      </c>
      <c r="D640" s="131" t="s">
        <v>3722</v>
      </c>
      <c r="E640" s="131" t="s">
        <v>635</v>
      </c>
      <c r="F640" s="131" t="s">
        <v>55</v>
      </c>
      <c r="G640" s="124" t="s">
        <v>3723</v>
      </c>
      <c r="H640" s="131" t="str">
        <f t="shared" si="9"/>
        <v>NR21</v>
      </c>
      <c r="I640" s="131" t="str" cm="1">
        <f t="array" ref="I640">LEFT(G640, MIN(IF(ISNUMBER(--MID(G640, _xlfn.SEQUENCE(LEN(G640)), 1)), _xlfn.SEQUENCE(LEN(G640)))) - 1)</f>
        <v>NR</v>
      </c>
      <c r="J640" s="124" t="s">
        <v>3707</v>
      </c>
      <c r="K640" s="129"/>
    </row>
    <row r="641" spans="1:11" ht="17.25" x14ac:dyDescent="0.35">
      <c r="A641" s="131" t="s">
        <v>4160</v>
      </c>
      <c r="B641" s="128" t="s">
        <v>4402</v>
      </c>
      <c r="C641" s="129"/>
      <c r="D641" s="129"/>
      <c r="E641" s="129"/>
      <c r="F641" s="129"/>
      <c r="G641" s="128" t="s">
        <v>3723</v>
      </c>
      <c r="H641" s="131" t="str">
        <f t="shared" si="9"/>
        <v>NR21</v>
      </c>
      <c r="I641" s="131" t="str" cm="1">
        <f t="array" ref="I641">LEFT(G641, MIN(IF(ISNUMBER(--MID(G641, _xlfn.SEQUENCE(LEN(G641)), 1)), _xlfn.SEQUENCE(LEN(G641)))) - 1)</f>
        <v>NR</v>
      </c>
      <c r="J641" s="129" t="str">
        <f>_xlfn.XLOOKUP(H641,'GK IFT SDM POSTCODES'!A:A,'GK IFT SDM POSTCODES'!B:B,"")</f>
        <v>Andrew Galpin</v>
      </c>
      <c r="K641" s="129"/>
    </row>
    <row r="642" spans="1:11" ht="17.25" x14ac:dyDescent="0.35">
      <c r="A642" s="131" t="s">
        <v>4160</v>
      </c>
      <c r="B642" s="128" t="s">
        <v>4257</v>
      </c>
      <c r="C642" s="129"/>
      <c r="D642" s="129"/>
      <c r="E642" s="129"/>
      <c r="F642" s="129"/>
      <c r="G642" s="128" t="s">
        <v>4580</v>
      </c>
      <c r="H642" s="131" t="str">
        <f t="shared" ref="H642:H705" si="10">_xlfn.TEXTBEFORE(G642," ")</f>
        <v>NR21</v>
      </c>
      <c r="I642" s="131" t="str" cm="1">
        <f t="array" ref="I642">LEFT(G642, MIN(IF(ISNUMBER(--MID(G642, _xlfn.SEQUENCE(LEN(G642)), 1)), _xlfn.SEQUENCE(LEN(G642)))) - 1)</f>
        <v>NR</v>
      </c>
      <c r="J642" s="129" t="str">
        <f>_xlfn.XLOOKUP(H642,'GK IFT SDM POSTCODES'!A:A,'GK IFT SDM POSTCODES'!B:B,"")</f>
        <v>Andrew Galpin</v>
      </c>
      <c r="K642" s="129"/>
    </row>
    <row r="643" spans="1:11" ht="21" x14ac:dyDescent="0.35">
      <c r="A643" s="130" t="s">
        <v>4065</v>
      </c>
      <c r="B643" s="127" t="s">
        <v>198</v>
      </c>
      <c r="C643" s="127" t="s">
        <v>562</v>
      </c>
      <c r="D643" s="133"/>
      <c r="E643" s="127" t="s">
        <v>563</v>
      </c>
      <c r="F643" s="133"/>
      <c r="G643" s="127" t="s">
        <v>4071</v>
      </c>
      <c r="H643" s="131" t="str">
        <f t="shared" si="10"/>
        <v>NR22</v>
      </c>
      <c r="I643" s="131" t="str" cm="1">
        <f t="array" ref="I643">LEFT(G643, MIN(IF(ISNUMBER(--MID(G643, _xlfn.SEQUENCE(LEN(G643)), 1)), _xlfn.SEQUENCE(LEN(G643)))) - 1)</f>
        <v>NR</v>
      </c>
      <c r="J643" s="127" t="s">
        <v>4070</v>
      </c>
      <c r="K643" s="129"/>
    </row>
    <row r="644" spans="1:11" ht="17.25" x14ac:dyDescent="0.35">
      <c r="A644" s="131" t="s">
        <v>4160</v>
      </c>
      <c r="B644" s="128" t="s">
        <v>4250</v>
      </c>
      <c r="C644" s="129"/>
      <c r="D644" s="129"/>
      <c r="E644" s="129"/>
      <c r="F644" s="129"/>
      <c r="G644" s="128" t="s">
        <v>95</v>
      </c>
      <c r="H644" s="131" t="str">
        <f t="shared" si="10"/>
        <v>NR23</v>
      </c>
      <c r="I644" s="131" t="str" cm="1">
        <f t="array" ref="I644">LEFT(G644, MIN(IF(ISNUMBER(--MID(G644, _xlfn.SEQUENCE(LEN(G644)), 1)), _xlfn.SEQUENCE(LEN(G644)))) - 1)</f>
        <v>NR</v>
      </c>
      <c r="J644" s="129" t="str">
        <f>_xlfn.XLOOKUP(H644,'GK IFT SDM POSTCODES'!A:A,'GK IFT SDM POSTCODES'!B:B,"")</f>
        <v>Andrew Galpin</v>
      </c>
      <c r="K644" s="129"/>
    </row>
    <row r="645" spans="1:11" ht="31.5" x14ac:dyDescent="0.35">
      <c r="A645" s="130" t="s">
        <v>4065</v>
      </c>
      <c r="B645" s="127" t="s">
        <v>602</v>
      </c>
      <c r="C645" s="127" t="s">
        <v>603</v>
      </c>
      <c r="D645" s="133"/>
      <c r="E645" s="127" t="s">
        <v>604</v>
      </c>
      <c r="F645" s="133"/>
      <c r="G645" s="127" t="s">
        <v>4084</v>
      </c>
      <c r="H645" s="131" t="str">
        <f t="shared" si="10"/>
        <v>NR23</v>
      </c>
      <c r="I645" s="131" t="str" cm="1">
        <f t="array" ref="I645">LEFT(G645, MIN(IF(ISNUMBER(--MID(G645, _xlfn.SEQUENCE(LEN(G645)), 1)), _xlfn.SEQUENCE(LEN(G645)))) - 1)</f>
        <v>NR</v>
      </c>
      <c r="J645" s="127" t="s">
        <v>4063</v>
      </c>
      <c r="K645" s="129"/>
    </row>
    <row r="646" spans="1:11" ht="17.25" x14ac:dyDescent="0.35">
      <c r="A646" s="131" t="s">
        <v>4160</v>
      </c>
      <c r="B646" s="128" t="s">
        <v>4387</v>
      </c>
      <c r="C646" s="129"/>
      <c r="D646" s="129"/>
      <c r="E646" s="129"/>
      <c r="F646" s="129"/>
      <c r="G646" s="128" t="s">
        <v>4674</v>
      </c>
      <c r="H646" s="131" t="str">
        <f t="shared" si="10"/>
        <v>NR23</v>
      </c>
      <c r="I646" s="131" t="str" cm="1">
        <f t="array" ref="I646">LEFT(G646, MIN(IF(ISNUMBER(--MID(G646, _xlfn.SEQUENCE(LEN(G646)), 1)), _xlfn.SEQUENCE(LEN(G646)))) - 1)</f>
        <v>NR</v>
      </c>
      <c r="J646" s="129" t="str">
        <f>_xlfn.XLOOKUP(H646,'GK IFT SDM POSTCODES'!A:A,'GK IFT SDM POSTCODES'!B:B,"")</f>
        <v>Andrew Galpin</v>
      </c>
      <c r="K646" s="129"/>
    </row>
    <row r="647" spans="1:11" ht="17.25" x14ac:dyDescent="0.35">
      <c r="A647" s="131" t="s">
        <v>4160</v>
      </c>
      <c r="B647" s="128" t="s">
        <v>4451</v>
      </c>
      <c r="C647" s="129"/>
      <c r="D647" s="129"/>
      <c r="E647" s="129"/>
      <c r="F647" s="129"/>
      <c r="G647" s="128" t="s">
        <v>4711</v>
      </c>
      <c r="H647" s="131" t="str">
        <f t="shared" si="10"/>
        <v>NR23</v>
      </c>
      <c r="I647" s="131" t="str" cm="1">
        <f t="array" ref="I647">LEFT(G647, MIN(IF(ISNUMBER(--MID(G647, _xlfn.SEQUENCE(LEN(G647)), 1)), _xlfn.SEQUENCE(LEN(G647)))) - 1)</f>
        <v>NR</v>
      </c>
      <c r="J647" s="129" t="str">
        <f>_xlfn.XLOOKUP(H647,'GK IFT SDM POSTCODES'!A:A,'GK IFT SDM POSTCODES'!B:B,"")</f>
        <v>Andrew Galpin</v>
      </c>
      <c r="K647" s="129"/>
    </row>
    <row r="648" spans="1:11" ht="17.25" x14ac:dyDescent="0.35">
      <c r="A648" s="131" t="s">
        <v>4160</v>
      </c>
      <c r="B648" s="128" t="s">
        <v>4452</v>
      </c>
      <c r="C648" s="129"/>
      <c r="D648" s="129"/>
      <c r="E648" s="129"/>
      <c r="F648" s="129"/>
      <c r="G648" s="128" t="s">
        <v>4712</v>
      </c>
      <c r="H648" s="131" t="str">
        <f t="shared" si="10"/>
        <v>NR23</v>
      </c>
      <c r="I648" s="131" t="str" cm="1">
        <f t="array" ref="I648">LEFT(G648, MIN(IF(ISNUMBER(--MID(G648, _xlfn.SEQUENCE(LEN(G648)), 1)), _xlfn.SEQUENCE(LEN(G648)))) - 1)</f>
        <v>NR</v>
      </c>
      <c r="J648" s="129" t="str">
        <f>_xlfn.XLOOKUP(H648,'GK IFT SDM POSTCODES'!A:A,'GK IFT SDM POSTCODES'!B:B,"")</f>
        <v>Andrew Galpin</v>
      </c>
      <c r="K648" s="129"/>
    </row>
    <row r="649" spans="1:11" ht="17.25" x14ac:dyDescent="0.35">
      <c r="A649" s="131" t="s">
        <v>4160</v>
      </c>
      <c r="B649" s="128" t="s">
        <v>4230</v>
      </c>
      <c r="C649" s="129"/>
      <c r="D649" s="129"/>
      <c r="E649" s="129"/>
      <c r="F649" s="129"/>
      <c r="G649" s="128" t="s">
        <v>97</v>
      </c>
      <c r="H649" s="131" t="str">
        <f t="shared" si="10"/>
        <v>NR23</v>
      </c>
      <c r="I649" s="131" t="str" cm="1">
        <f t="array" ref="I649">LEFT(G649, MIN(IF(ISNUMBER(--MID(G649, _xlfn.SEQUENCE(LEN(G649)), 1)), _xlfn.SEQUENCE(LEN(G649)))) - 1)</f>
        <v>NR</v>
      </c>
      <c r="J649" s="129" t="str">
        <f>_xlfn.XLOOKUP(H649,'GK IFT SDM POSTCODES'!A:A,'GK IFT SDM POSTCODES'!B:B,"")</f>
        <v>Andrew Galpin</v>
      </c>
      <c r="K649" s="129"/>
    </row>
    <row r="650" spans="1:11" ht="17.25" x14ac:dyDescent="0.35">
      <c r="A650" s="131" t="s">
        <v>4160</v>
      </c>
      <c r="B650" s="128" t="s">
        <v>4186</v>
      </c>
      <c r="C650" s="129"/>
      <c r="D650" s="129"/>
      <c r="E650" s="129"/>
      <c r="F650" s="129"/>
      <c r="G650" s="128" t="s">
        <v>4537</v>
      </c>
      <c r="H650" s="131" t="str">
        <f t="shared" si="10"/>
        <v>NR23</v>
      </c>
      <c r="I650" s="131" t="str" cm="1">
        <f t="array" ref="I650">LEFT(G650, MIN(IF(ISNUMBER(--MID(G650, _xlfn.SEQUENCE(LEN(G650)), 1)), _xlfn.SEQUENCE(LEN(G650)))) - 1)</f>
        <v>NR</v>
      </c>
      <c r="J650" s="129" t="str">
        <f>_xlfn.XLOOKUP(H650,'GK IFT SDM POSTCODES'!A:A,'GK IFT SDM POSTCODES'!B:B,"")</f>
        <v>Andrew Galpin</v>
      </c>
      <c r="K650" s="129"/>
    </row>
    <row r="651" spans="1:11" ht="17.25" x14ac:dyDescent="0.35">
      <c r="A651" s="131" t="s">
        <v>4160</v>
      </c>
      <c r="B651" s="128" t="s">
        <v>4299</v>
      </c>
      <c r="C651" s="129"/>
      <c r="D651" s="129"/>
      <c r="E651" s="129"/>
      <c r="F651" s="129"/>
      <c r="G651" s="128" t="s">
        <v>4614</v>
      </c>
      <c r="H651" s="131" t="str">
        <f t="shared" si="10"/>
        <v>NR24</v>
      </c>
      <c r="I651" s="131" t="str" cm="1">
        <f t="array" ref="I651">LEFT(G651, MIN(IF(ISNUMBER(--MID(G651, _xlfn.SEQUENCE(LEN(G651)), 1)), _xlfn.SEQUENCE(LEN(G651)))) - 1)</f>
        <v>NR</v>
      </c>
      <c r="J651" s="129" t="str">
        <f>_xlfn.XLOOKUP(H651,'GK IFT SDM POSTCODES'!A:A,'GK IFT SDM POSTCODES'!B:B,"")</f>
        <v>Andrew Galpin</v>
      </c>
      <c r="K651" s="129"/>
    </row>
    <row r="652" spans="1:11" ht="17.25" x14ac:dyDescent="0.35">
      <c r="A652" s="129" t="s">
        <v>498</v>
      </c>
      <c r="B652" s="137" t="s">
        <v>5251</v>
      </c>
      <c r="C652" s="137" t="s">
        <v>543</v>
      </c>
      <c r="D652" s="129"/>
      <c r="E652" s="137" t="s">
        <v>164</v>
      </c>
      <c r="F652" s="129"/>
      <c r="G652" s="137" t="s">
        <v>92</v>
      </c>
      <c r="H652" s="131" t="str">
        <f t="shared" si="10"/>
        <v>NR25</v>
      </c>
      <c r="I652" s="131" t="str" cm="1">
        <f t="array" ref="I652">LEFT(G652, MIN(IF(ISNUMBER(--MID(G652, _xlfn.SEQUENCE(LEN(G652)), 1)), _xlfn.SEQUENCE(LEN(G652)))) - 1)</f>
        <v>NR</v>
      </c>
      <c r="J652" s="137" t="s">
        <v>5148</v>
      </c>
      <c r="K652" s="129"/>
    </row>
    <row r="653" spans="1:11" ht="17.25" x14ac:dyDescent="0.35">
      <c r="A653" s="131" t="s">
        <v>4160</v>
      </c>
      <c r="B653" s="128" t="s">
        <v>4260</v>
      </c>
      <c r="C653" s="129"/>
      <c r="D653" s="129"/>
      <c r="E653" s="129"/>
      <c r="F653" s="129"/>
      <c r="G653" s="128" t="s">
        <v>4583</v>
      </c>
      <c r="H653" s="131" t="str">
        <f t="shared" si="10"/>
        <v>NR25</v>
      </c>
      <c r="I653" s="131" t="str" cm="1">
        <f t="array" ref="I653">LEFT(G653, MIN(IF(ISNUMBER(--MID(G653, _xlfn.SEQUENCE(LEN(G653)), 1)), _xlfn.SEQUENCE(LEN(G653)))) - 1)</f>
        <v>NR</v>
      </c>
      <c r="J653" s="129" t="str">
        <f>_xlfn.XLOOKUP(H653,'GK IFT SDM POSTCODES'!A:A,'GK IFT SDM POSTCODES'!B:B,"")</f>
        <v>Andrew Galpin</v>
      </c>
      <c r="K653" s="129"/>
    </row>
    <row r="654" spans="1:11" ht="17.25" x14ac:dyDescent="0.35">
      <c r="A654" s="131" t="s">
        <v>4160</v>
      </c>
      <c r="B654" s="128" t="s">
        <v>4455</v>
      </c>
      <c r="C654" s="129"/>
      <c r="D654" s="129"/>
      <c r="E654" s="129"/>
      <c r="F654" s="129"/>
      <c r="G654" s="128" t="s">
        <v>93</v>
      </c>
      <c r="H654" s="131" t="str">
        <f t="shared" si="10"/>
        <v>NR25</v>
      </c>
      <c r="I654" s="131" t="str" cm="1">
        <f t="array" ref="I654">LEFT(G654, MIN(IF(ISNUMBER(--MID(G654, _xlfn.SEQUENCE(LEN(G654)), 1)), _xlfn.SEQUENCE(LEN(G654)))) - 1)</f>
        <v>NR</v>
      </c>
      <c r="J654" s="129" t="str">
        <f>_xlfn.XLOOKUP(H654,'GK IFT SDM POSTCODES'!A:A,'GK IFT SDM POSTCODES'!B:B,"")</f>
        <v>Andrew Galpin</v>
      </c>
      <c r="K654" s="129"/>
    </row>
    <row r="655" spans="1:11" ht="17.25" x14ac:dyDescent="0.35">
      <c r="A655" s="131" t="s">
        <v>4160</v>
      </c>
      <c r="B655" s="128" t="s">
        <v>4297</v>
      </c>
      <c r="C655" s="129"/>
      <c r="D655" s="129"/>
      <c r="E655" s="129"/>
      <c r="F655" s="129"/>
      <c r="G655" s="128" t="s">
        <v>4612</v>
      </c>
      <c r="H655" s="131" t="str">
        <f t="shared" si="10"/>
        <v>NR25</v>
      </c>
      <c r="I655" s="131" t="str" cm="1">
        <f t="array" ref="I655">LEFT(G655, MIN(IF(ISNUMBER(--MID(G655, _xlfn.SEQUENCE(LEN(G655)), 1)), _xlfn.SEQUENCE(LEN(G655)))) - 1)</f>
        <v>NR</v>
      </c>
      <c r="J655" s="129" t="str">
        <f>_xlfn.XLOOKUP(H655,'GK IFT SDM POSTCODES'!A:A,'GK IFT SDM POSTCODES'!B:B,"")</f>
        <v>Andrew Galpin</v>
      </c>
      <c r="K655" s="129"/>
    </row>
    <row r="656" spans="1:11" ht="17.25" x14ac:dyDescent="0.35">
      <c r="A656" s="131" t="s">
        <v>4160</v>
      </c>
      <c r="B656" s="136" t="s">
        <v>4505</v>
      </c>
      <c r="C656" s="129"/>
      <c r="D656" s="129"/>
      <c r="E656" s="129"/>
      <c r="F656" s="129"/>
      <c r="G656" s="136" t="s">
        <v>4746</v>
      </c>
      <c r="H656" s="131" t="str">
        <f t="shared" si="10"/>
        <v>NR25</v>
      </c>
      <c r="I656" s="131" t="str" cm="1">
        <f t="array" ref="I656">LEFT(G656, MIN(IF(ISNUMBER(--MID(G656, _xlfn.SEQUENCE(LEN(G656)), 1)), _xlfn.SEQUENCE(LEN(G656)))) - 1)</f>
        <v>NR</v>
      </c>
      <c r="J656" s="129" t="str">
        <f>_xlfn.XLOOKUP(H656,'GK IFT SDM POSTCODES'!A:A,'GK IFT SDM POSTCODES'!B:B,"")</f>
        <v>Andrew Galpin</v>
      </c>
      <c r="K656" s="129"/>
    </row>
    <row r="657" spans="1:11" ht="17.25" x14ac:dyDescent="0.35">
      <c r="A657" s="131" t="s">
        <v>4160</v>
      </c>
      <c r="B657" s="128" t="s">
        <v>4181</v>
      </c>
      <c r="C657" s="129"/>
      <c r="D657" s="129"/>
      <c r="E657" s="129"/>
      <c r="F657" s="129"/>
      <c r="G657" s="128" t="s">
        <v>4536</v>
      </c>
      <c r="H657" s="131" t="str">
        <f t="shared" si="10"/>
        <v>NR25</v>
      </c>
      <c r="I657" s="131" t="str" cm="1">
        <f t="array" ref="I657">LEFT(G657, MIN(IF(ISNUMBER(--MID(G657, _xlfn.SEQUENCE(LEN(G657)), 1)), _xlfn.SEQUENCE(LEN(G657)))) - 1)</f>
        <v>NR</v>
      </c>
      <c r="J657" s="129" t="str">
        <f>_xlfn.XLOOKUP(H657,'GK IFT SDM POSTCODES'!A:A,'GK IFT SDM POSTCODES'!B:B,"")</f>
        <v>Andrew Galpin</v>
      </c>
      <c r="K657" s="129"/>
    </row>
    <row r="658" spans="1:11" ht="17.25" x14ac:dyDescent="0.35">
      <c r="A658" s="131" t="s">
        <v>4160</v>
      </c>
      <c r="B658" s="128" t="s">
        <v>4311</v>
      </c>
      <c r="C658" s="129"/>
      <c r="D658" s="129"/>
      <c r="E658" s="129"/>
      <c r="F658" s="129"/>
      <c r="G658" s="128" t="s">
        <v>4622</v>
      </c>
      <c r="H658" s="131" t="str">
        <f t="shared" si="10"/>
        <v>NR25</v>
      </c>
      <c r="I658" s="131" t="str" cm="1">
        <f t="array" ref="I658">LEFT(G658, MIN(IF(ISNUMBER(--MID(G658, _xlfn.SEQUENCE(LEN(G658)), 1)), _xlfn.SEQUENCE(LEN(G658)))) - 1)</f>
        <v>NR</v>
      </c>
      <c r="J658" s="129" t="str">
        <f>_xlfn.XLOOKUP(H658,'GK IFT SDM POSTCODES'!A:A,'GK IFT SDM POSTCODES'!B:B,"")</f>
        <v>Andrew Galpin</v>
      </c>
      <c r="K658" s="129"/>
    </row>
    <row r="659" spans="1:11" ht="17.25" x14ac:dyDescent="0.35">
      <c r="A659" s="131" t="s">
        <v>4160</v>
      </c>
      <c r="B659" s="128" t="s">
        <v>4180</v>
      </c>
      <c r="C659" s="129"/>
      <c r="D659" s="129"/>
      <c r="E659" s="129"/>
      <c r="F659" s="129"/>
      <c r="G659" s="128" t="s">
        <v>4535</v>
      </c>
      <c r="H659" s="131" t="str">
        <f t="shared" si="10"/>
        <v>NR25</v>
      </c>
      <c r="I659" s="131" t="str" cm="1">
        <f t="array" ref="I659">LEFT(G659, MIN(IF(ISNUMBER(--MID(G659, _xlfn.SEQUENCE(LEN(G659)), 1)), _xlfn.SEQUENCE(LEN(G659)))) - 1)</f>
        <v>NR</v>
      </c>
      <c r="J659" s="129" t="str">
        <f>_xlfn.XLOOKUP(H659,'GK IFT SDM POSTCODES'!A:A,'GK IFT SDM POSTCODES'!B:B,"")</f>
        <v>Andrew Galpin</v>
      </c>
      <c r="K659" s="129"/>
    </row>
    <row r="660" spans="1:11" ht="17.25" x14ac:dyDescent="0.35">
      <c r="A660" s="131" t="s">
        <v>4160</v>
      </c>
      <c r="B660" s="128" t="s">
        <v>4275</v>
      </c>
      <c r="C660" s="129"/>
      <c r="D660" s="129"/>
      <c r="E660" s="129"/>
      <c r="F660" s="129"/>
      <c r="G660" s="128" t="s">
        <v>4594</v>
      </c>
      <c r="H660" s="131" t="str">
        <f t="shared" si="10"/>
        <v>NR25</v>
      </c>
      <c r="I660" s="131" t="str" cm="1">
        <f t="array" ref="I660">LEFT(G660, MIN(IF(ISNUMBER(--MID(G660, _xlfn.SEQUENCE(LEN(G660)), 1)), _xlfn.SEQUENCE(LEN(G660)))) - 1)</f>
        <v>NR</v>
      </c>
      <c r="J660" s="129" t="str">
        <f>_xlfn.XLOOKUP(H660,'GK IFT SDM POSTCODES'!A:A,'GK IFT SDM POSTCODES'!B:B,"")</f>
        <v>Andrew Galpin</v>
      </c>
      <c r="K660" s="129"/>
    </row>
    <row r="661" spans="1:11" ht="21" x14ac:dyDescent="0.35">
      <c r="A661" s="130" t="s">
        <v>4065</v>
      </c>
      <c r="B661" s="127" t="s">
        <v>607</v>
      </c>
      <c r="C661" s="127" t="s">
        <v>608</v>
      </c>
      <c r="D661" s="133"/>
      <c r="E661" s="127" t="s">
        <v>4085</v>
      </c>
      <c r="F661" s="133"/>
      <c r="G661" s="127" t="s">
        <v>4081</v>
      </c>
      <c r="H661" s="131" t="str">
        <f t="shared" si="10"/>
        <v>NR25</v>
      </c>
      <c r="I661" s="131" t="str" cm="1">
        <f t="array" ref="I661">LEFT(G661, MIN(IF(ISNUMBER(--MID(G661, _xlfn.SEQUENCE(LEN(G661)), 1)), _xlfn.SEQUENCE(LEN(G661)))) - 1)</f>
        <v>NR</v>
      </c>
      <c r="J661" s="127" t="s">
        <v>4079</v>
      </c>
      <c r="K661" s="129"/>
    </row>
    <row r="662" spans="1:11" ht="21" x14ac:dyDescent="0.35">
      <c r="A662" s="130" t="s">
        <v>4065</v>
      </c>
      <c r="B662" s="127" t="s">
        <v>138</v>
      </c>
      <c r="C662" s="127" t="s">
        <v>4090</v>
      </c>
      <c r="D662" s="133"/>
      <c r="E662" s="127" t="s">
        <v>164</v>
      </c>
      <c r="F662" s="133"/>
      <c r="G662" s="127" t="s">
        <v>4083</v>
      </c>
      <c r="H662" s="131" t="str">
        <f t="shared" si="10"/>
        <v>NR25</v>
      </c>
      <c r="I662" s="131" t="str" cm="1">
        <f t="array" ref="I662">LEFT(G662, MIN(IF(ISNUMBER(--MID(G662, _xlfn.SEQUENCE(LEN(G662)), 1)), _xlfn.SEQUENCE(LEN(G662)))) - 1)</f>
        <v>NR</v>
      </c>
      <c r="J662" s="127" t="s">
        <v>4063</v>
      </c>
      <c r="K662" s="129"/>
    </row>
    <row r="663" spans="1:11" ht="17.25" x14ac:dyDescent="0.35">
      <c r="A663" s="131" t="s">
        <v>4160</v>
      </c>
      <c r="B663" s="128" t="s">
        <v>4464</v>
      </c>
      <c r="C663" s="129"/>
      <c r="D663" s="129"/>
      <c r="E663" s="129"/>
      <c r="F663" s="129"/>
      <c r="G663" s="128" t="s">
        <v>4719</v>
      </c>
      <c r="H663" s="131" t="str">
        <f t="shared" si="10"/>
        <v>NR26</v>
      </c>
      <c r="I663" s="131" t="str" cm="1">
        <f t="array" ref="I663">LEFT(G663, MIN(IF(ISNUMBER(--MID(G663, _xlfn.SEQUENCE(LEN(G663)), 1)), _xlfn.SEQUENCE(LEN(G663)))) - 1)</f>
        <v>NR</v>
      </c>
      <c r="J663" s="129" t="str">
        <f>_xlfn.XLOOKUP(H663,'GK IFT SDM POSTCODES'!A:A,'GK IFT SDM POSTCODES'!B:B,"")</f>
        <v>Andrew Galpin</v>
      </c>
      <c r="K663" s="129"/>
    </row>
    <row r="664" spans="1:11" ht="17.25" x14ac:dyDescent="0.35">
      <c r="A664" s="134" t="s">
        <v>3902</v>
      </c>
      <c r="B664" s="134" t="s">
        <v>3933</v>
      </c>
      <c r="C664" s="134" t="s">
        <v>3524</v>
      </c>
      <c r="D664" s="129"/>
      <c r="E664" s="134" t="s">
        <v>2956</v>
      </c>
      <c r="F664" s="134" t="s">
        <v>55</v>
      </c>
      <c r="G664" s="134" t="s">
        <v>3832</v>
      </c>
      <c r="H664" s="131" t="str">
        <f t="shared" si="10"/>
        <v>NR26</v>
      </c>
      <c r="I664" s="131" t="str" cm="1">
        <f t="array" ref="I664">LEFT(G664, MIN(IF(ISNUMBER(--MID(G664, _xlfn.SEQUENCE(LEN(G664)), 1)), _xlfn.SEQUENCE(LEN(G664)))) - 1)</f>
        <v>NR</v>
      </c>
      <c r="J664" s="134" t="s">
        <v>3985</v>
      </c>
      <c r="K664" s="129"/>
    </row>
    <row r="665" spans="1:11" ht="17.25" x14ac:dyDescent="0.35">
      <c r="A665" s="131" t="s">
        <v>4160</v>
      </c>
      <c r="B665" s="128" t="s">
        <v>4226</v>
      </c>
      <c r="C665" s="129"/>
      <c r="D665" s="129"/>
      <c r="E665" s="129"/>
      <c r="F665" s="129"/>
      <c r="G665" s="128" t="s">
        <v>4564</v>
      </c>
      <c r="H665" s="131" t="str">
        <f t="shared" si="10"/>
        <v>NR26</v>
      </c>
      <c r="I665" s="131" t="str" cm="1">
        <f t="array" ref="I665">LEFT(G665, MIN(IF(ISNUMBER(--MID(G665, _xlfn.SEQUENCE(LEN(G665)), 1)), _xlfn.SEQUENCE(LEN(G665)))) - 1)</f>
        <v>NR</v>
      </c>
      <c r="J665" s="129" t="str">
        <f>_xlfn.XLOOKUP(H665,'GK IFT SDM POSTCODES'!A:A,'GK IFT SDM POSTCODES'!B:B,"")</f>
        <v>Andrew Galpin</v>
      </c>
      <c r="K665" s="129"/>
    </row>
    <row r="666" spans="1:11" ht="17.25" x14ac:dyDescent="0.35">
      <c r="A666" s="131" t="s">
        <v>4160</v>
      </c>
      <c r="B666" s="128" t="s">
        <v>4404</v>
      </c>
      <c r="C666" s="129"/>
      <c r="D666" s="129"/>
      <c r="E666" s="129"/>
      <c r="F666" s="129"/>
      <c r="G666" s="128" t="s">
        <v>4683</v>
      </c>
      <c r="H666" s="131" t="str">
        <f t="shared" si="10"/>
        <v>NR26</v>
      </c>
      <c r="I666" s="131" t="str" cm="1">
        <f t="array" ref="I666">LEFT(G666, MIN(IF(ISNUMBER(--MID(G666, _xlfn.SEQUENCE(LEN(G666)), 1)), _xlfn.SEQUENCE(LEN(G666)))) - 1)</f>
        <v>NR</v>
      </c>
      <c r="J666" s="129" t="str">
        <f>_xlfn.XLOOKUP(H666,'GK IFT SDM POSTCODES'!A:A,'GK IFT SDM POSTCODES'!B:B,"")</f>
        <v>Andrew Galpin</v>
      </c>
      <c r="K666" s="129"/>
    </row>
    <row r="667" spans="1:11" ht="17.25" x14ac:dyDescent="0.35">
      <c r="A667" s="134" t="s">
        <v>3902</v>
      </c>
      <c r="B667" s="134" t="s">
        <v>3934</v>
      </c>
      <c r="C667" s="134" t="s">
        <v>2927</v>
      </c>
      <c r="D667" s="129"/>
      <c r="E667" s="134" t="s">
        <v>2956</v>
      </c>
      <c r="F667" s="134" t="s">
        <v>55</v>
      </c>
      <c r="G667" s="134" t="s">
        <v>3622</v>
      </c>
      <c r="H667" s="131" t="str">
        <f t="shared" si="10"/>
        <v>NR26</v>
      </c>
      <c r="I667" s="131" t="str" cm="1">
        <f t="array" ref="I667">LEFT(G667, MIN(IF(ISNUMBER(--MID(G667, _xlfn.SEQUENCE(LEN(G667)), 1)), _xlfn.SEQUENCE(LEN(G667)))) - 1)</f>
        <v>NR</v>
      </c>
      <c r="J667" s="134" t="s">
        <v>3985</v>
      </c>
      <c r="K667" s="129"/>
    </row>
    <row r="668" spans="1:11" ht="17.25" x14ac:dyDescent="0.35">
      <c r="A668" s="134" t="s">
        <v>7</v>
      </c>
      <c r="B668" s="134" t="s">
        <v>3935</v>
      </c>
      <c r="C668" s="134" t="s">
        <v>3281</v>
      </c>
      <c r="D668" s="129"/>
      <c r="E668" s="134" t="s">
        <v>2956</v>
      </c>
      <c r="F668" s="134" t="s">
        <v>55</v>
      </c>
      <c r="G668" s="134" t="s">
        <v>3833</v>
      </c>
      <c r="H668" s="131" t="str">
        <f t="shared" si="10"/>
        <v>NR26</v>
      </c>
      <c r="I668" s="131" t="str" cm="1">
        <f t="array" ref="I668">LEFT(G668, MIN(IF(ISNUMBER(--MID(G668, _xlfn.SEQUENCE(LEN(G668)), 1)), _xlfn.SEQUENCE(LEN(G668)))) - 1)</f>
        <v>NR</v>
      </c>
      <c r="J668" s="134" t="s">
        <v>3801</v>
      </c>
      <c r="K668" s="129"/>
    </row>
    <row r="669" spans="1:11" ht="17.25" x14ac:dyDescent="0.35">
      <c r="A669" s="131" t="s">
        <v>4160</v>
      </c>
      <c r="B669" s="136" t="s">
        <v>4508</v>
      </c>
      <c r="C669" s="129"/>
      <c r="D669" s="129"/>
      <c r="E669" s="129"/>
      <c r="F669" s="129"/>
      <c r="G669" s="136" t="s">
        <v>4749</v>
      </c>
      <c r="H669" s="131" t="str">
        <f t="shared" si="10"/>
        <v>NR26</v>
      </c>
      <c r="I669" s="131" t="str" cm="1">
        <f t="array" ref="I669">LEFT(G669, MIN(IF(ISNUMBER(--MID(G669, _xlfn.SEQUENCE(LEN(G669)), 1)), _xlfn.SEQUENCE(LEN(G669)))) - 1)</f>
        <v>NR</v>
      </c>
      <c r="J669" s="129" t="str">
        <f>_xlfn.XLOOKUP(H669,'GK IFT SDM POSTCODES'!A:A,'GK IFT SDM POSTCODES'!B:B,"")</f>
        <v>Andrew Galpin</v>
      </c>
      <c r="K669" s="129"/>
    </row>
    <row r="670" spans="1:11" ht="17.25" x14ac:dyDescent="0.35">
      <c r="A670" s="131" t="s">
        <v>4160</v>
      </c>
      <c r="B670" s="128" t="s">
        <v>4347</v>
      </c>
      <c r="C670" s="129"/>
      <c r="D670" s="129"/>
      <c r="E670" s="129"/>
      <c r="F670" s="129"/>
      <c r="G670" s="128" t="s">
        <v>4645</v>
      </c>
      <c r="H670" s="131" t="str">
        <f t="shared" si="10"/>
        <v>NR26</v>
      </c>
      <c r="I670" s="131" t="str" cm="1">
        <f t="array" ref="I670">LEFT(G670, MIN(IF(ISNUMBER(--MID(G670, _xlfn.SEQUENCE(LEN(G670)), 1)), _xlfn.SEQUENCE(LEN(G670)))) - 1)</f>
        <v>NR</v>
      </c>
      <c r="J670" s="129" t="str">
        <f>_xlfn.XLOOKUP(H670,'GK IFT SDM POSTCODES'!A:A,'GK IFT SDM POSTCODES'!B:B,"")</f>
        <v>Andrew Galpin</v>
      </c>
      <c r="K670" s="129"/>
    </row>
    <row r="671" spans="1:11" ht="17.25" x14ac:dyDescent="0.35">
      <c r="A671" s="131" t="s">
        <v>4160</v>
      </c>
      <c r="B671" s="128" t="s">
        <v>4225</v>
      </c>
      <c r="C671" s="129"/>
      <c r="D671" s="129"/>
      <c r="E671" s="129"/>
      <c r="F671" s="129"/>
      <c r="G671" s="128" t="s">
        <v>787</v>
      </c>
      <c r="H671" s="131" t="str">
        <f t="shared" si="10"/>
        <v>NR27</v>
      </c>
      <c r="I671" s="131" t="str" cm="1">
        <f t="array" ref="I671">LEFT(G671, MIN(IF(ISNUMBER(--MID(G671, _xlfn.SEQUENCE(LEN(G671)), 1)), _xlfn.SEQUENCE(LEN(G671)))) - 1)</f>
        <v>NR</v>
      </c>
      <c r="J671" s="129" t="str">
        <f>_xlfn.XLOOKUP(H671,'GK IFT SDM POSTCODES'!A:A,'GK IFT SDM POSTCODES'!B:B,"")</f>
        <v>Andrew Galpin</v>
      </c>
      <c r="K671" s="129"/>
    </row>
    <row r="672" spans="1:11" ht="17.25" x14ac:dyDescent="0.35">
      <c r="A672" s="131" t="s">
        <v>4160</v>
      </c>
      <c r="B672" s="128" t="s">
        <v>4463</v>
      </c>
      <c r="C672" s="129"/>
      <c r="D672" s="129"/>
      <c r="E672" s="129"/>
      <c r="F672" s="129"/>
      <c r="G672" s="128" t="s">
        <v>787</v>
      </c>
      <c r="H672" s="131" t="str">
        <f t="shared" si="10"/>
        <v>NR27</v>
      </c>
      <c r="I672" s="131" t="str" cm="1">
        <f t="array" ref="I672">LEFT(G672, MIN(IF(ISNUMBER(--MID(G672, _xlfn.SEQUENCE(LEN(G672)), 1)), _xlfn.SEQUENCE(LEN(G672)))) - 1)</f>
        <v>NR</v>
      </c>
      <c r="J672" s="129" t="str">
        <f>_xlfn.XLOOKUP(H672,'GK IFT SDM POSTCODES'!A:A,'GK IFT SDM POSTCODES'!B:B,"")</f>
        <v>Andrew Galpin</v>
      </c>
      <c r="K672" s="129"/>
    </row>
    <row r="673" spans="1:11" ht="17.25" x14ac:dyDescent="0.35">
      <c r="A673" s="131" t="s">
        <v>4160</v>
      </c>
      <c r="B673" s="128" t="s">
        <v>4163</v>
      </c>
      <c r="C673" s="129"/>
      <c r="D673" s="129"/>
      <c r="E673" s="129"/>
      <c r="F673" s="129"/>
      <c r="G673" s="128" t="s">
        <v>4520</v>
      </c>
      <c r="H673" s="131" t="str">
        <f t="shared" si="10"/>
        <v>NR27</v>
      </c>
      <c r="I673" s="131" t="str" cm="1">
        <f t="array" ref="I673">LEFT(G673, MIN(IF(ISNUMBER(--MID(G673, _xlfn.SEQUENCE(LEN(G673)), 1)), _xlfn.SEQUENCE(LEN(G673)))) - 1)</f>
        <v>NR</v>
      </c>
      <c r="J673" s="129" t="str">
        <f>_xlfn.XLOOKUP(H673,'GK IFT SDM POSTCODES'!A:A,'GK IFT SDM POSTCODES'!B:B,"")</f>
        <v>Andrew Galpin</v>
      </c>
      <c r="K673" s="129"/>
    </row>
    <row r="674" spans="1:11" ht="17.25" x14ac:dyDescent="0.35">
      <c r="A674" s="131" t="s">
        <v>4160</v>
      </c>
      <c r="B674" s="128" t="s">
        <v>4394</v>
      </c>
      <c r="C674" s="129"/>
      <c r="D674" s="129"/>
      <c r="E674" s="129"/>
      <c r="F674" s="129"/>
      <c r="G674" s="128" t="s">
        <v>165</v>
      </c>
      <c r="H674" s="131" t="str">
        <f t="shared" si="10"/>
        <v>NR27</v>
      </c>
      <c r="I674" s="131" t="str" cm="1">
        <f t="array" ref="I674">LEFT(G674, MIN(IF(ISNUMBER(--MID(G674, _xlfn.SEQUENCE(LEN(G674)), 1)), _xlfn.SEQUENCE(LEN(G674)))) - 1)</f>
        <v>NR</v>
      </c>
      <c r="J674" s="129" t="str">
        <f>_xlfn.XLOOKUP(H674,'GK IFT SDM POSTCODES'!A:A,'GK IFT SDM POSTCODES'!B:B,"")</f>
        <v>Andrew Galpin</v>
      </c>
      <c r="K674" s="129"/>
    </row>
    <row r="675" spans="1:11" ht="17.25" x14ac:dyDescent="0.35">
      <c r="A675" s="134" t="s">
        <v>7</v>
      </c>
      <c r="B675" s="134" t="s">
        <v>3936</v>
      </c>
      <c r="C675" s="134" t="s">
        <v>1749</v>
      </c>
      <c r="D675" s="129"/>
      <c r="E675" s="134" t="s">
        <v>524</v>
      </c>
      <c r="F675" s="134" t="s">
        <v>55</v>
      </c>
      <c r="G675" s="134" t="s">
        <v>3617</v>
      </c>
      <c r="H675" s="131" t="str">
        <f t="shared" si="10"/>
        <v>NR27</v>
      </c>
      <c r="I675" s="131" t="str" cm="1">
        <f t="array" ref="I675">LEFT(G675, MIN(IF(ISNUMBER(--MID(G675, _xlfn.SEQUENCE(LEN(G675)), 1)), _xlfn.SEQUENCE(LEN(G675)))) - 1)</f>
        <v>NR</v>
      </c>
      <c r="J675" s="134" t="s">
        <v>3801</v>
      </c>
      <c r="K675" s="129"/>
    </row>
    <row r="676" spans="1:11" ht="17.25" x14ac:dyDescent="0.35">
      <c r="A676" s="129" t="s">
        <v>498</v>
      </c>
      <c r="B676" s="137" t="s">
        <v>5223</v>
      </c>
      <c r="C676" s="137" t="s">
        <v>5224</v>
      </c>
      <c r="D676" s="129"/>
      <c r="E676" s="137" t="s">
        <v>524</v>
      </c>
      <c r="F676" s="129"/>
      <c r="G676" s="137" t="s">
        <v>442</v>
      </c>
      <c r="H676" s="131" t="str">
        <f t="shared" si="10"/>
        <v>NR27</v>
      </c>
      <c r="I676" s="131" t="str" cm="1">
        <f t="array" ref="I676">LEFT(G676, MIN(IF(ISNUMBER(--MID(G676, _xlfn.SEQUENCE(LEN(G676)), 1)), _xlfn.SEQUENCE(LEN(G676)))) - 1)</f>
        <v>NR</v>
      </c>
      <c r="J676" s="137" t="s">
        <v>5148</v>
      </c>
      <c r="K676" s="129"/>
    </row>
    <row r="677" spans="1:11" ht="17.25" x14ac:dyDescent="0.35">
      <c r="A677" s="130" t="s">
        <v>4065</v>
      </c>
      <c r="B677" s="127" t="s">
        <v>113</v>
      </c>
      <c r="C677" s="127" t="s">
        <v>89</v>
      </c>
      <c r="D677" s="133"/>
      <c r="E677" s="127" t="s">
        <v>524</v>
      </c>
      <c r="F677" s="133"/>
      <c r="G677" s="127" t="s">
        <v>163</v>
      </c>
      <c r="H677" s="131" t="str">
        <f t="shared" si="10"/>
        <v>NR27</v>
      </c>
      <c r="I677" s="131" t="str" cm="1">
        <f t="array" ref="I677">LEFT(G677, MIN(IF(ISNUMBER(--MID(G677, _xlfn.SEQUENCE(LEN(G677)), 1)), _xlfn.SEQUENCE(LEN(G677)))) - 1)</f>
        <v>NR</v>
      </c>
      <c r="J677" s="127" t="s">
        <v>4079</v>
      </c>
      <c r="K677" s="129"/>
    </row>
    <row r="678" spans="1:11" ht="17.25" x14ac:dyDescent="0.35">
      <c r="A678" s="131" t="s">
        <v>4160</v>
      </c>
      <c r="B678" s="128" t="s">
        <v>4265</v>
      </c>
      <c r="C678" s="129"/>
      <c r="D678" s="129"/>
      <c r="E678" s="129"/>
      <c r="F678" s="129"/>
      <c r="G678" s="128" t="s">
        <v>441</v>
      </c>
      <c r="H678" s="131" t="str">
        <f t="shared" si="10"/>
        <v>NR27</v>
      </c>
      <c r="I678" s="131" t="str" cm="1">
        <f t="array" ref="I678">LEFT(G678, MIN(IF(ISNUMBER(--MID(G678, _xlfn.SEQUENCE(LEN(G678)), 1)), _xlfn.SEQUENCE(LEN(G678)))) - 1)</f>
        <v>NR</v>
      </c>
      <c r="J678" s="129" t="str">
        <f>_xlfn.XLOOKUP(H678,'GK IFT SDM POSTCODES'!A:A,'GK IFT SDM POSTCODES'!B:B,"")</f>
        <v>Andrew Galpin</v>
      </c>
      <c r="K678" s="129"/>
    </row>
    <row r="679" spans="1:11" ht="17.25" x14ac:dyDescent="0.35">
      <c r="A679" s="131" t="s">
        <v>4160</v>
      </c>
      <c r="B679" s="128" t="s">
        <v>4363</v>
      </c>
      <c r="C679" s="129"/>
      <c r="D679" s="129"/>
      <c r="E679" s="129"/>
      <c r="F679" s="129"/>
      <c r="G679" s="128" t="s">
        <v>4657</v>
      </c>
      <c r="H679" s="131" t="str">
        <f t="shared" si="10"/>
        <v>NR28</v>
      </c>
      <c r="I679" s="131" t="str" cm="1">
        <f t="array" ref="I679">LEFT(G679, MIN(IF(ISNUMBER(--MID(G679, _xlfn.SEQUENCE(LEN(G679)), 1)), _xlfn.SEQUENCE(LEN(G679)))) - 1)</f>
        <v>NR</v>
      </c>
      <c r="J679" s="129" t="str">
        <f>_xlfn.XLOOKUP(H679,'GK IFT SDM POSTCODES'!A:A,'GK IFT SDM POSTCODES'!B:B,"")</f>
        <v>Andrew Galpin</v>
      </c>
      <c r="K679" s="129"/>
    </row>
    <row r="680" spans="1:11" ht="17.25" x14ac:dyDescent="0.35">
      <c r="A680" s="131" t="s">
        <v>4160</v>
      </c>
      <c r="B680" s="128" t="s">
        <v>4304</v>
      </c>
      <c r="C680" s="129"/>
      <c r="D680" s="129"/>
      <c r="E680" s="129"/>
      <c r="F680" s="129"/>
      <c r="G680" s="128" t="s">
        <v>4617</v>
      </c>
      <c r="H680" s="131" t="str">
        <f t="shared" si="10"/>
        <v>NR28</v>
      </c>
      <c r="I680" s="131" t="str" cm="1">
        <f t="array" ref="I680">LEFT(G680, MIN(IF(ISNUMBER(--MID(G680, _xlfn.SEQUENCE(LEN(G680)), 1)), _xlfn.SEQUENCE(LEN(G680)))) - 1)</f>
        <v>NR</v>
      </c>
      <c r="J680" s="129" t="str">
        <f>_xlfn.XLOOKUP(H680,'GK IFT SDM POSTCODES'!A:A,'GK IFT SDM POSTCODES'!B:B,"")</f>
        <v>Andrew Galpin</v>
      </c>
      <c r="K680" s="129"/>
    </row>
    <row r="681" spans="1:11" ht="17.25" x14ac:dyDescent="0.35">
      <c r="A681" s="131" t="s">
        <v>4160</v>
      </c>
      <c r="B681" s="128" t="s">
        <v>4475</v>
      </c>
      <c r="C681" s="129"/>
      <c r="D681" s="129"/>
      <c r="E681" s="129"/>
      <c r="F681" s="129"/>
      <c r="G681" s="128" t="s">
        <v>4617</v>
      </c>
      <c r="H681" s="131" t="str">
        <f t="shared" si="10"/>
        <v>NR28</v>
      </c>
      <c r="I681" s="131" t="str" cm="1">
        <f t="array" ref="I681">LEFT(G681, MIN(IF(ISNUMBER(--MID(G681, _xlfn.SEQUENCE(LEN(G681)), 1)), _xlfn.SEQUENCE(LEN(G681)))) - 1)</f>
        <v>NR</v>
      </c>
      <c r="J681" s="129" t="str">
        <f>_xlfn.XLOOKUP(H681,'GK IFT SDM POSTCODES'!A:A,'GK IFT SDM POSTCODES'!B:B,"")</f>
        <v>Andrew Galpin</v>
      </c>
      <c r="K681" s="129"/>
    </row>
    <row r="682" spans="1:11" ht="17.25" x14ac:dyDescent="0.35">
      <c r="A682" s="131" t="s">
        <v>4160</v>
      </c>
      <c r="B682" s="128" t="s">
        <v>4435</v>
      </c>
      <c r="C682" s="129"/>
      <c r="D682" s="129"/>
      <c r="E682" s="129"/>
      <c r="F682" s="129"/>
      <c r="G682" s="128" t="s">
        <v>4701</v>
      </c>
      <c r="H682" s="131" t="str">
        <f t="shared" si="10"/>
        <v>NR28</v>
      </c>
      <c r="I682" s="131" t="str" cm="1">
        <f t="array" ref="I682">LEFT(G682, MIN(IF(ISNUMBER(--MID(G682, _xlfn.SEQUENCE(LEN(G682)), 1)), _xlfn.SEQUENCE(LEN(G682)))) - 1)</f>
        <v>NR</v>
      </c>
      <c r="J682" s="129" t="str">
        <f>_xlfn.XLOOKUP(H682,'GK IFT SDM POSTCODES'!A:A,'GK IFT SDM POSTCODES'!B:B,"")</f>
        <v>Andrew Galpin</v>
      </c>
      <c r="K682" s="129"/>
    </row>
    <row r="683" spans="1:11" ht="17.25" x14ac:dyDescent="0.35">
      <c r="A683" s="131" t="s">
        <v>4160</v>
      </c>
      <c r="B683" s="128" t="s">
        <v>4183</v>
      </c>
      <c r="C683" s="129"/>
      <c r="D683" s="129"/>
      <c r="E683" s="129"/>
      <c r="F683" s="129"/>
      <c r="G683" s="128" t="s">
        <v>398</v>
      </c>
      <c r="H683" s="131" t="str">
        <f t="shared" si="10"/>
        <v>NR28</v>
      </c>
      <c r="I683" s="131" t="str" cm="1">
        <f t="array" ref="I683">LEFT(G683, MIN(IF(ISNUMBER(--MID(G683, _xlfn.SEQUENCE(LEN(G683)), 1)), _xlfn.SEQUENCE(LEN(G683)))) - 1)</f>
        <v>NR</v>
      </c>
      <c r="J683" s="129" t="str">
        <f>_xlfn.XLOOKUP(H683,'GK IFT SDM POSTCODES'!A:A,'GK IFT SDM POSTCODES'!B:B,"")</f>
        <v>Andrew Galpin</v>
      </c>
      <c r="K683" s="129"/>
    </row>
    <row r="684" spans="1:11" ht="17.25" x14ac:dyDescent="0.35">
      <c r="A684" s="131" t="s">
        <v>4160</v>
      </c>
      <c r="B684" s="128" t="s">
        <v>4332</v>
      </c>
      <c r="C684" s="129"/>
      <c r="D684" s="129"/>
      <c r="E684" s="129"/>
      <c r="F684" s="129"/>
      <c r="G684" s="128" t="s">
        <v>4635</v>
      </c>
      <c r="H684" s="131" t="str">
        <f t="shared" si="10"/>
        <v>NR28</v>
      </c>
      <c r="I684" s="131" t="str" cm="1">
        <f t="array" ref="I684">LEFT(G684, MIN(IF(ISNUMBER(--MID(G684, _xlfn.SEQUENCE(LEN(G684)), 1)), _xlfn.SEQUENCE(LEN(G684)))) - 1)</f>
        <v>NR</v>
      </c>
      <c r="J684" s="129" t="str">
        <f>_xlfn.XLOOKUP(H684,'GK IFT SDM POSTCODES'!A:A,'GK IFT SDM POSTCODES'!B:B,"")</f>
        <v>Andrew Galpin</v>
      </c>
      <c r="K684" s="129"/>
    </row>
    <row r="685" spans="1:11" ht="17.25" x14ac:dyDescent="0.35">
      <c r="A685" s="134" t="s">
        <v>7</v>
      </c>
      <c r="B685" s="134" t="s">
        <v>3937</v>
      </c>
      <c r="C685" s="134" t="s">
        <v>578</v>
      </c>
      <c r="D685" s="129"/>
      <c r="E685" s="134" t="s">
        <v>396</v>
      </c>
      <c r="F685" s="134" t="s">
        <v>55</v>
      </c>
      <c r="G685" s="134" t="s">
        <v>402</v>
      </c>
      <c r="H685" s="131" t="str">
        <f t="shared" si="10"/>
        <v>NR28</v>
      </c>
      <c r="I685" s="131" t="str" cm="1">
        <f t="array" ref="I685">LEFT(G685, MIN(IF(ISNUMBER(--MID(G685, _xlfn.SEQUENCE(LEN(G685)), 1)), _xlfn.SEQUENCE(LEN(G685)))) - 1)</f>
        <v>NR</v>
      </c>
      <c r="J685" s="134" t="s">
        <v>3987</v>
      </c>
      <c r="K685" s="129"/>
    </row>
    <row r="686" spans="1:11" ht="17.25" x14ac:dyDescent="0.35">
      <c r="A686" s="134" t="s">
        <v>7</v>
      </c>
      <c r="B686" s="134" t="s">
        <v>3938</v>
      </c>
      <c r="C686" s="134" t="s">
        <v>2596</v>
      </c>
      <c r="D686" s="129"/>
      <c r="E686" s="134" t="s">
        <v>396</v>
      </c>
      <c r="F686" s="134" t="s">
        <v>55</v>
      </c>
      <c r="G686" s="134" t="s">
        <v>397</v>
      </c>
      <c r="H686" s="131" t="str">
        <f t="shared" si="10"/>
        <v>NR28</v>
      </c>
      <c r="I686" s="131" t="str" cm="1">
        <f t="array" ref="I686">LEFT(G686, MIN(IF(ISNUMBER(--MID(G686, _xlfn.SEQUENCE(LEN(G686)), 1)), _xlfn.SEQUENCE(LEN(G686)))) - 1)</f>
        <v>NR</v>
      </c>
      <c r="J686" s="134" t="s">
        <v>3801</v>
      </c>
      <c r="K686" s="129"/>
    </row>
    <row r="687" spans="1:11" ht="17.25" x14ac:dyDescent="0.35">
      <c r="A687" s="131" t="s">
        <v>4160</v>
      </c>
      <c r="B687" s="128" t="s">
        <v>4194</v>
      </c>
      <c r="C687" s="129"/>
      <c r="D687" s="129"/>
      <c r="E687" s="129"/>
      <c r="F687" s="129"/>
      <c r="G687" s="128" t="s">
        <v>4543</v>
      </c>
      <c r="H687" s="131" t="str">
        <f t="shared" si="10"/>
        <v>NR29</v>
      </c>
      <c r="I687" s="131" t="str" cm="1">
        <f t="array" ref="I687">LEFT(G687, MIN(IF(ISNUMBER(--MID(G687, _xlfn.SEQUENCE(LEN(G687)), 1)), _xlfn.SEQUENCE(LEN(G687)))) - 1)</f>
        <v>NR</v>
      </c>
      <c r="J687" s="129" t="str">
        <f>_xlfn.XLOOKUP(H687,'GK IFT SDM POSTCODES'!A:A,'GK IFT SDM POSTCODES'!B:B,"")</f>
        <v>Andrew Galpin</v>
      </c>
      <c r="K687" s="129"/>
    </row>
    <row r="688" spans="1:11" ht="17.25" x14ac:dyDescent="0.35">
      <c r="A688" s="131" t="s">
        <v>4160</v>
      </c>
      <c r="B688" s="128" t="s">
        <v>4314</v>
      </c>
      <c r="C688" s="129"/>
      <c r="D688" s="129"/>
      <c r="E688" s="129"/>
      <c r="F688" s="129"/>
      <c r="G688" s="128" t="s">
        <v>4623</v>
      </c>
      <c r="H688" s="131" t="str">
        <f t="shared" si="10"/>
        <v>NR29</v>
      </c>
      <c r="I688" s="131" t="str" cm="1">
        <f t="array" ref="I688">LEFT(G688, MIN(IF(ISNUMBER(--MID(G688, _xlfn.SEQUENCE(LEN(G688)), 1)), _xlfn.SEQUENCE(LEN(G688)))) - 1)</f>
        <v>NR</v>
      </c>
      <c r="J688" s="129" t="str">
        <f>_xlfn.XLOOKUP(H688,'GK IFT SDM POSTCODES'!A:A,'GK IFT SDM POSTCODES'!B:B,"")</f>
        <v>Andrew Galpin</v>
      </c>
      <c r="K688" s="129"/>
    </row>
    <row r="689" spans="1:11" ht="17.25" x14ac:dyDescent="0.35">
      <c r="A689" s="131" t="s">
        <v>4160</v>
      </c>
      <c r="B689" s="128" t="s">
        <v>4185</v>
      </c>
      <c r="C689" s="129"/>
      <c r="D689" s="129"/>
      <c r="E689" s="129"/>
      <c r="F689" s="129"/>
      <c r="G689" s="128" t="s">
        <v>365</v>
      </c>
      <c r="H689" s="131" t="str">
        <f t="shared" si="10"/>
        <v>NR29</v>
      </c>
      <c r="I689" s="131" t="str" cm="1">
        <f t="array" ref="I689">LEFT(G689, MIN(IF(ISNUMBER(--MID(G689, _xlfn.SEQUENCE(LEN(G689)), 1)), _xlfn.SEQUENCE(LEN(G689)))) - 1)</f>
        <v>NR</v>
      </c>
      <c r="J689" s="129" t="str">
        <f>_xlfn.XLOOKUP(H689,'GK IFT SDM POSTCODES'!A:A,'GK IFT SDM POSTCODES'!B:B,"")</f>
        <v>Andrew Galpin</v>
      </c>
      <c r="K689" s="129"/>
    </row>
    <row r="690" spans="1:11" ht="17.25" x14ac:dyDescent="0.35">
      <c r="A690" s="134" t="s">
        <v>7</v>
      </c>
      <c r="B690" s="134" t="s">
        <v>3939</v>
      </c>
      <c r="C690" s="134" t="s">
        <v>3867</v>
      </c>
      <c r="D690" s="129"/>
      <c r="E690" s="134" t="s">
        <v>153</v>
      </c>
      <c r="F690" s="134" t="s">
        <v>55</v>
      </c>
      <c r="G690" s="134" t="s">
        <v>366</v>
      </c>
      <c r="H690" s="131" t="str">
        <f t="shared" si="10"/>
        <v>NR29</v>
      </c>
      <c r="I690" s="131" t="str" cm="1">
        <f t="array" ref="I690">LEFT(G690, MIN(IF(ISNUMBER(--MID(G690, _xlfn.SEQUENCE(LEN(G690)), 1)), _xlfn.SEQUENCE(LEN(G690)))) - 1)</f>
        <v>NR</v>
      </c>
      <c r="J690" s="134" t="s">
        <v>3987</v>
      </c>
      <c r="K690" s="129"/>
    </row>
    <row r="691" spans="1:11" ht="17.25" x14ac:dyDescent="0.35">
      <c r="A691" s="131" t="s">
        <v>4160</v>
      </c>
      <c r="B691" s="128" t="s">
        <v>4264</v>
      </c>
      <c r="C691" s="129"/>
      <c r="D691" s="129"/>
      <c r="E691" s="129"/>
      <c r="F691" s="129"/>
      <c r="G691" s="128" t="s">
        <v>4587</v>
      </c>
      <c r="H691" s="131" t="str">
        <f t="shared" si="10"/>
        <v>NR29</v>
      </c>
      <c r="I691" s="131" t="str" cm="1">
        <f t="array" ref="I691">LEFT(G691, MIN(IF(ISNUMBER(--MID(G691, _xlfn.SEQUENCE(LEN(G691)), 1)), _xlfn.SEQUENCE(LEN(G691)))) - 1)</f>
        <v>NR</v>
      </c>
      <c r="J691" s="129" t="str">
        <f>_xlfn.XLOOKUP(H691,'GK IFT SDM POSTCODES'!A:A,'GK IFT SDM POSTCODES'!B:B,"")</f>
        <v>Andrew Galpin</v>
      </c>
      <c r="K691" s="129"/>
    </row>
    <row r="692" spans="1:11" ht="17.25" x14ac:dyDescent="0.35">
      <c r="A692" s="131" t="s">
        <v>4160</v>
      </c>
      <c r="B692" s="136" t="s">
        <v>4503</v>
      </c>
      <c r="C692" s="129"/>
      <c r="D692" s="129"/>
      <c r="E692" s="129"/>
      <c r="F692" s="129"/>
      <c r="G692" s="136" t="s">
        <v>4744</v>
      </c>
      <c r="H692" s="131" t="str">
        <f t="shared" si="10"/>
        <v>NR29</v>
      </c>
      <c r="I692" s="131" t="str" cm="1">
        <f t="array" ref="I692">LEFT(G692, MIN(IF(ISNUMBER(--MID(G692, _xlfn.SEQUENCE(LEN(G692)), 1)), _xlfn.SEQUENCE(LEN(G692)))) - 1)</f>
        <v>NR</v>
      </c>
      <c r="J692" s="129" t="str">
        <f>_xlfn.XLOOKUP(H692,'GK IFT SDM POSTCODES'!A:A,'GK IFT SDM POSTCODES'!B:B,"")</f>
        <v>Andrew Galpin</v>
      </c>
      <c r="K692" s="129"/>
    </row>
    <row r="693" spans="1:11" ht="17.25" x14ac:dyDescent="0.35">
      <c r="A693" s="134" t="s">
        <v>3902</v>
      </c>
      <c r="B693" s="134" t="s">
        <v>3940</v>
      </c>
      <c r="C693" s="134" t="s">
        <v>3868</v>
      </c>
      <c r="D693" s="129"/>
      <c r="E693" s="134" t="s">
        <v>153</v>
      </c>
      <c r="F693" s="134" t="s">
        <v>55</v>
      </c>
      <c r="G693" s="134" t="s">
        <v>3834</v>
      </c>
      <c r="H693" s="131" t="str">
        <f t="shared" si="10"/>
        <v>NR29</v>
      </c>
      <c r="I693" s="131" t="str" cm="1">
        <f t="array" ref="I693">LEFT(G693, MIN(IF(ISNUMBER(--MID(G693, _xlfn.SEQUENCE(LEN(G693)), 1)), _xlfn.SEQUENCE(LEN(G693)))) - 1)</f>
        <v>NR</v>
      </c>
      <c r="J693" s="134" t="s">
        <v>3986</v>
      </c>
      <c r="K693" s="129"/>
    </row>
    <row r="694" spans="1:11" ht="17.25" x14ac:dyDescent="0.35">
      <c r="A694" s="131" t="s">
        <v>4160</v>
      </c>
      <c r="B694" s="128" t="s">
        <v>4268</v>
      </c>
      <c r="C694" s="129"/>
      <c r="D694" s="129"/>
      <c r="E694" s="129"/>
      <c r="F694" s="129"/>
      <c r="G694" s="128" t="s">
        <v>4588</v>
      </c>
      <c r="H694" s="131" t="str">
        <f t="shared" si="10"/>
        <v>NR29</v>
      </c>
      <c r="I694" s="131" t="str" cm="1">
        <f t="array" ref="I694">LEFT(G694, MIN(IF(ISNUMBER(--MID(G694, _xlfn.SEQUENCE(LEN(G694)), 1)), _xlfn.SEQUENCE(LEN(G694)))) - 1)</f>
        <v>NR</v>
      </c>
      <c r="J694" s="129" t="str">
        <f>_xlfn.XLOOKUP(H694,'GK IFT SDM POSTCODES'!A:A,'GK IFT SDM POSTCODES'!B:B,"")</f>
        <v>Andrew Galpin</v>
      </c>
      <c r="K694" s="129"/>
    </row>
    <row r="695" spans="1:11" ht="17.25" x14ac:dyDescent="0.35">
      <c r="A695" s="131" t="s">
        <v>4160</v>
      </c>
      <c r="B695" s="128" t="s">
        <v>4293</v>
      </c>
      <c r="C695" s="129"/>
      <c r="D695" s="129"/>
      <c r="E695" s="129"/>
      <c r="F695" s="129"/>
      <c r="G695" s="128" t="s">
        <v>4609</v>
      </c>
      <c r="H695" s="131" t="str">
        <f t="shared" si="10"/>
        <v>NR29</v>
      </c>
      <c r="I695" s="131" t="str" cm="1">
        <f t="array" ref="I695">LEFT(G695, MIN(IF(ISNUMBER(--MID(G695, _xlfn.SEQUENCE(LEN(G695)), 1)), _xlfn.SEQUENCE(LEN(G695)))) - 1)</f>
        <v>NR</v>
      </c>
      <c r="J695" s="129" t="str">
        <f>_xlfn.XLOOKUP(H695,'GK IFT SDM POSTCODES'!A:A,'GK IFT SDM POSTCODES'!B:B,"")</f>
        <v>Andrew Galpin</v>
      </c>
      <c r="K695" s="129"/>
    </row>
    <row r="696" spans="1:11" ht="17.25" x14ac:dyDescent="0.35">
      <c r="A696" s="131" t="s">
        <v>4160</v>
      </c>
      <c r="B696" s="128" t="s">
        <v>4294</v>
      </c>
      <c r="C696" s="129"/>
      <c r="D696" s="129"/>
      <c r="E696" s="129"/>
      <c r="F696" s="129"/>
      <c r="G696" s="128" t="s">
        <v>213</v>
      </c>
      <c r="H696" s="131" t="str">
        <f t="shared" si="10"/>
        <v>NR29</v>
      </c>
      <c r="I696" s="131" t="str" cm="1">
        <f t="array" ref="I696">LEFT(G696, MIN(IF(ISNUMBER(--MID(G696, _xlfn.SEQUENCE(LEN(G696)), 1)), _xlfn.SEQUENCE(LEN(G696)))) - 1)</f>
        <v>NR</v>
      </c>
      <c r="J696" s="129" t="str">
        <f>_xlfn.XLOOKUP(H696,'GK IFT SDM POSTCODES'!A:A,'GK IFT SDM POSTCODES'!B:B,"")</f>
        <v>Andrew Galpin</v>
      </c>
      <c r="K696" s="129"/>
    </row>
    <row r="697" spans="1:11" ht="17.25" x14ac:dyDescent="0.35">
      <c r="A697" s="131" t="s">
        <v>4160</v>
      </c>
      <c r="B697" s="128" t="s">
        <v>4493</v>
      </c>
      <c r="C697" s="129"/>
      <c r="D697" s="129"/>
      <c r="E697" s="129"/>
      <c r="F697" s="129"/>
      <c r="G697" s="128" t="s">
        <v>212</v>
      </c>
      <c r="H697" s="131" t="str">
        <f t="shared" si="10"/>
        <v>NR29</v>
      </c>
      <c r="I697" s="131" t="str" cm="1">
        <f t="array" ref="I697">LEFT(G697, MIN(IF(ISNUMBER(--MID(G697, _xlfn.SEQUENCE(LEN(G697)), 1)), _xlfn.SEQUENCE(LEN(G697)))) - 1)</f>
        <v>NR</v>
      </c>
      <c r="J697" s="129" t="str">
        <f>_xlfn.XLOOKUP(H697,'GK IFT SDM POSTCODES'!A:A,'GK IFT SDM POSTCODES'!B:B,"")</f>
        <v>Andrew Galpin</v>
      </c>
      <c r="K697" s="129"/>
    </row>
    <row r="698" spans="1:11" ht="17.25" x14ac:dyDescent="0.35">
      <c r="A698" s="131" t="s">
        <v>4160</v>
      </c>
      <c r="B698" s="128" t="s">
        <v>4312</v>
      </c>
      <c r="C698" s="129"/>
      <c r="D698" s="129"/>
      <c r="E698" s="129"/>
      <c r="F698" s="129"/>
      <c r="G698" s="128" t="s">
        <v>367</v>
      </c>
      <c r="H698" s="131" t="str">
        <f t="shared" si="10"/>
        <v>NR29</v>
      </c>
      <c r="I698" s="131" t="str" cm="1">
        <f t="array" ref="I698">LEFT(G698, MIN(IF(ISNUMBER(--MID(G698, _xlfn.SEQUENCE(LEN(G698)), 1)), _xlfn.SEQUENCE(LEN(G698)))) - 1)</f>
        <v>NR</v>
      </c>
      <c r="J698" s="129" t="str">
        <f>_xlfn.XLOOKUP(H698,'GK IFT SDM POSTCODES'!A:A,'GK IFT SDM POSTCODES'!B:B,"")</f>
        <v>Andrew Galpin</v>
      </c>
      <c r="K698" s="129"/>
    </row>
    <row r="699" spans="1:11" ht="17.25" x14ac:dyDescent="0.35">
      <c r="A699" s="134" t="s">
        <v>7</v>
      </c>
      <c r="B699" s="134" t="s">
        <v>3941</v>
      </c>
      <c r="C699" s="134" t="s">
        <v>3869</v>
      </c>
      <c r="D699" s="129"/>
      <c r="E699" s="134" t="s">
        <v>153</v>
      </c>
      <c r="F699" s="134" t="s">
        <v>55</v>
      </c>
      <c r="G699" s="134" t="s">
        <v>368</v>
      </c>
      <c r="H699" s="131" t="str">
        <f t="shared" si="10"/>
        <v>NR29</v>
      </c>
      <c r="I699" s="131" t="str" cm="1">
        <f t="array" ref="I699">LEFT(G699, MIN(IF(ISNUMBER(--MID(G699, _xlfn.SEQUENCE(LEN(G699)), 1)), _xlfn.SEQUENCE(LEN(G699)))) - 1)</f>
        <v>NR</v>
      </c>
      <c r="J699" s="134" t="s">
        <v>3987</v>
      </c>
      <c r="K699" s="129"/>
    </row>
    <row r="700" spans="1:11" ht="17.25" x14ac:dyDescent="0.35">
      <c r="A700" s="131" t="s">
        <v>4160</v>
      </c>
      <c r="B700" s="128" t="s">
        <v>4231</v>
      </c>
      <c r="C700" s="129"/>
      <c r="D700" s="129"/>
      <c r="E700" s="129"/>
      <c r="F700" s="129"/>
      <c r="G700" s="128" t="s">
        <v>4568</v>
      </c>
      <c r="H700" s="131" t="str">
        <f t="shared" si="10"/>
        <v>NR29</v>
      </c>
      <c r="I700" s="131" t="str" cm="1">
        <f t="array" ref="I700">LEFT(G700, MIN(IF(ISNUMBER(--MID(G700, _xlfn.SEQUENCE(LEN(G700)), 1)), _xlfn.SEQUENCE(LEN(G700)))) - 1)</f>
        <v>NR</v>
      </c>
      <c r="J700" s="129" t="str">
        <f>_xlfn.XLOOKUP(H700,'GK IFT SDM POSTCODES'!A:A,'GK IFT SDM POSTCODES'!B:B,"")</f>
        <v>Andrew Galpin</v>
      </c>
      <c r="K700" s="129"/>
    </row>
    <row r="701" spans="1:11" ht="17.25" x14ac:dyDescent="0.35">
      <c r="A701" s="131" t="s">
        <v>4160</v>
      </c>
      <c r="B701" s="128" t="s">
        <v>4258</v>
      </c>
      <c r="C701" s="129"/>
      <c r="D701" s="129"/>
      <c r="E701" s="129"/>
      <c r="F701" s="129"/>
      <c r="G701" s="128" t="s">
        <v>4581</v>
      </c>
      <c r="H701" s="131" t="str">
        <f t="shared" si="10"/>
        <v>NR29</v>
      </c>
      <c r="I701" s="131" t="str" cm="1">
        <f t="array" ref="I701">LEFT(G701, MIN(IF(ISNUMBER(--MID(G701, _xlfn.SEQUENCE(LEN(G701)), 1)), _xlfn.SEQUENCE(LEN(G701)))) - 1)</f>
        <v>NR</v>
      </c>
      <c r="J701" s="129" t="str">
        <f>_xlfn.XLOOKUP(H701,'GK IFT SDM POSTCODES'!A:A,'GK IFT SDM POSTCODES'!B:B,"")</f>
        <v>Andrew Galpin</v>
      </c>
      <c r="K701" s="129"/>
    </row>
    <row r="702" spans="1:11" ht="17.25" x14ac:dyDescent="0.35">
      <c r="A702" s="129" t="s">
        <v>498</v>
      </c>
      <c r="B702" s="137" t="s">
        <v>5227</v>
      </c>
      <c r="C702" s="137" t="s">
        <v>5228</v>
      </c>
      <c r="D702" s="129"/>
      <c r="E702" s="137" t="s">
        <v>153</v>
      </c>
      <c r="F702" s="129"/>
      <c r="G702" s="137" t="s">
        <v>5182</v>
      </c>
      <c r="H702" s="131" t="str">
        <f t="shared" si="10"/>
        <v>NR29</v>
      </c>
      <c r="I702" s="131" t="str" cm="1">
        <f t="array" ref="I702">LEFT(G702, MIN(IF(ISNUMBER(--MID(G702, _xlfn.SEQUENCE(LEN(G702)), 1)), _xlfn.SEQUENCE(LEN(G702)))) - 1)</f>
        <v>NR</v>
      </c>
      <c r="J702" s="143" t="s">
        <v>5183</v>
      </c>
      <c r="K702" s="129"/>
    </row>
    <row r="703" spans="1:11" ht="17.25" x14ac:dyDescent="0.35">
      <c r="A703" s="134" t="s">
        <v>7</v>
      </c>
      <c r="B703" s="134" t="s">
        <v>3942</v>
      </c>
      <c r="C703" s="134" t="s">
        <v>3870</v>
      </c>
      <c r="D703" s="129"/>
      <c r="E703" s="134" t="s">
        <v>153</v>
      </c>
      <c r="F703" s="134" t="s">
        <v>55</v>
      </c>
      <c r="G703" s="134" t="s">
        <v>3620</v>
      </c>
      <c r="H703" s="131" t="str">
        <f t="shared" si="10"/>
        <v>NR29</v>
      </c>
      <c r="I703" s="131" t="str" cm="1">
        <f t="array" ref="I703">LEFT(G703, MIN(IF(ISNUMBER(--MID(G703, _xlfn.SEQUENCE(LEN(G703)), 1)), _xlfn.SEQUENCE(LEN(G703)))) - 1)</f>
        <v>NR</v>
      </c>
      <c r="J703" s="134" t="s">
        <v>3987</v>
      </c>
      <c r="K703" s="129"/>
    </row>
    <row r="704" spans="1:11" ht="31.5" x14ac:dyDescent="0.35">
      <c r="A704" s="130" t="s">
        <v>4065</v>
      </c>
      <c r="B704" s="127" t="s">
        <v>3554</v>
      </c>
      <c r="C704" s="127" t="s">
        <v>3512</v>
      </c>
      <c r="D704" s="133"/>
      <c r="E704" s="127" t="s">
        <v>255</v>
      </c>
      <c r="F704" s="133"/>
      <c r="G704" s="127" t="s">
        <v>4082</v>
      </c>
      <c r="H704" s="131" t="str">
        <f t="shared" si="10"/>
        <v>NR3</v>
      </c>
      <c r="I704" s="131" t="str" cm="1">
        <f t="array" ref="I704">LEFT(G704, MIN(IF(ISNUMBER(--MID(G704, _xlfn.SEQUENCE(LEN(G704)), 1)), _xlfn.SEQUENCE(LEN(G704)))) - 1)</f>
        <v>NR</v>
      </c>
      <c r="J704" s="127" t="s">
        <v>4063</v>
      </c>
      <c r="K704" s="129"/>
    </row>
    <row r="705" spans="1:11" ht="17.25" x14ac:dyDescent="0.35">
      <c r="A705" s="130" t="s">
        <v>3718</v>
      </c>
      <c r="B705" s="124" t="s">
        <v>2898</v>
      </c>
      <c r="C705" s="131" t="s">
        <v>2899</v>
      </c>
      <c r="D705" s="131" t="s">
        <v>255</v>
      </c>
      <c r="E705" s="131"/>
      <c r="F705" s="131" t="s">
        <v>55</v>
      </c>
      <c r="G705" s="124" t="s">
        <v>320</v>
      </c>
      <c r="H705" s="131" t="str">
        <f t="shared" si="10"/>
        <v>NR3</v>
      </c>
      <c r="I705" s="131" t="str" cm="1">
        <f t="array" ref="I705">LEFT(G705, MIN(IF(ISNUMBER(--MID(G705, _xlfn.SEQUENCE(LEN(G705)), 1)), _xlfn.SEQUENCE(LEN(G705)))) - 1)</f>
        <v>NR</v>
      </c>
      <c r="J705" s="124" t="s">
        <v>3707</v>
      </c>
      <c r="K705" s="129"/>
    </row>
    <row r="706" spans="1:11" ht="17.25" x14ac:dyDescent="0.35">
      <c r="A706" s="131" t="s">
        <v>4160</v>
      </c>
      <c r="B706" s="128" t="s">
        <v>4242</v>
      </c>
      <c r="C706" s="129"/>
      <c r="D706" s="129"/>
      <c r="E706" s="129"/>
      <c r="F706" s="129"/>
      <c r="G706" s="128" t="s">
        <v>4572</v>
      </c>
      <c r="H706" s="131" t="str">
        <f t="shared" ref="H706:H769" si="11">_xlfn.TEXTBEFORE(G706," ")</f>
        <v>NR3</v>
      </c>
      <c r="I706" s="131" t="str" cm="1">
        <f t="array" ref="I706">LEFT(G706, MIN(IF(ISNUMBER(--MID(G706, _xlfn.SEQUENCE(LEN(G706)), 1)), _xlfn.SEQUENCE(LEN(G706)))) - 1)</f>
        <v>NR</v>
      </c>
      <c r="J706" s="129" t="str">
        <f>_xlfn.XLOOKUP(H706,'GK IFT SDM POSTCODES'!A:A,'GK IFT SDM POSTCODES'!B:B,"")</f>
        <v>Adam Vass</v>
      </c>
      <c r="K706" s="129"/>
    </row>
    <row r="707" spans="1:11" ht="17.25" x14ac:dyDescent="0.35">
      <c r="A707" s="134" t="s">
        <v>7</v>
      </c>
      <c r="B707" s="134" t="s">
        <v>3943</v>
      </c>
      <c r="C707" s="134" t="s">
        <v>597</v>
      </c>
      <c r="D707" s="129"/>
      <c r="E707" s="134" t="s">
        <v>255</v>
      </c>
      <c r="F707" s="134" t="s">
        <v>55</v>
      </c>
      <c r="G707" s="134" t="s">
        <v>308</v>
      </c>
      <c r="H707" s="131" t="str">
        <f t="shared" si="11"/>
        <v>NR3</v>
      </c>
      <c r="I707" s="131" t="str" cm="1">
        <f t="array" ref="I707">LEFT(G707, MIN(IF(ISNUMBER(--MID(G707, _xlfn.SEQUENCE(LEN(G707)), 1)), _xlfn.SEQUENCE(LEN(G707)))) - 1)</f>
        <v>NR</v>
      </c>
      <c r="J707" s="134" t="s">
        <v>3987</v>
      </c>
      <c r="K707" s="129"/>
    </row>
    <row r="708" spans="1:11" ht="17.25" x14ac:dyDescent="0.35">
      <c r="A708" s="131" t="s">
        <v>4160</v>
      </c>
      <c r="B708" s="128" t="s">
        <v>4330</v>
      </c>
      <c r="C708" s="129"/>
      <c r="D708" s="129"/>
      <c r="E708" s="129"/>
      <c r="F708" s="129"/>
      <c r="G708" s="128" t="s">
        <v>308</v>
      </c>
      <c r="H708" s="131" t="str">
        <f t="shared" si="11"/>
        <v>NR3</v>
      </c>
      <c r="I708" s="131" t="str" cm="1">
        <f t="array" ref="I708">LEFT(G708, MIN(IF(ISNUMBER(--MID(G708, _xlfn.SEQUENCE(LEN(G708)), 1)), _xlfn.SEQUENCE(LEN(G708)))) - 1)</f>
        <v>NR</v>
      </c>
      <c r="J708" s="129" t="str">
        <f>_xlfn.XLOOKUP(H708,'GK IFT SDM POSTCODES'!A:A,'GK IFT SDM POSTCODES'!B:B,"")</f>
        <v>Adam Vass</v>
      </c>
      <c r="K708" s="129"/>
    </row>
    <row r="709" spans="1:11" ht="17.25" x14ac:dyDescent="0.35">
      <c r="A709" s="131" t="s">
        <v>4160</v>
      </c>
      <c r="B709" s="128" t="s">
        <v>4253</v>
      </c>
      <c r="C709" s="129"/>
      <c r="D709" s="129"/>
      <c r="E709" s="129"/>
      <c r="F709" s="129"/>
      <c r="G709" s="128" t="s">
        <v>4577</v>
      </c>
      <c r="H709" s="131" t="str">
        <f t="shared" si="11"/>
        <v>NR3</v>
      </c>
      <c r="I709" s="131" t="str" cm="1">
        <f t="array" ref="I709">LEFT(G709, MIN(IF(ISNUMBER(--MID(G709, _xlfn.SEQUENCE(LEN(G709)), 1)), _xlfn.SEQUENCE(LEN(G709)))) - 1)</f>
        <v>NR</v>
      </c>
      <c r="J709" s="129" t="str">
        <f>_xlfn.XLOOKUP(H709,'GK IFT SDM POSTCODES'!A:A,'GK IFT SDM POSTCODES'!B:B,"")</f>
        <v>Adam Vass</v>
      </c>
      <c r="K709" s="129"/>
    </row>
    <row r="710" spans="1:11" ht="17.25" x14ac:dyDescent="0.35">
      <c r="A710" s="131" t="s">
        <v>4160</v>
      </c>
      <c r="B710" s="128" t="s">
        <v>4334</v>
      </c>
      <c r="C710" s="129"/>
      <c r="D710" s="129"/>
      <c r="E710" s="129"/>
      <c r="F710" s="129"/>
      <c r="G710" s="128" t="s">
        <v>4637</v>
      </c>
      <c r="H710" s="131" t="str">
        <f t="shared" si="11"/>
        <v>NR3</v>
      </c>
      <c r="I710" s="131" t="str" cm="1">
        <f t="array" ref="I710">LEFT(G710, MIN(IF(ISNUMBER(--MID(G710, _xlfn.SEQUENCE(LEN(G710)), 1)), _xlfn.SEQUENCE(LEN(G710)))) - 1)</f>
        <v>NR</v>
      </c>
      <c r="J710" s="129" t="str">
        <f>_xlfn.XLOOKUP(H710,'GK IFT SDM POSTCODES'!A:A,'GK IFT SDM POSTCODES'!B:B,"")</f>
        <v>Adam Vass</v>
      </c>
      <c r="K710" s="129"/>
    </row>
    <row r="711" spans="1:11" ht="17.25" x14ac:dyDescent="0.35">
      <c r="A711" s="131" t="s">
        <v>4160</v>
      </c>
      <c r="B711" s="128" t="s">
        <v>4414</v>
      </c>
      <c r="C711" s="129"/>
      <c r="D711" s="129"/>
      <c r="E711" s="129"/>
      <c r="F711" s="129"/>
      <c r="G711" s="128" t="s">
        <v>4689</v>
      </c>
      <c r="H711" s="131" t="str">
        <f t="shared" si="11"/>
        <v>NR3</v>
      </c>
      <c r="I711" s="131" t="str" cm="1">
        <f t="array" ref="I711">LEFT(G711, MIN(IF(ISNUMBER(--MID(G711, _xlfn.SEQUENCE(LEN(G711)), 1)), _xlfn.SEQUENCE(LEN(G711)))) - 1)</f>
        <v>NR</v>
      </c>
      <c r="J711" s="129" t="str">
        <f>_xlfn.XLOOKUP(H711,'GK IFT SDM POSTCODES'!A:A,'GK IFT SDM POSTCODES'!B:B,"")</f>
        <v>Adam Vass</v>
      </c>
      <c r="K711" s="129"/>
    </row>
    <row r="712" spans="1:11" ht="17.25" x14ac:dyDescent="0.35">
      <c r="A712" s="131" t="s">
        <v>4160</v>
      </c>
      <c r="B712" s="128" t="s">
        <v>4465</v>
      </c>
      <c r="C712" s="129"/>
      <c r="D712" s="129"/>
      <c r="E712" s="129"/>
      <c r="F712" s="129"/>
      <c r="G712" s="128" t="s">
        <v>252</v>
      </c>
      <c r="H712" s="131" t="str">
        <f t="shared" si="11"/>
        <v>NR3</v>
      </c>
      <c r="I712" s="131" t="str" cm="1">
        <f t="array" ref="I712">LEFT(G712, MIN(IF(ISNUMBER(--MID(G712, _xlfn.SEQUENCE(LEN(G712)), 1)), _xlfn.SEQUENCE(LEN(G712)))) - 1)</f>
        <v>NR</v>
      </c>
      <c r="J712" s="129" t="str">
        <f>_xlfn.XLOOKUP(H712,'GK IFT SDM POSTCODES'!A:A,'GK IFT SDM POSTCODES'!B:B,"")</f>
        <v>Adam Vass</v>
      </c>
      <c r="K712" s="129"/>
    </row>
    <row r="713" spans="1:11" ht="17.25" x14ac:dyDescent="0.35">
      <c r="A713" s="134" t="s">
        <v>3902</v>
      </c>
      <c r="B713" s="134" t="s">
        <v>3944</v>
      </c>
      <c r="C713" s="134" t="s">
        <v>3871</v>
      </c>
      <c r="D713" s="129"/>
      <c r="E713" s="134" t="s">
        <v>255</v>
      </c>
      <c r="F713" s="134" t="s">
        <v>55</v>
      </c>
      <c r="G713" s="134" t="s">
        <v>3586</v>
      </c>
      <c r="H713" s="131" t="str">
        <f t="shared" si="11"/>
        <v>NR3</v>
      </c>
      <c r="I713" s="131" t="str" cm="1">
        <f t="array" ref="I713">LEFT(G713, MIN(IF(ISNUMBER(--MID(G713, _xlfn.SEQUENCE(LEN(G713)), 1)), _xlfn.SEQUENCE(LEN(G713)))) - 1)</f>
        <v>NR</v>
      </c>
      <c r="J713" s="134" t="s">
        <v>3800</v>
      </c>
      <c r="K713" s="129"/>
    </row>
    <row r="714" spans="1:11" ht="17.25" x14ac:dyDescent="0.35">
      <c r="A714" s="131" t="s">
        <v>4160</v>
      </c>
      <c r="B714" s="128" t="s">
        <v>4165</v>
      </c>
      <c r="C714" s="129"/>
      <c r="D714" s="129"/>
      <c r="E714" s="129"/>
      <c r="F714" s="129"/>
      <c r="G714" s="128" t="s">
        <v>4522</v>
      </c>
      <c r="H714" s="131" t="str">
        <f t="shared" si="11"/>
        <v>NR3</v>
      </c>
      <c r="I714" s="131" t="str" cm="1">
        <f t="array" ref="I714">LEFT(G714, MIN(IF(ISNUMBER(--MID(G714, _xlfn.SEQUENCE(LEN(G714)), 1)), _xlfn.SEQUENCE(LEN(G714)))) - 1)</f>
        <v>NR</v>
      </c>
      <c r="J714" s="129" t="str">
        <f>_xlfn.XLOOKUP(H714,'GK IFT SDM POSTCODES'!A:A,'GK IFT SDM POSTCODES'!B:B,"")</f>
        <v>Adam Vass</v>
      </c>
      <c r="K714" s="129"/>
    </row>
    <row r="715" spans="1:11" ht="17.25" x14ac:dyDescent="0.35">
      <c r="A715" s="134" t="s">
        <v>7</v>
      </c>
      <c r="B715" s="134" t="s">
        <v>3945</v>
      </c>
      <c r="C715" s="134" t="s">
        <v>628</v>
      </c>
      <c r="D715" s="129"/>
      <c r="E715" s="134" t="s">
        <v>255</v>
      </c>
      <c r="F715" s="134" t="s">
        <v>55</v>
      </c>
      <c r="G715" s="134" t="s">
        <v>317</v>
      </c>
      <c r="H715" s="131" t="str">
        <f t="shared" si="11"/>
        <v>NR3</v>
      </c>
      <c r="I715" s="131" t="str" cm="1">
        <f t="array" ref="I715">LEFT(G715, MIN(IF(ISNUMBER(--MID(G715, _xlfn.SEQUENCE(LEN(G715)), 1)), _xlfn.SEQUENCE(LEN(G715)))) - 1)</f>
        <v>NR</v>
      </c>
      <c r="J715" s="134" t="s">
        <v>3987</v>
      </c>
      <c r="K715" s="129"/>
    </row>
    <row r="716" spans="1:11" ht="31.5" x14ac:dyDescent="0.35">
      <c r="A716" s="130" t="s">
        <v>4065</v>
      </c>
      <c r="B716" s="127" t="s">
        <v>585</v>
      </c>
      <c r="C716" s="127" t="s">
        <v>586</v>
      </c>
      <c r="D716" s="133"/>
      <c r="E716" s="127" t="s">
        <v>55</v>
      </c>
      <c r="F716" s="133"/>
      <c r="G716" s="127" t="s">
        <v>4075</v>
      </c>
      <c r="H716" s="131" t="str">
        <f t="shared" si="11"/>
        <v>NR3</v>
      </c>
      <c r="I716" s="131" t="str" cm="1">
        <f t="array" ref="I716">LEFT(G716, MIN(IF(ISNUMBER(--MID(G716, _xlfn.SEQUENCE(LEN(G716)), 1)), _xlfn.SEQUENCE(LEN(G716)))) - 1)</f>
        <v>NR</v>
      </c>
      <c r="J716" s="127" t="s">
        <v>4070</v>
      </c>
      <c r="K716" s="129"/>
    </row>
    <row r="717" spans="1:11" ht="17.25" x14ac:dyDescent="0.35">
      <c r="A717" s="131" t="s">
        <v>4160</v>
      </c>
      <c r="B717" s="128" t="s">
        <v>4339</v>
      </c>
      <c r="C717" s="129"/>
      <c r="D717" s="129"/>
      <c r="E717" s="129"/>
      <c r="F717" s="129"/>
      <c r="G717" s="128" t="s">
        <v>422</v>
      </c>
      <c r="H717" s="131" t="str">
        <f t="shared" si="11"/>
        <v>NR3</v>
      </c>
      <c r="I717" s="131" t="str" cm="1">
        <f t="array" ref="I717">LEFT(G717, MIN(IF(ISNUMBER(--MID(G717, _xlfn.SEQUENCE(LEN(G717)), 1)), _xlfn.SEQUENCE(LEN(G717)))) - 1)</f>
        <v>NR</v>
      </c>
      <c r="J717" s="129" t="str">
        <f>_xlfn.XLOOKUP(H717,'GK IFT SDM POSTCODES'!A:A,'GK IFT SDM POSTCODES'!B:B,"")</f>
        <v>Adam Vass</v>
      </c>
      <c r="K717" s="129"/>
    </row>
    <row r="718" spans="1:11" ht="17.25" x14ac:dyDescent="0.35">
      <c r="A718" s="131" t="s">
        <v>4160</v>
      </c>
      <c r="B718" s="128" t="s">
        <v>4411</v>
      </c>
      <c r="C718" s="129"/>
      <c r="D718" s="129"/>
      <c r="E718" s="129"/>
      <c r="F718" s="129"/>
      <c r="G718" s="128" t="s">
        <v>4688</v>
      </c>
      <c r="H718" s="131" t="str">
        <f t="shared" si="11"/>
        <v>NR30</v>
      </c>
      <c r="I718" s="131" t="str" cm="1">
        <f t="array" ref="I718">LEFT(G718, MIN(IF(ISNUMBER(--MID(G718, _xlfn.SEQUENCE(LEN(G718)), 1)), _xlfn.SEQUENCE(LEN(G718)))) - 1)</f>
        <v>NR</v>
      </c>
      <c r="J718" s="129" t="str">
        <f>_xlfn.XLOOKUP(H718,'GK IFT SDM POSTCODES'!A:A,'GK IFT SDM POSTCODES'!B:B,"")</f>
        <v>Adam Vass</v>
      </c>
      <c r="K718" s="129"/>
    </row>
    <row r="719" spans="1:11" ht="17.25" x14ac:dyDescent="0.35">
      <c r="A719" s="131" t="s">
        <v>4160</v>
      </c>
      <c r="B719" s="128" t="s">
        <v>4338</v>
      </c>
      <c r="C719" s="129"/>
      <c r="D719" s="129"/>
      <c r="E719" s="129"/>
      <c r="F719" s="129"/>
      <c r="G719" s="128" t="s">
        <v>4640</v>
      </c>
      <c r="H719" s="131" t="str">
        <f t="shared" si="11"/>
        <v>NR30</v>
      </c>
      <c r="I719" s="131" t="str" cm="1">
        <f t="array" ref="I719">LEFT(G719, MIN(IF(ISNUMBER(--MID(G719, _xlfn.SEQUENCE(LEN(G719)), 1)), _xlfn.SEQUENCE(LEN(G719)))) - 1)</f>
        <v>NR</v>
      </c>
      <c r="J719" s="129" t="str">
        <f>_xlfn.XLOOKUP(H719,'GK IFT SDM POSTCODES'!A:A,'GK IFT SDM POSTCODES'!B:B,"")</f>
        <v>Adam Vass</v>
      </c>
      <c r="K719" s="129"/>
    </row>
    <row r="720" spans="1:11" ht="17.25" x14ac:dyDescent="0.35">
      <c r="A720" s="134" t="s">
        <v>7</v>
      </c>
      <c r="B720" s="134" t="s">
        <v>3946</v>
      </c>
      <c r="C720" s="134" t="s">
        <v>601</v>
      </c>
      <c r="D720" s="129"/>
      <c r="E720" s="134" t="s">
        <v>153</v>
      </c>
      <c r="F720" s="134" t="s">
        <v>55</v>
      </c>
      <c r="G720" s="134" t="s">
        <v>155</v>
      </c>
      <c r="H720" s="131" t="str">
        <f t="shared" si="11"/>
        <v>NR30</v>
      </c>
      <c r="I720" s="131" t="str" cm="1">
        <f t="array" ref="I720">LEFT(G720, MIN(IF(ISNUMBER(--MID(G720, _xlfn.SEQUENCE(LEN(G720)), 1)), _xlfn.SEQUENCE(LEN(G720)))) - 1)</f>
        <v>NR</v>
      </c>
      <c r="J720" s="134" t="s">
        <v>3987</v>
      </c>
      <c r="K720" s="129"/>
    </row>
    <row r="721" spans="1:11" ht="17.25" x14ac:dyDescent="0.35">
      <c r="A721" s="131" t="s">
        <v>4160</v>
      </c>
      <c r="B721" s="128" t="s">
        <v>4318</v>
      </c>
      <c r="C721" s="129"/>
      <c r="D721" s="129"/>
      <c r="E721" s="129"/>
      <c r="F721" s="129"/>
      <c r="G721" s="128" t="s">
        <v>284</v>
      </c>
      <c r="H721" s="131" t="str">
        <f t="shared" si="11"/>
        <v>NR30</v>
      </c>
      <c r="I721" s="131" t="str" cm="1">
        <f t="array" ref="I721">LEFT(G721, MIN(IF(ISNUMBER(--MID(G721, _xlfn.SEQUENCE(LEN(G721)), 1)), _xlfn.SEQUENCE(LEN(G721)))) - 1)</f>
        <v>NR</v>
      </c>
      <c r="J721" s="129" t="str">
        <f>_xlfn.XLOOKUP(H721,'GK IFT SDM POSTCODES'!A:A,'GK IFT SDM POSTCODES'!B:B,"")</f>
        <v>Adam Vass</v>
      </c>
      <c r="K721" s="129"/>
    </row>
    <row r="722" spans="1:11" ht="17.25" x14ac:dyDescent="0.35">
      <c r="A722" s="134" t="s">
        <v>7</v>
      </c>
      <c r="B722" s="134" t="s">
        <v>3947</v>
      </c>
      <c r="C722" s="134" t="s">
        <v>3872</v>
      </c>
      <c r="D722" s="129"/>
      <c r="E722" s="134" t="s">
        <v>153</v>
      </c>
      <c r="F722" s="134" t="s">
        <v>55</v>
      </c>
      <c r="G722" s="134" t="s">
        <v>57</v>
      </c>
      <c r="H722" s="131" t="str">
        <f t="shared" si="11"/>
        <v>NR30</v>
      </c>
      <c r="I722" s="131" t="str" cm="1">
        <f t="array" ref="I722">LEFT(G722, MIN(IF(ISNUMBER(--MID(G722, _xlfn.SEQUENCE(LEN(G722)), 1)), _xlfn.SEQUENCE(LEN(G722)))) - 1)</f>
        <v>NR</v>
      </c>
      <c r="J722" s="134" t="s">
        <v>3987</v>
      </c>
      <c r="K722" s="129"/>
    </row>
    <row r="723" spans="1:11" ht="17.25" x14ac:dyDescent="0.35">
      <c r="A723" s="134" t="s">
        <v>3902</v>
      </c>
      <c r="B723" s="134" t="s">
        <v>3948</v>
      </c>
      <c r="C723" s="134" t="s">
        <v>3873</v>
      </c>
      <c r="D723" s="129"/>
      <c r="E723" s="134" t="s">
        <v>153</v>
      </c>
      <c r="F723" s="134" t="s">
        <v>55</v>
      </c>
      <c r="G723" s="134" t="s">
        <v>154</v>
      </c>
      <c r="H723" s="131" t="str">
        <f t="shared" si="11"/>
        <v>NR30</v>
      </c>
      <c r="I723" s="131" t="str" cm="1">
        <f t="array" ref="I723">LEFT(G723, MIN(IF(ISNUMBER(--MID(G723, _xlfn.SEQUENCE(LEN(G723)), 1)), _xlfn.SEQUENCE(LEN(G723)))) - 1)</f>
        <v>NR</v>
      </c>
      <c r="J723" s="134" t="s">
        <v>3800</v>
      </c>
      <c r="K723" s="129"/>
    </row>
    <row r="724" spans="1:11" ht="17.25" x14ac:dyDescent="0.35">
      <c r="A724" s="131" t="s">
        <v>4160</v>
      </c>
      <c r="B724" s="128" t="s">
        <v>4448</v>
      </c>
      <c r="C724" s="129"/>
      <c r="D724" s="129"/>
      <c r="E724" s="129"/>
      <c r="F724" s="129"/>
      <c r="G724" s="128" t="s">
        <v>4709</v>
      </c>
      <c r="H724" s="131" t="str">
        <f t="shared" si="11"/>
        <v>NR30</v>
      </c>
      <c r="I724" s="131" t="str" cm="1">
        <f t="array" ref="I724">LEFT(G724, MIN(IF(ISNUMBER(--MID(G724, _xlfn.SEQUENCE(LEN(G724)), 1)), _xlfn.SEQUENCE(LEN(G724)))) - 1)</f>
        <v>NR</v>
      </c>
      <c r="J724" s="129" t="str">
        <f>_xlfn.XLOOKUP(H724,'GK IFT SDM POSTCODES'!A:A,'GK IFT SDM POSTCODES'!B:B,"")</f>
        <v>Adam Vass</v>
      </c>
      <c r="K724" s="129"/>
    </row>
    <row r="725" spans="1:11" ht="17.25" x14ac:dyDescent="0.35">
      <c r="A725" s="134" t="s">
        <v>7</v>
      </c>
      <c r="B725" s="134" t="s">
        <v>3949</v>
      </c>
      <c r="C725" s="134" t="s">
        <v>3874</v>
      </c>
      <c r="D725" s="129"/>
      <c r="E725" s="134" t="s">
        <v>153</v>
      </c>
      <c r="F725" s="134" t="s">
        <v>55</v>
      </c>
      <c r="G725" s="134" t="s">
        <v>58</v>
      </c>
      <c r="H725" s="131" t="str">
        <f t="shared" si="11"/>
        <v>NR30</v>
      </c>
      <c r="I725" s="131" t="str" cm="1">
        <f t="array" ref="I725">LEFT(G725, MIN(IF(ISNUMBER(--MID(G725, _xlfn.SEQUENCE(LEN(G725)), 1)), _xlfn.SEQUENCE(LEN(G725)))) - 1)</f>
        <v>NR</v>
      </c>
      <c r="J725" s="134" t="s">
        <v>3987</v>
      </c>
      <c r="K725" s="129"/>
    </row>
    <row r="726" spans="1:11" ht="17.25" x14ac:dyDescent="0.35">
      <c r="A726" s="134" t="s">
        <v>7</v>
      </c>
      <c r="B726" s="134" t="s">
        <v>3950</v>
      </c>
      <c r="C726" s="134" t="s">
        <v>555</v>
      </c>
      <c r="D726" s="129"/>
      <c r="E726" s="134" t="s">
        <v>153</v>
      </c>
      <c r="F726" s="134" t="s">
        <v>55</v>
      </c>
      <c r="G726" s="134" t="s">
        <v>3835</v>
      </c>
      <c r="H726" s="131" t="str">
        <f t="shared" si="11"/>
        <v>NR30</v>
      </c>
      <c r="I726" s="131" t="str" cm="1">
        <f t="array" ref="I726">LEFT(G726, MIN(IF(ISNUMBER(--MID(G726, _xlfn.SEQUENCE(LEN(G726)), 1)), _xlfn.SEQUENCE(LEN(G726)))) - 1)</f>
        <v>NR</v>
      </c>
      <c r="J726" s="134" t="s">
        <v>3987</v>
      </c>
      <c r="K726" s="129"/>
    </row>
    <row r="727" spans="1:11" ht="17.25" x14ac:dyDescent="0.35">
      <c r="A727" s="131" t="s">
        <v>4160</v>
      </c>
      <c r="B727" s="128" t="s">
        <v>4350</v>
      </c>
      <c r="C727" s="129"/>
      <c r="D727" s="129"/>
      <c r="E727" s="129"/>
      <c r="F727" s="129"/>
      <c r="G727" s="128" t="s">
        <v>4646</v>
      </c>
      <c r="H727" s="131" t="str">
        <f t="shared" si="11"/>
        <v>NR30</v>
      </c>
      <c r="I727" s="131" t="str" cm="1">
        <f t="array" ref="I727">LEFT(G727, MIN(IF(ISNUMBER(--MID(G727, _xlfn.SEQUENCE(LEN(G727)), 1)), _xlfn.SEQUENCE(LEN(G727)))) - 1)</f>
        <v>NR</v>
      </c>
      <c r="J727" s="129" t="str">
        <f>_xlfn.XLOOKUP(H727,'GK IFT SDM POSTCODES'!A:A,'GK IFT SDM POSTCODES'!B:B,"")</f>
        <v>Adam Vass</v>
      </c>
      <c r="K727" s="129"/>
    </row>
    <row r="728" spans="1:11" ht="17.25" x14ac:dyDescent="0.35">
      <c r="A728" s="131" t="s">
        <v>4160</v>
      </c>
      <c r="B728" s="128" t="s">
        <v>4382</v>
      </c>
      <c r="C728" s="129"/>
      <c r="D728" s="129"/>
      <c r="E728" s="129"/>
      <c r="F728" s="129"/>
      <c r="G728" s="128" t="s">
        <v>4671</v>
      </c>
      <c r="H728" s="131" t="str">
        <f t="shared" si="11"/>
        <v>NR30</v>
      </c>
      <c r="I728" s="131" t="str" cm="1">
        <f t="array" ref="I728">LEFT(G728, MIN(IF(ISNUMBER(--MID(G728, _xlfn.SEQUENCE(LEN(G728)), 1)), _xlfn.SEQUENCE(LEN(G728)))) - 1)</f>
        <v>NR</v>
      </c>
      <c r="J728" s="129" t="str">
        <f>_xlfn.XLOOKUP(H728,'GK IFT SDM POSTCODES'!A:A,'GK IFT SDM POSTCODES'!B:B,"")</f>
        <v>Adam Vass</v>
      </c>
      <c r="K728" s="129"/>
    </row>
    <row r="729" spans="1:11" ht="17.25" x14ac:dyDescent="0.35">
      <c r="A729" s="131" t="s">
        <v>4160</v>
      </c>
      <c r="B729" s="128" t="s">
        <v>4281</v>
      </c>
      <c r="C729" s="129"/>
      <c r="D729" s="129"/>
      <c r="E729" s="129"/>
      <c r="F729" s="129"/>
      <c r="G729" s="128" t="s">
        <v>4599</v>
      </c>
      <c r="H729" s="131" t="str">
        <f t="shared" si="11"/>
        <v>NR30</v>
      </c>
      <c r="I729" s="131" t="str" cm="1">
        <f t="array" ref="I729">LEFT(G729, MIN(IF(ISNUMBER(--MID(G729, _xlfn.SEQUENCE(LEN(G729)), 1)), _xlfn.SEQUENCE(LEN(G729)))) - 1)</f>
        <v>NR</v>
      </c>
      <c r="J729" s="129" t="str">
        <f>_xlfn.XLOOKUP(H729,'GK IFT SDM POSTCODES'!A:A,'GK IFT SDM POSTCODES'!B:B,"")</f>
        <v>Adam Vass</v>
      </c>
      <c r="K729" s="129"/>
    </row>
    <row r="730" spans="1:11" ht="17.25" x14ac:dyDescent="0.35">
      <c r="A730" s="129" t="s">
        <v>498</v>
      </c>
      <c r="B730" s="137" t="s">
        <v>5241</v>
      </c>
      <c r="C730" s="137" t="s">
        <v>5242</v>
      </c>
      <c r="D730" s="129"/>
      <c r="E730" s="137" t="s">
        <v>153</v>
      </c>
      <c r="F730" s="129"/>
      <c r="G730" s="137" t="s">
        <v>54</v>
      </c>
      <c r="H730" s="131" t="str">
        <f t="shared" si="11"/>
        <v>NR30</v>
      </c>
      <c r="I730" s="131" t="str" cm="1">
        <f t="array" ref="I730">LEFT(G730, MIN(IF(ISNUMBER(--MID(G730, _xlfn.SEQUENCE(LEN(G730)), 1)), _xlfn.SEQUENCE(LEN(G730)))) - 1)</f>
        <v>NR</v>
      </c>
      <c r="J730" s="137" t="s">
        <v>5148</v>
      </c>
      <c r="K730" s="129"/>
    </row>
    <row r="731" spans="1:11" ht="17.25" x14ac:dyDescent="0.35">
      <c r="A731" s="134" t="s">
        <v>7</v>
      </c>
      <c r="B731" s="134" t="s">
        <v>3951</v>
      </c>
      <c r="C731" s="134" t="s">
        <v>3875</v>
      </c>
      <c r="D731" s="129"/>
      <c r="E731" s="134" t="s">
        <v>153</v>
      </c>
      <c r="F731" s="134" t="s">
        <v>55</v>
      </c>
      <c r="G731" s="134" t="s">
        <v>3621</v>
      </c>
      <c r="H731" s="131" t="str">
        <f t="shared" si="11"/>
        <v>NR30</v>
      </c>
      <c r="I731" s="131" t="str" cm="1">
        <f t="array" ref="I731">LEFT(G731, MIN(IF(ISNUMBER(--MID(G731, _xlfn.SEQUENCE(LEN(G731)), 1)), _xlfn.SEQUENCE(LEN(G731)))) - 1)</f>
        <v>NR</v>
      </c>
      <c r="J731" s="134" t="s">
        <v>3987</v>
      </c>
      <c r="K731" s="129"/>
    </row>
    <row r="732" spans="1:11" ht="17.25" x14ac:dyDescent="0.35">
      <c r="A732" s="134" t="s">
        <v>3902</v>
      </c>
      <c r="B732" s="134" t="s">
        <v>3952</v>
      </c>
      <c r="C732" s="134" t="s">
        <v>3876</v>
      </c>
      <c r="D732" s="129"/>
      <c r="E732" s="134" t="s">
        <v>153</v>
      </c>
      <c r="F732" s="134" t="s">
        <v>55</v>
      </c>
      <c r="G732" s="134" t="s">
        <v>3593</v>
      </c>
      <c r="H732" s="131" t="str">
        <f t="shared" si="11"/>
        <v>NR30</v>
      </c>
      <c r="I732" s="131" t="str" cm="1">
        <f t="array" ref="I732">LEFT(G732, MIN(IF(ISNUMBER(--MID(G732, _xlfn.SEQUENCE(LEN(G732)), 1)), _xlfn.SEQUENCE(LEN(G732)))) - 1)</f>
        <v>NR</v>
      </c>
      <c r="J732" s="134" t="s">
        <v>3800</v>
      </c>
      <c r="K732" s="129"/>
    </row>
    <row r="733" spans="1:11" ht="17.25" x14ac:dyDescent="0.35">
      <c r="A733" s="131" t="s">
        <v>4160</v>
      </c>
      <c r="B733" s="128" t="s">
        <v>4202</v>
      </c>
      <c r="C733" s="129"/>
      <c r="D733" s="129"/>
      <c r="E733" s="129"/>
      <c r="F733" s="129"/>
      <c r="G733" s="128" t="s">
        <v>4548</v>
      </c>
      <c r="H733" s="131" t="str">
        <f t="shared" si="11"/>
        <v>NR30</v>
      </c>
      <c r="I733" s="131" t="str" cm="1">
        <f t="array" ref="I733">LEFT(G733, MIN(IF(ISNUMBER(--MID(G733, _xlfn.SEQUENCE(LEN(G733)), 1)), _xlfn.SEQUENCE(LEN(G733)))) - 1)</f>
        <v>NR</v>
      </c>
      <c r="J733" s="129" t="str">
        <f>_xlfn.XLOOKUP(H733,'GK IFT SDM POSTCODES'!A:A,'GK IFT SDM POSTCODES'!B:B,"")</f>
        <v>Adam Vass</v>
      </c>
      <c r="K733" s="129"/>
    </row>
    <row r="734" spans="1:11" ht="17.25" x14ac:dyDescent="0.35">
      <c r="A734" s="134" t="s">
        <v>7</v>
      </c>
      <c r="B734" s="134" t="s">
        <v>3953</v>
      </c>
      <c r="C734" s="134" t="s">
        <v>3877</v>
      </c>
      <c r="D734" s="129"/>
      <c r="E734" s="134" t="s">
        <v>153</v>
      </c>
      <c r="F734" s="134" t="s">
        <v>55</v>
      </c>
      <c r="G734" s="134" t="s">
        <v>3836</v>
      </c>
      <c r="H734" s="131" t="str">
        <f t="shared" si="11"/>
        <v>NR30</v>
      </c>
      <c r="I734" s="131" t="str" cm="1">
        <f t="array" ref="I734">LEFT(G734, MIN(IF(ISNUMBER(--MID(G734, _xlfn.SEQUENCE(LEN(G734)), 1)), _xlfn.SEQUENCE(LEN(G734)))) - 1)</f>
        <v>NR</v>
      </c>
      <c r="J734" s="134" t="s">
        <v>3987</v>
      </c>
      <c r="K734" s="129"/>
    </row>
    <row r="735" spans="1:11" ht="17.25" x14ac:dyDescent="0.35">
      <c r="A735" s="131" t="s">
        <v>4160</v>
      </c>
      <c r="B735" s="128" t="s">
        <v>4248</v>
      </c>
      <c r="C735" s="129"/>
      <c r="D735" s="129"/>
      <c r="E735" s="129"/>
      <c r="F735" s="129"/>
      <c r="G735" s="128" t="s">
        <v>415</v>
      </c>
      <c r="H735" s="131" t="str">
        <f t="shared" si="11"/>
        <v>NR30</v>
      </c>
      <c r="I735" s="131" t="str" cm="1">
        <f t="array" ref="I735">LEFT(G735, MIN(IF(ISNUMBER(--MID(G735, _xlfn.SEQUENCE(LEN(G735)), 1)), _xlfn.SEQUENCE(LEN(G735)))) - 1)</f>
        <v>NR</v>
      </c>
      <c r="J735" s="129" t="str">
        <f>_xlfn.XLOOKUP(H735,'GK IFT SDM POSTCODES'!A:A,'GK IFT SDM POSTCODES'!B:B,"")</f>
        <v>Adam Vass</v>
      </c>
      <c r="K735" s="129"/>
    </row>
    <row r="736" spans="1:11" ht="17.25" x14ac:dyDescent="0.35">
      <c r="A736" s="134" t="s">
        <v>7</v>
      </c>
      <c r="B736" s="134" t="s">
        <v>3954</v>
      </c>
      <c r="C736" s="134" t="s">
        <v>3878</v>
      </c>
      <c r="D736" s="129"/>
      <c r="E736" s="134" t="s">
        <v>153</v>
      </c>
      <c r="F736" s="134" t="s">
        <v>55</v>
      </c>
      <c r="G736" s="134" t="s">
        <v>3837</v>
      </c>
      <c r="H736" s="131" t="str">
        <f t="shared" si="11"/>
        <v>NR30</v>
      </c>
      <c r="I736" s="131" t="str" cm="1">
        <f t="array" ref="I736">LEFT(G736, MIN(IF(ISNUMBER(--MID(G736, _xlfn.SEQUENCE(LEN(G736)), 1)), _xlfn.SEQUENCE(LEN(G736)))) - 1)</f>
        <v>NR</v>
      </c>
      <c r="J736" s="134" t="s">
        <v>3987</v>
      </c>
      <c r="K736" s="129"/>
    </row>
    <row r="737" spans="1:11" ht="17.25" x14ac:dyDescent="0.35">
      <c r="A737" s="131" t="s">
        <v>4160</v>
      </c>
      <c r="B737" s="128" t="s">
        <v>4472</v>
      </c>
      <c r="C737" s="129"/>
      <c r="D737" s="129"/>
      <c r="E737" s="129"/>
      <c r="F737" s="129"/>
      <c r="G737" s="128" t="s">
        <v>4725</v>
      </c>
      <c r="H737" s="131" t="str">
        <f t="shared" si="11"/>
        <v>NR30</v>
      </c>
      <c r="I737" s="131" t="str" cm="1">
        <f t="array" ref="I737">LEFT(G737, MIN(IF(ISNUMBER(--MID(G737, _xlfn.SEQUENCE(LEN(G737)), 1)), _xlfn.SEQUENCE(LEN(G737)))) - 1)</f>
        <v>NR</v>
      </c>
      <c r="J737" s="129" t="str">
        <f>_xlfn.XLOOKUP(H737,'GK IFT SDM POSTCODES'!A:A,'GK IFT SDM POSTCODES'!B:B,"")</f>
        <v>Adam Vass</v>
      </c>
      <c r="K737" s="129"/>
    </row>
    <row r="738" spans="1:11" ht="17.25" x14ac:dyDescent="0.35">
      <c r="A738" s="131" t="s">
        <v>4160</v>
      </c>
      <c r="B738" s="128" t="s">
        <v>4398</v>
      </c>
      <c r="C738" s="129"/>
      <c r="D738" s="129"/>
      <c r="E738" s="129"/>
      <c r="F738" s="129"/>
      <c r="G738" s="128" t="s">
        <v>4679</v>
      </c>
      <c r="H738" s="131" t="str">
        <f t="shared" si="11"/>
        <v>NR31</v>
      </c>
      <c r="I738" s="131" t="str" cm="1">
        <f t="array" ref="I738">LEFT(G738, MIN(IF(ISNUMBER(--MID(G738, _xlfn.SEQUENCE(LEN(G738)), 1)), _xlfn.SEQUENCE(LEN(G738)))) - 1)</f>
        <v>NR</v>
      </c>
      <c r="J738" s="129" t="str">
        <f>_xlfn.XLOOKUP(H738,'GK IFT SDM POSTCODES'!A:A,'GK IFT SDM POSTCODES'!B:B,"")</f>
        <v>Adam Vass</v>
      </c>
      <c r="K738" s="129"/>
    </row>
    <row r="739" spans="1:11" ht="17.25" x14ac:dyDescent="0.35">
      <c r="A739" s="131" t="s">
        <v>4160</v>
      </c>
      <c r="B739" s="128" t="s">
        <v>4357</v>
      </c>
      <c r="C739" s="129"/>
      <c r="D739" s="129"/>
      <c r="E739" s="129"/>
      <c r="F739" s="129"/>
      <c r="G739" s="128" t="s">
        <v>4652</v>
      </c>
      <c r="H739" s="131" t="str">
        <f t="shared" si="11"/>
        <v>NR31</v>
      </c>
      <c r="I739" s="131" t="str" cm="1">
        <f t="array" ref="I739">LEFT(G739, MIN(IF(ISNUMBER(--MID(G739, _xlfn.SEQUENCE(LEN(G739)), 1)), _xlfn.SEQUENCE(LEN(G739)))) - 1)</f>
        <v>NR</v>
      </c>
      <c r="J739" s="129" t="str">
        <f>_xlfn.XLOOKUP(H739,'GK IFT SDM POSTCODES'!A:A,'GK IFT SDM POSTCODES'!B:B,"")</f>
        <v>Adam Vass</v>
      </c>
      <c r="K739" s="129"/>
    </row>
    <row r="740" spans="1:11" ht="17.25" x14ac:dyDescent="0.35">
      <c r="A740" s="131" t="s">
        <v>4160</v>
      </c>
      <c r="B740" s="128" t="s">
        <v>4276</v>
      </c>
      <c r="C740" s="129"/>
      <c r="D740" s="129"/>
      <c r="E740" s="129"/>
      <c r="F740" s="129"/>
      <c r="G740" s="128" t="s">
        <v>4595</v>
      </c>
      <c r="H740" s="131" t="str">
        <f t="shared" si="11"/>
        <v>NR31</v>
      </c>
      <c r="I740" s="131" t="str" cm="1">
        <f t="array" ref="I740">LEFT(G740, MIN(IF(ISNUMBER(--MID(G740, _xlfn.SEQUENCE(LEN(G740)), 1)), _xlfn.SEQUENCE(LEN(G740)))) - 1)</f>
        <v>NR</v>
      </c>
      <c r="J740" s="129" t="str">
        <f>_xlfn.XLOOKUP(H740,'GK IFT SDM POSTCODES'!A:A,'GK IFT SDM POSTCODES'!B:B,"")</f>
        <v>Adam Vass</v>
      </c>
      <c r="K740" s="129"/>
    </row>
    <row r="741" spans="1:11" ht="17.25" x14ac:dyDescent="0.35">
      <c r="A741" s="131" t="s">
        <v>4160</v>
      </c>
      <c r="B741" s="128" t="s">
        <v>4351</v>
      </c>
      <c r="C741" s="129"/>
      <c r="D741" s="129"/>
      <c r="E741" s="129"/>
      <c r="F741" s="129"/>
      <c r="G741" s="128" t="s">
        <v>386</v>
      </c>
      <c r="H741" s="131" t="str">
        <f t="shared" si="11"/>
        <v>NR31</v>
      </c>
      <c r="I741" s="131" t="str" cm="1">
        <f t="array" ref="I741">LEFT(G741, MIN(IF(ISNUMBER(--MID(G741, _xlfn.SEQUENCE(LEN(G741)), 1)), _xlfn.SEQUENCE(LEN(G741)))) - 1)</f>
        <v>NR</v>
      </c>
      <c r="J741" s="129" t="str">
        <f>_xlfn.XLOOKUP(H741,'GK IFT SDM POSTCODES'!A:A,'GK IFT SDM POSTCODES'!B:B,"")</f>
        <v>Adam Vass</v>
      </c>
      <c r="K741" s="129"/>
    </row>
    <row r="742" spans="1:11" ht="17.25" x14ac:dyDescent="0.35">
      <c r="A742" s="131" t="s">
        <v>4160</v>
      </c>
      <c r="B742" s="128" t="s">
        <v>4208</v>
      </c>
      <c r="C742" s="129"/>
      <c r="D742" s="129"/>
      <c r="E742" s="129"/>
      <c r="F742" s="129"/>
      <c r="G742" s="128" t="s">
        <v>4554</v>
      </c>
      <c r="H742" s="131" t="str">
        <f t="shared" si="11"/>
        <v>NR31</v>
      </c>
      <c r="I742" s="131" t="str" cm="1">
        <f t="array" ref="I742">LEFT(G742, MIN(IF(ISNUMBER(--MID(G742, _xlfn.SEQUENCE(LEN(G742)), 1)), _xlfn.SEQUENCE(LEN(G742)))) - 1)</f>
        <v>NR</v>
      </c>
      <c r="J742" s="129" t="str">
        <f>_xlfn.XLOOKUP(H742,'GK IFT SDM POSTCODES'!A:A,'GK IFT SDM POSTCODES'!B:B,"")</f>
        <v>Adam Vass</v>
      </c>
      <c r="K742" s="129"/>
    </row>
    <row r="743" spans="1:11" ht="17.25" x14ac:dyDescent="0.35">
      <c r="A743" s="134" t="s">
        <v>3902</v>
      </c>
      <c r="B743" s="134" t="s">
        <v>3955</v>
      </c>
      <c r="C743" s="134" t="s">
        <v>3879</v>
      </c>
      <c r="D743" s="129"/>
      <c r="E743" s="134" t="s">
        <v>153</v>
      </c>
      <c r="F743" s="134" t="s">
        <v>55</v>
      </c>
      <c r="G743" s="134" t="s">
        <v>3595</v>
      </c>
      <c r="H743" s="131" t="str">
        <f t="shared" si="11"/>
        <v>NR31</v>
      </c>
      <c r="I743" s="131" t="str" cm="1">
        <f t="array" ref="I743">LEFT(G743, MIN(IF(ISNUMBER(--MID(G743, _xlfn.SEQUENCE(LEN(G743)), 1)), _xlfn.SEQUENCE(LEN(G743)))) - 1)</f>
        <v>NR</v>
      </c>
      <c r="J743" s="134" t="s">
        <v>3800</v>
      </c>
      <c r="K743" s="129"/>
    </row>
    <row r="744" spans="1:11" ht="17.25" x14ac:dyDescent="0.35">
      <c r="A744" s="131" t="s">
        <v>4160</v>
      </c>
      <c r="B744" s="128" t="s">
        <v>4277</v>
      </c>
      <c r="C744" s="129"/>
      <c r="D744" s="129"/>
      <c r="E744" s="129"/>
      <c r="F744" s="129"/>
      <c r="G744" s="128" t="s">
        <v>4596</v>
      </c>
      <c r="H744" s="131" t="str">
        <f t="shared" si="11"/>
        <v>NR31</v>
      </c>
      <c r="I744" s="131" t="str" cm="1">
        <f t="array" ref="I744">LEFT(G744, MIN(IF(ISNUMBER(--MID(G744, _xlfn.SEQUENCE(LEN(G744)), 1)), _xlfn.SEQUENCE(LEN(G744)))) - 1)</f>
        <v>NR</v>
      </c>
      <c r="J744" s="129" t="str">
        <f>_xlfn.XLOOKUP(H744,'GK IFT SDM POSTCODES'!A:A,'GK IFT SDM POSTCODES'!B:B,"")</f>
        <v>Adam Vass</v>
      </c>
      <c r="K744" s="129"/>
    </row>
    <row r="745" spans="1:11" ht="17.25" x14ac:dyDescent="0.35">
      <c r="A745" s="131" t="s">
        <v>4160</v>
      </c>
      <c r="B745" s="128" t="s">
        <v>4406</v>
      </c>
      <c r="C745" s="129"/>
      <c r="D745" s="129"/>
      <c r="E745" s="129"/>
      <c r="F745" s="129"/>
      <c r="G745" s="128" t="s">
        <v>4685</v>
      </c>
      <c r="H745" s="131" t="str">
        <f t="shared" si="11"/>
        <v>NR31</v>
      </c>
      <c r="I745" s="131" t="str" cm="1">
        <f t="array" ref="I745">LEFT(G745, MIN(IF(ISNUMBER(--MID(G745, _xlfn.SEQUENCE(LEN(G745)), 1)), _xlfn.SEQUENCE(LEN(G745)))) - 1)</f>
        <v>NR</v>
      </c>
      <c r="J745" s="129" t="str">
        <f>_xlfn.XLOOKUP(H745,'GK IFT SDM POSTCODES'!A:A,'GK IFT SDM POSTCODES'!B:B,"")</f>
        <v>Adam Vass</v>
      </c>
      <c r="K745" s="129"/>
    </row>
    <row r="746" spans="1:11" ht="17.25" x14ac:dyDescent="0.35">
      <c r="A746" s="131" t="s">
        <v>4160</v>
      </c>
      <c r="B746" s="128" t="s">
        <v>4337</v>
      </c>
      <c r="C746" s="129"/>
      <c r="D746" s="129"/>
      <c r="E746" s="129"/>
      <c r="F746" s="129"/>
      <c r="G746" s="128" t="s">
        <v>297</v>
      </c>
      <c r="H746" s="131" t="str">
        <f t="shared" si="11"/>
        <v>NR31</v>
      </c>
      <c r="I746" s="131" t="str" cm="1">
        <f t="array" ref="I746">LEFT(G746, MIN(IF(ISNUMBER(--MID(G746, _xlfn.SEQUENCE(LEN(G746)), 1)), _xlfn.SEQUENCE(LEN(G746)))) - 1)</f>
        <v>NR</v>
      </c>
      <c r="J746" s="129" t="str">
        <f>_xlfn.XLOOKUP(H746,'GK IFT SDM POSTCODES'!A:A,'GK IFT SDM POSTCODES'!B:B,"")</f>
        <v>Adam Vass</v>
      </c>
      <c r="K746" s="129"/>
    </row>
    <row r="747" spans="1:11" ht="17.25" x14ac:dyDescent="0.35">
      <c r="A747" s="134" t="s">
        <v>7</v>
      </c>
      <c r="B747" s="134" t="s">
        <v>3956</v>
      </c>
      <c r="C747" s="134" t="s">
        <v>3880</v>
      </c>
      <c r="D747" s="129"/>
      <c r="E747" s="134" t="s">
        <v>153</v>
      </c>
      <c r="F747" s="134" t="s">
        <v>55</v>
      </c>
      <c r="G747" s="134" t="s">
        <v>272</v>
      </c>
      <c r="H747" s="131" t="str">
        <f t="shared" si="11"/>
        <v>NR31</v>
      </c>
      <c r="I747" s="131" t="str" cm="1">
        <f t="array" ref="I747">LEFT(G747, MIN(IF(ISNUMBER(--MID(G747, _xlfn.SEQUENCE(LEN(G747)), 1)), _xlfn.SEQUENCE(LEN(G747)))) - 1)</f>
        <v>NR</v>
      </c>
      <c r="J747" s="134" t="s">
        <v>3987</v>
      </c>
      <c r="K747" s="129"/>
    </row>
    <row r="748" spans="1:11" ht="17.25" x14ac:dyDescent="0.35">
      <c r="A748" s="131" t="s">
        <v>4160</v>
      </c>
      <c r="B748" s="128" t="s">
        <v>4378</v>
      </c>
      <c r="C748" s="129"/>
      <c r="D748" s="129"/>
      <c r="E748" s="129"/>
      <c r="F748" s="129"/>
      <c r="G748" s="128" t="s">
        <v>4667</v>
      </c>
      <c r="H748" s="131" t="str">
        <f t="shared" si="11"/>
        <v>NR31</v>
      </c>
      <c r="I748" s="131" t="str" cm="1">
        <f t="array" ref="I748">LEFT(G748, MIN(IF(ISNUMBER(--MID(G748, _xlfn.SEQUENCE(LEN(G748)), 1)), _xlfn.SEQUENCE(LEN(G748)))) - 1)</f>
        <v>NR</v>
      </c>
      <c r="J748" s="129" t="str">
        <f>_xlfn.XLOOKUP(H748,'GK IFT SDM POSTCODES'!A:A,'GK IFT SDM POSTCODES'!B:B,"")</f>
        <v>Adam Vass</v>
      </c>
      <c r="K748" s="129"/>
    </row>
    <row r="749" spans="1:11" ht="17.25" x14ac:dyDescent="0.35">
      <c r="A749" s="134" t="s">
        <v>3902</v>
      </c>
      <c r="B749" s="134" t="s">
        <v>3957</v>
      </c>
      <c r="C749" s="134" t="s">
        <v>3881</v>
      </c>
      <c r="D749" s="129"/>
      <c r="E749" s="134" t="s">
        <v>153</v>
      </c>
      <c r="F749" s="134" t="s">
        <v>55</v>
      </c>
      <c r="G749" s="134" t="s">
        <v>3838</v>
      </c>
      <c r="H749" s="131" t="str">
        <f t="shared" si="11"/>
        <v>NR31</v>
      </c>
      <c r="I749" s="131" t="str" cm="1">
        <f t="array" ref="I749">LEFT(G749, MIN(IF(ISNUMBER(--MID(G749, _xlfn.SEQUENCE(LEN(G749)), 1)), _xlfn.SEQUENCE(LEN(G749)))) - 1)</f>
        <v>NR</v>
      </c>
      <c r="J749" s="134" t="s">
        <v>3986</v>
      </c>
      <c r="K749" s="129"/>
    </row>
    <row r="750" spans="1:11" ht="17.25" x14ac:dyDescent="0.35">
      <c r="A750" s="131" t="s">
        <v>4160</v>
      </c>
      <c r="B750" s="128" t="s">
        <v>4369</v>
      </c>
      <c r="C750" s="129"/>
      <c r="D750" s="129"/>
      <c r="E750" s="129"/>
      <c r="F750" s="129"/>
      <c r="G750" s="128" t="s">
        <v>4662</v>
      </c>
      <c r="H750" s="131" t="str">
        <f t="shared" si="11"/>
        <v>NR31</v>
      </c>
      <c r="I750" s="131" t="str" cm="1">
        <f t="array" ref="I750">LEFT(G750, MIN(IF(ISNUMBER(--MID(G750, _xlfn.SEQUENCE(LEN(G750)), 1)), _xlfn.SEQUENCE(LEN(G750)))) - 1)</f>
        <v>NR</v>
      </c>
      <c r="J750" s="129" t="str">
        <f>_xlfn.XLOOKUP(H750,'GK IFT SDM POSTCODES'!A:A,'GK IFT SDM POSTCODES'!B:B,"")</f>
        <v>Adam Vass</v>
      </c>
      <c r="K750" s="129"/>
    </row>
    <row r="751" spans="1:11" ht="17.25" x14ac:dyDescent="0.35">
      <c r="A751" s="131" t="s">
        <v>4160</v>
      </c>
      <c r="B751" s="128" t="s">
        <v>4489</v>
      </c>
      <c r="C751" s="129"/>
      <c r="D751" s="129"/>
      <c r="E751" s="129"/>
      <c r="F751" s="129"/>
      <c r="G751" s="128" t="s">
        <v>4662</v>
      </c>
      <c r="H751" s="131" t="str">
        <f t="shared" si="11"/>
        <v>NR31</v>
      </c>
      <c r="I751" s="131" t="str" cm="1">
        <f t="array" ref="I751">LEFT(G751, MIN(IF(ISNUMBER(--MID(G751, _xlfn.SEQUENCE(LEN(G751)), 1)), _xlfn.SEQUENCE(LEN(G751)))) - 1)</f>
        <v>NR</v>
      </c>
      <c r="J751" s="129" t="str">
        <f>_xlfn.XLOOKUP(H751,'GK IFT SDM POSTCODES'!A:A,'GK IFT SDM POSTCODES'!B:B,"")</f>
        <v>Adam Vass</v>
      </c>
      <c r="K751" s="129"/>
    </row>
    <row r="752" spans="1:11" ht="17.25" x14ac:dyDescent="0.35">
      <c r="A752" s="131" t="s">
        <v>4160</v>
      </c>
      <c r="B752" s="128" t="s">
        <v>4200</v>
      </c>
      <c r="C752" s="129"/>
      <c r="D752" s="129"/>
      <c r="E752" s="129"/>
      <c r="F752" s="129"/>
      <c r="G752" s="128" t="s">
        <v>4546</v>
      </c>
      <c r="H752" s="131" t="str">
        <f t="shared" si="11"/>
        <v>NR31</v>
      </c>
      <c r="I752" s="131" t="str" cm="1">
        <f t="array" ref="I752">LEFT(G752, MIN(IF(ISNUMBER(--MID(G752, _xlfn.SEQUENCE(LEN(G752)), 1)), _xlfn.SEQUENCE(LEN(G752)))) - 1)</f>
        <v>NR</v>
      </c>
      <c r="J752" s="129" t="str">
        <f>_xlfn.XLOOKUP(H752,'GK IFT SDM POSTCODES'!A:A,'GK IFT SDM POSTCODES'!B:B,"")</f>
        <v>Adam Vass</v>
      </c>
      <c r="K752" s="129"/>
    </row>
    <row r="753" spans="1:11" ht="17.25" x14ac:dyDescent="0.35">
      <c r="A753" s="131" t="s">
        <v>4160</v>
      </c>
      <c r="B753" s="128" t="s">
        <v>4203</v>
      </c>
      <c r="C753" s="129"/>
      <c r="D753" s="129"/>
      <c r="E753" s="129"/>
      <c r="F753" s="129"/>
      <c r="G753" s="128" t="s">
        <v>4549</v>
      </c>
      <c r="H753" s="131" t="str">
        <f t="shared" si="11"/>
        <v>NR31</v>
      </c>
      <c r="I753" s="131" t="str" cm="1">
        <f t="array" ref="I753">LEFT(G753, MIN(IF(ISNUMBER(--MID(G753, _xlfn.SEQUENCE(LEN(G753)), 1)), _xlfn.SEQUENCE(LEN(G753)))) - 1)</f>
        <v>NR</v>
      </c>
      <c r="J753" s="129" t="str">
        <f>_xlfn.XLOOKUP(H753,'GK IFT SDM POSTCODES'!A:A,'GK IFT SDM POSTCODES'!B:B,"")</f>
        <v>Adam Vass</v>
      </c>
      <c r="K753" s="129"/>
    </row>
    <row r="754" spans="1:11" ht="17.25" x14ac:dyDescent="0.35">
      <c r="A754" s="134" t="s">
        <v>7</v>
      </c>
      <c r="B754" s="134" t="s">
        <v>3958</v>
      </c>
      <c r="C754" s="134" t="s">
        <v>3882</v>
      </c>
      <c r="D754" s="129"/>
      <c r="E754" s="134" t="s">
        <v>153</v>
      </c>
      <c r="F754" s="134" t="s">
        <v>55</v>
      </c>
      <c r="G754" s="134" t="s">
        <v>3839</v>
      </c>
      <c r="H754" s="131" t="str">
        <f t="shared" si="11"/>
        <v>NR31</v>
      </c>
      <c r="I754" s="131" t="str" cm="1">
        <f t="array" ref="I754">LEFT(G754, MIN(IF(ISNUMBER(--MID(G754, _xlfn.SEQUENCE(LEN(G754)), 1)), _xlfn.SEQUENCE(LEN(G754)))) - 1)</f>
        <v>NR</v>
      </c>
      <c r="J754" s="134" t="s">
        <v>3987</v>
      </c>
      <c r="K754" s="129"/>
    </row>
    <row r="755" spans="1:11" ht="17.25" x14ac:dyDescent="0.35">
      <c r="A755" s="134" t="s">
        <v>7</v>
      </c>
      <c r="B755" s="134" t="s">
        <v>3959</v>
      </c>
      <c r="C755" s="134" t="s">
        <v>3883</v>
      </c>
      <c r="D755" s="129"/>
      <c r="E755" s="134" t="s">
        <v>153</v>
      </c>
      <c r="F755" s="134" t="s">
        <v>55</v>
      </c>
      <c r="G755" s="134" t="s">
        <v>3840</v>
      </c>
      <c r="H755" s="131" t="str">
        <f t="shared" si="11"/>
        <v>NR31</v>
      </c>
      <c r="I755" s="131" t="str" cm="1">
        <f t="array" ref="I755">LEFT(G755, MIN(IF(ISNUMBER(--MID(G755, _xlfn.SEQUENCE(LEN(G755)), 1)), _xlfn.SEQUENCE(LEN(G755)))) - 1)</f>
        <v>NR</v>
      </c>
      <c r="J755" s="134" t="s">
        <v>3987</v>
      </c>
      <c r="K755" s="129"/>
    </row>
    <row r="756" spans="1:11" ht="17.25" x14ac:dyDescent="0.35">
      <c r="A756" s="131" t="s">
        <v>4160</v>
      </c>
      <c r="B756" s="128" t="s">
        <v>4310</v>
      </c>
      <c r="C756" s="129"/>
      <c r="D756" s="129"/>
      <c r="E756" s="129"/>
      <c r="F756" s="129"/>
      <c r="G756" s="128" t="s">
        <v>4621</v>
      </c>
      <c r="H756" s="131" t="str">
        <f t="shared" si="11"/>
        <v>NR31</v>
      </c>
      <c r="I756" s="131" t="str" cm="1">
        <f t="array" ref="I756">LEFT(G756, MIN(IF(ISNUMBER(--MID(G756, _xlfn.SEQUENCE(LEN(G756)), 1)), _xlfn.SEQUENCE(LEN(G756)))) - 1)</f>
        <v>NR</v>
      </c>
      <c r="J756" s="129" t="str">
        <f>_xlfn.XLOOKUP(H756,'GK IFT SDM POSTCODES'!A:A,'GK IFT SDM POSTCODES'!B:B,"")</f>
        <v>Adam Vass</v>
      </c>
      <c r="K756" s="129"/>
    </row>
    <row r="757" spans="1:11" ht="17.25" x14ac:dyDescent="0.35">
      <c r="A757" s="131" t="s">
        <v>4160</v>
      </c>
      <c r="B757" s="128" t="s">
        <v>298</v>
      </c>
      <c r="C757" s="129"/>
      <c r="D757" s="129"/>
      <c r="E757" s="129"/>
      <c r="F757" s="129"/>
      <c r="G757" s="128" t="s">
        <v>3674</v>
      </c>
      <c r="H757" s="131" t="str">
        <f t="shared" si="11"/>
        <v>NR31</v>
      </c>
      <c r="I757" s="131" t="str" cm="1">
        <f t="array" ref="I757">LEFT(G757, MIN(IF(ISNUMBER(--MID(G757, _xlfn.SEQUENCE(LEN(G757)), 1)), _xlfn.SEQUENCE(LEN(G757)))) - 1)</f>
        <v>NR</v>
      </c>
      <c r="J757" s="129" t="str">
        <f>_xlfn.XLOOKUP(H757,'GK IFT SDM POSTCODES'!A:A,'GK IFT SDM POSTCODES'!B:B,"")</f>
        <v>Adam Vass</v>
      </c>
      <c r="K757" s="129"/>
    </row>
    <row r="758" spans="1:11" ht="17.25" x14ac:dyDescent="0.35">
      <c r="A758" s="134" t="s">
        <v>3902</v>
      </c>
      <c r="B758" s="134" t="s">
        <v>3960</v>
      </c>
      <c r="C758" s="134" t="s">
        <v>3884</v>
      </c>
      <c r="D758" s="129"/>
      <c r="E758" s="134" t="s">
        <v>50</v>
      </c>
      <c r="F758" s="134" t="s">
        <v>45</v>
      </c>
      <c r="G758" s="134" t="s">
        <v>3597</v>
      </c>
      <c r="H758" s="131" t="str">
        <f t="shared" si="11"/>
        <v>NR32</v>
      </c>
      <c r="I758" s="131" t="str" cm="1">
        <f t="array" ref="I758">LEFT(G758, MIN(IF(ISNUMBER(--MID(G758, _xlfn.SEQUENCE(LEN(G758)), 1)), _xlfn.SEQUENCE(LEN(G758)))) - 1)</f>
        <v>NR</v>
      </c>
      <c r="J758" s="134" t="s">
        <v>3800</v>
      </c>
      <c r="K758" s="129"/>
    </row>
    <row r="759" spans="1:11" ht="17.25" x14ac:dyDescent="0.35">
      <c r="A759" s="131" t="s">
        <v>4160</v>
      </c>
      <c r="B759" s="128" t="s">
        <v>4450</v>
      </c>
      <c r="C759" s="129"/>
      <c r="D759" s="129"/>
      <c r="E759" s="129"/>
      <c r="F759" s="129"/>
      <c r="G759" s="128" t="s">
        <v>3597</v>
      </c>
      <c r="H759" s="131" t="str">
        <f t="shared" si="11"/>
        <v>NR32</v>
      </c>
      <c r="I759" s="131" t="str" cm="1">
        <f t="array" ref="I759">LEFT(G759, MIN(IF(ISNUMBER(--MID(G759, _xlfn.SEQUENCE(LEN(G759)), 1)), _xlfn.SEQUENCE(LEN(G759)))) - 1)</f>
        <v>NR</v>
      </c>
      <c r="J759" s="129" t="str">
        <f>_xlfn.XLOOKUP(H759,'GK IFT SDM POSTCODES'!A:A,'GK IFT SDM POSTCODES'!B:B,"")</f>
        <v>Rob Brown</v>
      </c>
      <c r="K759" s="129"/>
    </row>
    <row r="760" spans="1:11" ht="17.25" x14ac:dyDescent="0.35">
      <c r="A760" s="131" t="s">
        <v>4160</v>
      </c>
      <c r="B760" s="128" t="s">
        <v>4395</v>
      </c>
      <c r="C760" s="129"/>
      <c r="D760" s="129"/>
      <c r="E760" s="129"/>
      <c r="F760" s="129"/>
      <c r="G760" s="128" t="s">
        <v>4678</v>
      </c>
      <c r="H760" s="131" t="str">
        <f t="shared" si="11"/>
        <v>NR32</v>
      </c>
      <c r="I760" s="131" t="str" cm="1">
        <f t="array" ref="I760">LEFT(G760, MIN(IF(ISNUMBER(--MID(G760, _xlfn.SEQUENCE(LEN(G760)), 1)), _xlfn.SEQUENCE(LEN(G760)))) - 1)</f>
        <v>NR</v>
      </c>
      <c r="J760" s="129" t="str">
        <f>_xlfn.XLOOKUP(H760,'GK IFT SDM POSTCODES'!A:A,'GK IFT SDM POSTCODES'!B:B,"")</f>
        <v>Rob Brown</v>
      </c>
      <c r="K760" s="129"/>
    </row>
    <row r="761" spans="1:11" ht="17.25" x14ac:dyDescent="0.35">
      <c r="A761" s="131" t="s">
        <v>4160</v>
      </c>
      <c r="B761" s="128" t="s">
        <v>4434</v>
      </c>
      <c r="C761" s="129"/>
      <c r="D761" s="129"/>
      <c r="E761" s="129"/>
      <c r="F761" s="129"/>
      <c r="G761" s="128" t="s">
        <v>4700</v>
      </c>
      <c r="H761" s="131" t="str">
        <f t="shared" si="11"/>
        <v>NR32</v>
      </c>
      <c r="I761" s="131" t="str" cm="1">
        <f t="array" ref="I761">LEFT(G761, MIN(IF(ISNUMBER(--MID(G761, _xlfn.SEQUENCE(LEN(G761)), 1)), _xlfn.SEQUENCE(LEN(G761)))) - 1)</f>
        <v>NR</v>
      </c>
      <c r="J761" s="129" t="str">
        <f>_xlfn.XLOOKUP(H761,'GK IFT SDM POSTCODES'!A:A,'GK IFT SDM POSTCODES'!B:B,"")</f>
        <v>Rob Brown</v>
      </c>
      <c r="K761" s="129"/>
    </row>
    <row r="762" spans="1:11" ht="17.25" x14ac:dyDescent="0.35">
      <c r="A762" s="131" t="s">
        <v>4160</v>
      </c>
      <c r="B762" s="128" t="s">
        <v>3687</v>
      </c>
      <c r="C762" s="129"/>
      <c r="D762" s="129"/>
      <c r="E762" s="129"/>
      <c r="F762" s="129"/>
      <c r="G762" s="128" t="s">
        <v>3688</v>
      </c>
      <c r="H762" s="131" t="str">
        <f t="shared" si="11"/>
        <v>NR32</v>
      </c>
      <c r="I762" s="131" t="str" cm="1">
        <f t="array" ref="I762">LEFT(G762, MIN(IF(ISNUMBER(--MID(G762, _xlfn.SEQUENCE(LEN(G762)), 1)), _xlfn.SEQUENCE(LEN(G762)))) - 1)</f>
        <v>NR</v>
      </c>
      <c r="J762" s="129" t="str">
        <f>_xlfn.XLOOKUP(H762,'GK IFT SDM POSTCODES'!A:A,'GK IFT SDM POSTCODES'!B:B,"")</f>
        <v>Rob Brown</v>
      </c>
      <c r="K762" s="129"/>
    </row>
    <row r="763" spans="1:11" ht="17.25" x14ac:dyDescent="0.35">
      <c r="A763" s="131" t="s">
        <v>4160</v>
      </c>
      <c r="B763" s="128" t="s">
        <v>4262</v>
      </c>
      <c r="C763" s="129"/>
      <c r="D763" s="129"/>
      <c r="E763" s="129"/>
      <c r="F763" s="129"/>
      <c r="G763" s="128" t="s">
        <v>4585</v>
      </c>
      <c r="H763" s="131" t="str">
        <f t="shared" si="11"/>
        <v>NR32</v>
      </c>
      <c r="I763" s="131" t="str" cm="1">
        <f t="array" ref="I763">LEFT(G763, MIN(IF(ISNUMBER(--MID(G763, _xlfn.SEQUENCE(LEN(G763)), 1)), _xlfn.SEQUENCE(LEN(G763)))) - 1)</f>
        <v>NR</v>
      </c>
      <c r="J763" s="129" t="str">
        <f>_xlfn.XLOOKUP(H763,'GK IFT SDM POSTCODES'!A:A,'GK IFT SDM POSTCODES'!B:B,"")</f>
        <v>Rob Brown</v>
      </c>
      <c r="K763" s="129"/>
    </row>
    <row r="764" spans="1:11" ht="17.25" x14ac:dyDescent="0.35">
      <c r="A764" s="131" t="s">
        <v>4160</v>
      </c>
      <c r="B764" s="128" t="s">
        <v>4256</v>
      </c>
      <c r="C764" s="129"/>
      <c r="D764" s="129"/>
      <c r="E764" s="129"/>
      <c r="F764" s="129"/>
      <c r="G764" s="128" t="s">
        <v>4579</v>
      </c>
      <c r="H764" s="131" t="str">
        <f t="shared" si="11"/>
        <v>NR32</v>
      </c>
      <c r="I764" s="131" t="str" cm="1">
        <f t="array" ref="I764">LEFT(G764, MIN(IF(ISNUMBER(--MID(G764, _xlfn.SEQUENCE(LEN(G764)), 1)), _xlfn.SEQUENCE(LEN(G764)))) - 1)</f>
        <v>NR</v>
      </c>
      <c r="J764" s="129" t="str">
        <f>_xlfn.XLOOKUP(H764,'GK IFT SDM POSTCODES'!A:A,'GK IFT SDM POSTCODES'!B:B,"")</f>
        <v>Rob Brown</v>
      </c>
      <c r="K764" s="129"/>
    </row>
    <row r="765" spans="1:11" ht="17.25" x14ac:dyDescent="0.35">
      <c r="A765" s="131" t="s">
        <v>4160</v>
      </c>
      <c r="B765" s="128" t="s">
        <v>4331</v>
      </c>
      <c r="C765" s="129"/>
      <c r="D765" s="129"/>
      <c r="E765" s="129"/>
      <c r="F765" s="129"/>
      <c r="G765" s="128" t="s">
        <v>4634</v>
      </c>
      <c r="H765" s="131" t="str">
        <f t="shared" si="11"/>
        <v>NR32</v>
      </c>
      <c r="I765" s="131" t="str" cm="1">
        <f t="array" ref="I765">LEFT(G765, MIN(IF(ISNUMBER(--MID(G765, _xlfn.SEQUENCE(LEN(G765)), 1)), _xlfn.SEQUENCE(LEN(G765)))) - 1)</f>
        <v>NR</v>
      </c>
      <c r="J765" s="129" t="str">
        <f>_xlfn.XLOOKUP(H765,'GK IFT SDM POSTCODES'!A:A,'GK IFT SDM POSTCODES'!B:B,"")</f>
        <v>Rob Brown</v>
      </c>
      <c r="K765" s="129"/>
    </row>
    <row r="766" spans="1:11" ht="17.25" x14ac:dyDescent="0.35">
      <c r="A766" s="134" t="s">
        <v>3902</v>
      </c>
      <c r="B766" s="134" t="s">
        <v>3961</v>
      </c>
      <c r="C766" s="134" t="s">
        <v>3885</v>
      </c>
      <c r="D766" s="129"/>
      <c r="E766" s="134" t="s">
        <v>50</v>
      </c>
      <c r="F766" s="134" t="s">
        <v>45</v>
      </c>
      <c r="G766" s="134" t="s">
        <v>3841</v>
      </c>
      <c r="H766" s="131" t="str">
        <f t="shared" si="11"/>
        <v>NR32</v>
      </c>
      <c r="I766" s="131" t="str" cm="1">
        <f t="array" ref="I766">LEFT(G766, MIN(IF(ISNUMBER(--MID(G766, _xlfn.SEQUENCE(LEN(G766)), 1)), _xlfn.SEQUENCE(LEN(G766)))) - 1)</f>
        <v>NR</v>
      </c>
      <c r="J766" s="134" t="s">
        <v>3986</v>
      </c>
      <c r="K766" s="129"/>
    </row>
    <row r="767" spans="1:11" ht="17.25" x14ac:dyDescent="0.35">
      <c r="A767" s="134" t="s">
        <v>7</v>
      </c>
      <c r="B767" s="134" t="s">
        <v>3962</v>
      </c>
      <c r="C767" s="134" t="s">
        <v>3886</v>
      </c>
      <c r="D767" s="129"/>
      <c r="E767" s="134" t="s">
        <v>50</v>
      </c>
      <c r="F767" s="134" t="s">
        <v>45</v>
      </c>
      <c r="G767" s="134" t="s">
        <v>651</v>
      </c>
      <c r="H767" s="131" t="str">
        <f t="shared" si="11"/>
        <v>NR32</v>
      </c>
      <c r="I767" s="131" t="str" cm="1">
        <f t="array" ref="I767">LEFT(G767, MIN(IF(ISNUMBER(--MID(G767, _xlfn.SEQUENCE(LEN(G767)), 1)), _xlfn.SEQUENCE(LEN(G767)))) - 1)</f>
        <v>NR</v>
      </c>
      <c r="J767" s="134" t="s">
        <v>3987</v>
      </c>
      <c r="K767" s="129"/>
    </row>
    <row r="768" spans="1:11" ht="17.25" x14ac:dyDescent="0.35">
      <c r="A768" s="131" t="s">
        <v>4160</v>
      </c>
      <c r="B768" s="128" t="s">
        <v>4470</v>
      </c>
      <c r="C768" s="129"/>
      <c r="D768" s="129"/>
      <c r="E768" s="129"/>
      <c r="F768" s="129"/>
      <c r="G768" s="128" t="s">
        <v>295</v>
      </c>
      <c r="H768" s="131" t="str">
        <f t="shared" si="11"/>
        <v>NR32</v>
      </c>
      <c r="I768" s="131" t="str" cm="1">
        <f t="array" ref="I768">LEFT(G768, MIN(IF(ISNUMBER(--MID(G768, _xlfn.SEQUENCE(LEN(G768)), 1)), _xlfn.SEQUENCE(LEN(G768)))) - 1)</f>
        <v>NR</v>
      </c>
      <c r="J768" s="129" t="str">
        <f>_xlfn.XLOOKUP(H768,'GK IFT SDM POSTCODES'!A:A,'GK IFT SDM POSTCODES'!B:B,"")</f>
        <v>Rob Brown</v>
      </c>
      <c r="K768" s="129"/>
    </row>
    <row r="769" spans="1:11" ht="17.25" x14ac:dyDescent="0.35">
      <c r="A769" s="131" t="s">
        <v>4160</v>
      </c>
      <c r="B769" s="128" t="s">
        <v>4348</v>
      </c>
      <c r="C769" s="129"/>
      <c r="D769" s="129"/>
      <c r="E769" s="129"/>
      <c r="F769" s="129"/>
      <c r="G769" s="128" t="s">
        <v>3619</v>
      </c>
      <c r="H769" s="131" t="str">
        <f t="shared" si="11"/>
        <v>NR32</v>
      </c>
      <c r="I769" s="131" t="str" cm="1">
        <f t="array" ref="I769">LEFT(G769, MIN(IF(ISNUMBER(--MID(G769, _xlfn.SEQUENCE(LEN(G769)), 1)), _xlfn.SEQUENCE(LEN(G769)))) - 1)</f>
        <v>NR</v>
      </c>
      <c r="J769" s="129" t="str">
        <f>_xlfn.XLOOKUP(H769,'GK IFT SDM POSTCODES'!A:A,'GK IFT SDM POSTCODES'!B:B,"")</f>
        <v>Rob Brown</v>
      </c>
      <c r="K769" s="129"/>
    </row>
    <row r="770" spans="1:11" ht="17.25" x14ac:dyDescent="0.35">
      <c r="A770" s="134" t="s">
        <v>7</v>
      </c>
      <c r="B770" s="134" t="s">
        <v>3963</v>
      </c>
      <c r="C770" s="134" t="s">
        <v>3887</v>
      </c>
      <c r="D770" s="129"/>
      <c r="E770" s="134" t="s">
        <v>50</v>
      </c>
      <c r="F770" s="134" t="s">
        <v>45</v>
      </c>
      <c r="G770" s="134" t="s">
        <v>326</v>
      </c>
      <c r="H770" s="131" t="str">
        <f t="shared" ref="H770:H833" si="12">_xlfn.TEXTBEFORE(G770," ")</f>
        <v>NR32</v>
      </c>
      <c r="I770" s="131" t="str" cm="1">
        <f t="array" ref="I770">LEFT(G770, MIN(IF(ISNUMBER(--MID(G770, _xlfn.SEQUENCE(LEN(G770)), 1)), _xlfn.SEQUENCE(LEN(G770)))) - 1)</f>
        <v>NR</v>
      </c>
      <c r="J770" s="134" t="s">
        <v>3987</v>
      </c>
      <c r="K770" s="129"/>
    </row>
    <row r="771" spans="1:11" ht="17.25" x14ac:dyDescent="0.35">
      <c r="A771" s="129" t="s">
        <v>498</v>
      </c>
      <c r="B771" s="137" t="s">
        <v>5247</v>
      </c>
      <c r="C771" s="137" t="s">
        <v>5248</v>
      </c>
      <c r="D771" s="129"/>
      <c r="E771" s="137" t="s">
        <v>50</v>
      </c>
      <c r="F771" s="129"/>
      <c r="G771" s="137" t="s">
        <v>3613</v>
      </c>
      <c r="H771" s="131" t="str">
        <f t="shared" si="12"/>
        <v>NR32</v>
      </c>
      <c r="I771" s="131" t="str" cm="1">
        <f t="array" ref="I771">LEFT(G771, MIN(IF(ISNUMBER(--MID(G771, _xlfn.SEQUENCE(LEN(G771)), 1)), _xlfn.SEQUENCE(LEN(G771)))) - 1)</f>
        <v>NR</v>
      </c>
      <c r="J771" s="137" t="s">
        <v>5148</v>
      </c>
      <c r="K771" s="129"/>
    </row>
    <row r="772" spans="1:11" ht="17.25" x14ac:dyDescent="0.35">
      <c r="A772" s="134" t="s">
        <v>3902</v>
      </c>
      <c r="B772" s="134" t="s">
        <v>3964</v>
      </c>
      <c r="C772" s="134" t="s">
        <v>3888</v>
      </c>
      <c r="D772" s="129"/>
      <c r="E772" s="134" t="s">
        <v>50</v>
      </c>
      <c r="F772" s="134" t="s">
        <v>45</v>
      </c>
      <c r="G772" s="134" t="s">
        <v>44</v>
      </c>
      <c r="H772" s="131" t="str">
        <f t="shared" si="12"/>
        <v>NR32</v>
      </c>
      <c r="I772" s="131" t="str" cm="1">
        <f t="array" ref="I772">LEFT(G772, MIN(IF(ISNUMBER(--MID(G772, _xlfn.SEQUENCE(LEN(G772)), 1)), _xlfn.SEQUENCE(LEN(G772)))) - 1)</f>
        <v>NR</v>
      </c>
      <c r="J772" s="134" t="s">
        <v>3986</v>
      </c>
      <c r="K772" s="129"/>
    </row>
    <row r="773" spans="1:11" ht="17.25" x14ac:dyDescent="0.35">
      <c r="A773" s="131" t="s">
        <v>4160</v>
      </c>
      <c r="B773" s="128" t="s">
        <v>4460</v>
      </c>
      <c r="C773" s="129"/>
      <c r="D773" s="129"/>
      <c r="E773" s="129"/>
      <c r="F773" s="129"/>
      <c r="G773" s="128" t="s">
        <v>387</v>
      </c>
      <c r="H773" s="131" t="str">
        <f t="shared" si="12"/>
        <v>NR32</v>
      </c>
      <c r="I773" s="131" t="str" cm="1">
        <f t="array" ref="I773">LEFT(G773, MIN(IF(ISNUMBER(--MID(G773, _xlfn.SEQUENCE(LEN(G773)), 1)), _xlfn.SEQUENCE(LEN(G773)))) - 1)</f>
        <v>NR</v>
      </c>
      <c r="J773" s="129" t="str">
        <f>_xlfn.XLOOKUP(H773,'GK IFT SDM POSTCODES'!A:A,'GK IFT SDM POSTCODES'!B:B,"")</f>
        <v>Rob Brown</v>
      </c>
      <c r="K773" s="129"/>
    </row>
    <row r="774" spans="1:11" ht="17.25" x14ac:dyDescent="0.35">
      <c r="A774" s="131" t="s">
        <v>4160</v>
      </c>
      <c r="B774" s="128" t="s">
        <v>4213</v>
      </c>
      <c r="C774" s="129"/>
      <c r="D774" s="129"/>
      <c r="E774" s="129"/>
      <c r="F774" s="129"/>
      <c r="G774" s="128" t="s">
        <v>4557</v>
      </c>
      <c r="H774" s="131" t="str">
        <f t="shared" si="12"/>
        <v>NR32</v>
      </c>
      <c r="I774" s="131" t="str" cm="1">
        <f t="array" ref="I774">LEFT(G774, MIN(IF(ISNUMBER(--MID(G774, _xlfn.SEQUENCE(LEN(G774)), 1)), _xlfn.SEQUENCE(LEN(G774)))) - 1)</f>
        <v>NR</v>
      </c>
      <c r="J774" s="129" t="str">
        <f>_xlfn.XLOOKUP(H774,'GK IFT SDM POSTCODES'!A:A,'GK IFT SDM POSTCODES'!B:B,"")</f>
        <v>Rob Brown</v>
      </c>
      <c r="K774" s="129"/>
    </row>
    <row r="775" spans="1:11" ht="17.25" x14ac:dyDescent="0.35">
      <c r="A775" s="131" t="s">
        <v>4160</v>
      </c>
      <c r="B775" s="136" t="s">
        <v>4494</v>
      </c>
      <c r="C775" s="129"/>
      <c r="D775" s="129"/>
      <c r="E775" s="129"/>
      <c r="F775" s="129"/>
      <c r="G775" s="136" t="s">
        <v>4557</v>
      </c>
      <c r="H775" s="131" t="str">
        <f t="shared" si="12"/>
        <v>NR32</v>
      </c>
      <c r="I775" s="131" t="str" cm="1">
        <f t="array" ref="I775">LEFT(G775, MIN(IF(ISNUMBER(--MID(G775, _xlfn.SEQUENCE(LEN(G775)), 1)), _xlfn.SEQUENCE(LEN(G775)))) - 1)</f>
        <v>NR</v>
      </c>
      <c r="J775" s="129" t="str">
        <f>_xlfn.XLOOKUP(H775,'GK IFT SDM POSTCODES'!A:A,'GK IFT SDM POSTCODES'!B:B,"")</f>
        <v>Rob Brown</v>
      </c>
      <c r="K775" s="129"/>
    </row>
    <row r="776" spans="1:11" ht="17.25" x14ac:dyDescent="0.35">
      <c r="A776" s="131" t="s">
        <v>4160</v>
      </c>
      <c r="B776" s="128" t="s">
        <v>4441</v>
      </c>
      <c r="C776" s="129"/>
      <c r="D776" s="129"/>
      <c r="E776" s="129"/>
      <c r="F776" s="129"/>
      <c r="G776" s="128" t="s">
        <v>271</v>
      </c>
      <c r="H776" s="131" t="str">
        <f t="shared" si="12"/>
        <v>NR32</v>
      </c>
      <c r="I776" s="131" t="str" cm="1">
        <f t="array" ref="I776">LEFT(G776, MIN(IF(ISNUMBER(--MID(G776, _xlfn.SEQUENCE(LEN(G776)), 1)), _xlfn.SEQUENCE(LEN(G776)))) - 1)</f>
        <v>NR</v>
      </c>
      <c r="J776" s="129" t="str">
        <f>_xlfn.XLOOKUP(H776,'GK IFT SDM POSTCODES'!A:A,'GK IFT SDM POSTCODES'!B:B,"")</f>
        <v>Rob Brown</v>
      </c>
      <c r="K776" s="129"/>
    </row>
    <row r="777" spans="1:11" ht="17.25" x14ac:dyDescent="0.35">
      <c r="A777" s="131" t="s">
        <v>4160</v>
      </c>
      <c r="B777" s="128" t="s">
        <v>4479</v>
      </c>
      <c r="C777" s="129"/>
      <c r="D777" s="129"/>
      <c r="E777" s="129"/>
      <c r="F777" s="129"/>
      <c r="G777" s="128" t="s">
        <v>296</v>
      </c>
      <c r="H777" s="131" t="str">
        <f t="shared" si="12"/>
        <v>NR33</v>
      </c>
      <c r="I777" s="131" t="str" cm="1">
        <f t="array" ref="I777">LEFT(G777, MIN(IF(ISNUMBER(--MID(G777, _xlfn.SEQUENCE(LEN(G777)), 1)), _xlfn.SEQUENCE(LEN(G777)))) - 1)</f>
        <v>NR</v>
      </c>
      <c r="J777" s="129" t="str">
        <f>_xlfn.XLOOKUP(H777,'GK IFT SDM POSTCODES'!A:A,'GK IFT SDM POSTCODES'!B:B,"")</f>
        <v>Rob Brown</v>
      </c>
      <c r="K777" s="129"/>
    </row>
    <row r="778" spans="1:11" ht="17.25" x14ac:dyDescent="0.35">
      <c r="A778" s="131" t="s">
        <v>4160</v>
      </c>
      <c r="B778" s="128" t="s">
        <v>4286</v>
      </c>
      <c r="C778" s="129"/>
      <c r="D778" s="129"/>
      <c r="E778" s="129"/>
      <c r="F778" s="129"/>
      <c r="G778" s="128" t="s">
        <v>3638</v>
      </c>
      <c r="H778" s="131" t="str">
        <f t="shared" si="12"/>
        <v>NR33</v>
      </c>
      <c r="I778" s="131" t="str" cm="1">
        <f t="array" ref="I778">LEFT(G778, MIN(IF(ISNUMBER(--MID(G778, _xlfn.SEQUENCE(LEN(G778)), 1)), _xlfn.SEQUENCE(LEN(G778)))) - 1)</f>
        <v>NR</v>
      </c>
      <c r="J778" s="129" t="str">
        <f>_xlfn.XLOOKUP(H778,'GK IFT SDM POSTCODES'!A:A,'GK IFT SDM POSTCODES'!B:B,"")</f>
        <v>Rob Brown</v>
      </c>
      <c r="K778" s="129"/>
    </row>
    <row r="779" spans="1:11" ht="17.25" x14ac:dyDescent="0.35">
      <c r="A779" s="131" t="s">
        <v>4160</v>
      </c>
      <c r="B779" s="128" t="s">
        <v>4239</v>
      </c>
      <c r="C779" s="129"/>
      <c r="D779" s="129"/>
      <c r="E779" s="129"/>
      <c r="F779" s="129"/>
      <c r="G779" s="128" t="s">
        <v>4571</v>
      </c>
      <c r="H779" s="131" t="str">
        <f t="shared" si="12"/>
        <v>NR33</v>
      </c>
      <c r="I779" s="131" t="str" cm="1">
        <f t="array" ref="I779">LEFT(G779, MIN(IF(ISNUMBER(--MID(G779, _xlfn.SEQUENCE(LEN(G779)), 1)), _xlfn.SEQUENCE(LEN(G779)))) - 1)</f>
        <v>NR</v>
      </c>
      <c r="J779" s="129" t="str">
        <f>_xlfn.XLOOKUP(H779,'GK IFT SDM POSTCODES'!A:A,'GK IFT SDM POSTCODES'!B:B,"")</f>
        <v>Rob Brown</v>
      </c>
      <c r="K779" s="129"/>
    </row>
    <row r="780" spans="1:11" ht="17.25" x14ac:dyDescent="0.35">
      <c r="A780" s="131" t="s">
        <v>4160</v>
      </c>
      <c r="B780" s="128" t="s">
        <v>4240</v>
      </c>
      <c r="C780" s="129"/>
      <c r="D780" s="129"/>
      <c r="E780" s="129"/>
      <c r="F780" s="129"/>
      <c r="G780" s="128" t="s">
        <v>4571</v>
      </c>
      <c r="H780" s="131" t="str">
        <f t="shared" si="12"/>
        <v>NR33</v>
      </c>
      <c r="I780" s="131" t="str" cm="1">
        <f t="array" ref="I780">LEFT(G780, MIN(IF(ISNUMBER(--MID(G780, _xlfn.SEQUENCE(LEN(G780)), 1)), _xlfn.SEQUENCE(LEN(G780)))) - 1)</f>
        <v>NR</v>
      </c>
      <c r="J780" s="129" t="str">
        <f>_xlfn.XLOOKUP(H780,'GK IFT SDM POSTCODES'!A:A,'GK IFT SDM POSTCODES'!B:B,"")</f>
        <v>Rob Brown</v>
      </c>
      <c r="K780" s="129"/>
    </row>
    <row r="781" spans="1:11" ht="17.25" x14ac:dyDescent="0.35">
      <c r="A781" s="134" t="s">
        <v>7</v>
      </c>
      <c r="B781" s="134" t="s">
        <v>3965</v>
      </c>
      <c r="C781" s="134" t="s">
        <v>614</v>
      </c>
      <c r="D781" s="129"/>
      <c r="E781" s="134" t="s">
        <v>50</v>
      </c>
      <c r="F781" s="134" t="s">
        <v>45</v>
      </c>
      <c r="G781" s="134" t="s">
        <v>265</v>
      </c>
      <c r="H781" s="131" t="str">
        <f t="shared" si="12"/>
        <v>NR33</v>
      </c>
      <c r="I781" s="131" t="str" cm="1">
        <f t="array" ref="I781">LEFT(G781, MIN(IF(ISNUMBER(--MID(G781, _xlfn.SEQUENCE(LEN(G781)), 1)), _xlfn.SEQUENCE(LEN(G781)))) - 1)</f>
        <v>NR</v>
      </c>
      <c r="J781" s="134" t="s">
        <v>3987</v>
      </c>
      <c r="K781" s="129"/>
    </row>
    <row r="782" spans="1:11" ht="17.25" x14ac:dyDescent="0.35">
      <c r="A782" s="131" t="s">
        <v>4160</v>
      </c>
      <c r="B782" s="128" t="s">
        <v>4303</v>
      </c>
      <c r="C782" s="129"/>
      <c r="D782" s="129"/>
      <c r="E782" s="129"/>
      <c r="F782" s="129"/>
      <c r="G782" s="128" t="s">
        <v>265</v>
      </c>
      <c r="H782" s="131" t="str">
        <f t="shared" si="12"/>
        <v>NR33</v>
      </c>
      <c r="I782" s="131" t="str" cm="1">
        <f t="array" ref="I782">LEFT(G782, MIN(IF(ISNUMBER(--MID(G782, _xlfn.SEQUENCE(LEN(G782)), 1)), _xlfn.SEQUENCE(LEN(G782)))) - 1)</f>
        <v>NR</v>
      </c>
      <c r="J782" s="129" t="str">
        <f>_xlfn.XLOOKUP(H782,'GK IFT SDM POSTCODES'!A:A,'GK IFT SDM POSTCODES'!B:B,"")</f>
        <v>Rob Brown</v>
      </c>
      <c r="K782" s="129"/>
    </row>
    <row r="783" spans="1:11" ht="17.25" x14ac:dyDescent="0.35">
      <c r="A783" s="131" t="s">
        <v>4160</v>
      </c>
      <c r="B783" s="128" t="s">
        <v>4445</v>
      </c>
      <c r="C783" s="129"/>
      <c r="D783" s="129"/>
      <c r="E783" s="129"/>
      <c r="F783" s="129"/>
      <c r="G783" s="128" t="s">
        <v>4707</v>
      </c>
      <c r="H783" s="131" t="str">
        <f t="shared" si="12"/>
        <v>NR33</v>
      </c>
      <c r="I783" s="131" t="str" cm="1">
        <f t="array" ref="I783">LEFT(G783, MIN(IF(ISNUMBER(--MID(G783, _xlfn.SEQUENCE(LEN(G783)), 1)), _xlfn.SEQUENCE(LEN(G783)))) - 1)</f>
        <v>NR</v>
      </c>
      <c r="J783" s="129" t="str">
        <f>_xlfn.XLOOKUP(H783,'GK IFT SDM POSTCODES'!A:A,'GK IFT SDM POSTCODES'!B:B,"")</f>
        <v>Rob Brown</v>
      </c>
      <c r="K783" s="129"/>
    </row>
    <row r="784" spans="1:11" ht="17.25" x14ac:dyDescent="0.35">
      <c r="A784" s="131" t="s">
        <v>4160</v>
      </c>
      <c r="B784" s="128" t="s">
        <v>4292</v>
      </c>
      <c r="C784" s="129"/>
      <c r="D784" s="129"/>
      <c r="E784" s="129"/>
      <c r="F784" s="129"/>
      <c r="G784" s="128" t="s">
        <v>173</v>
      </c>
      <c r="H784" s="131" t="str">
        <f t="shared" si="12"/>
        <v>NR33</v>
      </c>
      <c r="I784" s="131" t="str" cm="1">
        <f t="array" ref="I784">LEFT(G784, MIN(IF(ISNUMBER(--MID(G784, _xlfn.SEQUENCE(LEN(G784)), 1)), _xlfn.SEQUENCE(LEN(G784)))) - 1)</f>
        <v>NR</v>
      </c>
      <c r="J784" s="129" t="str">
        <f>_xlfn.XLOOKUP(H784,'GK IFT SDM POSTCODES'!A:A,'GK IFT SDM POSTCODES'!B:B,"")</f>
        <v>Rob Brown</v>
      </c>
      <c r="K784" s="129"/>
    </row>
    <row r="785" spans="1:11" ht="17.25" x14ac:dyDescent="0.35">
      <c r="A785" s="134" t="s">
        <v>7</v>
      </c>
      <c r="B785" s="134" t="s">
        <v>3966</v>
      </c>
      <c r="C785" s="134" t="s">
        <v>3889</v>
      </c>
      <c r="D785" s="129"/>
      <c r="E785" s="134" t="s">
        <v>50</v>
      </c>
      <c r="F785" s="134" t="s">
        <v>45</v>
      </c>
      <c r="G785" s="134" t="s">
        <v>3842</v>
      </c>
      <c r="H785" s="131" t="str">
        <f t="shared" si="12"/>
        <v>NR33</v>
      </c>
      <c r="I785" s="131" t="str" cm="1">
        <f t="array" ref="I785">LEFT(G785, MIN(IF(ISNUMBER(--MID(G785, _xlfn.SEQUENCE(LEN(G785)), 1)), _xlfn.SEQUENCE(LEN(G785)))) - 1)</f>
        <v>NR</v>
      </c>
      <c r="J785" s="134" t="s">
        <v>3987</v>
      </c>
      <c r="K785" s="129"/>
    </row>
    <row r="786" spans="1:11" ht="17.25" x14ac:dyDescent="0.35">
      <c r="A786" s="131" t="s">
        <v>4160</v>
      </c>
      <c r="B786" s="128" t="s">
        <v>4405</v>
      </c>
      <c r="C786" s="129"/>
      <c r="D786" s="129"/>
      <c r="E786" s="129"/>
      <c r="F786" s="129"/>
      <c r="G786" s="128" t="s">
        <v>4684</v>
      </c>
      <c r="H786" s="131" t="str">
        <f t="shared" si="12"/>
        <v>NR33</v>
      </c>
      <c r="I786" s="131" t="str" cm="1">
        <f t="array" ref="I786">LEFT(G786, MIN(IF(ISNUMBER(--MID(G786, _xlfn.SEQUENCE(LEN(G786)), 1)), _xlfn.SEQUENCE(LEN(G786)))) - 1)</f>
        <v>NR</v>
      </c>
      <c r="J786" s="129" t="str">
        <f>_xlfn.XLOOKUP(H786,'GK IFT SDM POSTCODES'!A:A,'GK IFT SDM POSTCODES'!B:B,"")</f>
        <v>Rob Brown</v>
      </c>
      <c r="K786" s="129"/>
    </row>
    <row r="787" spans="1:11" ht="17.25" x14ac:dyDescent="0.35">
      <c r="A787" s="131" t="s">
        <v>4160</v>
      </c>
      <c r="B787" s="128" t="s">
        <v>4481</v>
      </c>
      <c r="C787" s="129"/>
      <c r="D787" s="129"/>
      <c r="E787" s="129"/>
      <c r="F787" s="129"/>
      <c r="G787" s="128" t="s">
        <v>4684</v>
      </c>
      <c r="H787" s="131" t="str">
        <f t="shared" si="12"/>
        <v>NR33</v>
      </c>
      <c r="I787" s="131" t="str" cm="1">
        <f t="array" ref="I787">LEFT(G787, MIN(IF(ISNUMBER(--MID(G787, _xlfn.SEQUENCE(LEN(G787)), 1)), _xlfn.SEQUENCE(LEN(G787)))) - 1)</f>
        <v>NR</v>
      </c>
      <c r="J787" s="129" t="str">
        <f>_xlfn.XLOOKUP(H787,'GK IFT SDM POSTCODES'!A:A,'GK IFT SDM POSTCODES'!B:B,"")</f>
        <v>Rob Brown</v>
      </c>
      <c r="K787" s="129"/>
    </row>
    <row r="788" spans="1:11" ht="17.25" x14ac:dyDescent="0.35">
      <c r="A788" s="131" t="s">
        <v>4160</v>
      </c>
      <c r="B788" s="128" t="s">
        <v>4317</v>
      </c>
      <c r="C788" s="129"/>
      <c r="D788" s="129"/>
      <c r="E788" s="129"/>
      <c r="F788" s="129"/>
      <c r="G788" s="128" t="s">
        <v>4625</v>
      </c>
      <c r="H788" s="131" t="str">
        <f t="shared" si="12"/>
        <v>NR33</v>
      </c>
      <c r="I788" s="131" t="str" cm="1">
        <f t="array" ref="I788">LEFT(G788, MIN(IF(ISNUMBER(--MID(G788, _xlfn.SEQUENCE(LEN(G788)), 1)), _xlfn.SEQUENCE(LEN(G788)))) - 1)</f>
        <v>NR</v>
      </c>
      <c r="J788" s="129" t="str">
        <f>_xlfn.XLOOKUP(H788,'GK IFT SDM POSTCODES'!A:A,'GK IFT SDM POSTCODES'!B:B,"")</f>
        <v>Rob Brown</v>
      </c>
      <c r="K788" s="129"/>
    </row>
    <row r="789" spans="1:11" ht="17.25" x14ac:dyDescent="0.35">
      <c r="A789" s="131" t="s">
        <v>4160</v>
      </c>
      <c r="B789" s="128" t="s">
        <v>4308</v>
      </c>
      <c r="C789" s="129"/>
      <c r="D789" s="129"/>
      <c r="E789" s="129"/>
      <c r="F789" s="129"/>
      <c r="G789" s="128" t="s">
        <v>4619</v>
      </c>
      <c r="H789" s="131" t="str">
        <f t="shared" si="12"/>
        <v>NR33</v>
      </c>
      <c r="I789" s="131" t="str" cm="1">
        <f t="array" ref="I789">LEFT(G789, MIN(IF(ISNUMBER(--MID(G789, _xlfn.SEQUENCE(LEN(G789)), 1)), _xlfn.SEQUENCE(LEN(G789)))) - 1)</f>
        <v>NR</v>
      </c>
      <c r="J789" s="129" t="str">
        <f>_xlfn.XLOOKUP(H789,'GK IFT SDM POSTCODES'!A:A,'GK IFT SDM POSTCODES'!B:B,"")</f>
        <v>Rob Brown</v>
      </c>
      <c r="K789" s="129"/>
    </row>
    <row r="790" spans="1:11" ht="17.25" x14ac:dyDescent="0.35">
      <c r="A790" s="131" t="s">
        <v>4160</v>
      </c>
      <c r="B790" s="128" t="s">
        <v>4399</v>
      </c>
      <c r="C790" s="129"/>
      <c r="D790" s="129"/>
      <c r="E790" s="129"/>
      <c r="F790" s="129"/>
      <c r="G790" s="128" t="s">
        <v>4680</v>
      </c>
      <c r="H790" s="131" t="str">
        <f t="shared" si="12"/>
        <v>NR33</v>
      </c>
      <c r="I790" s="131" t="str" cm="1">
        <f t="array" ref="I790">LEFT(G790, MIN(IF(ISNUMBER(--MID(G790, _xlfn.SEQUENCE(LEN(G790)), 1)), _xlfn.SEQUENCE(LEN(G790)))) - 1)</f>
        <v>NR</v>
      </c>
      <c r="J790" s="129" t="str">
        <f>_xlfn.XLOOKUP(H790,'GK IFT SDM POSTCODES'!A:A,'GK IFT SDM POSTCODES'!B:B,"")</f>
        <v>Rob Brown</v>
      </c>
      <c r="K790" s="129"/>
    </row>
    <row r="791" spans="1:11" ht="17.25" x14ac:dyDescent="0.35">
      <c r="A791" s="131" t="s">
        <v>4160</v>
      </c>
      <c r="B791" s="128" t="s">
        <v>4391</v>
      </c>
      <c r="C791" s="129"/>
      <c r="D791" s="129"/>
      <c r="E791" s="129"/>
      <c r="F791" s="129"/>
      <c r="G791" s="128" t="s">
        <v>4677</v>
      </c>
      <c r="H791" s="131" t="str">
        <f t="shared" si="12"/>
        <v>NR33</v>
      </c>
      <c r="I791" s="131" t="str" cm="1">
        <f t="array" ref="I791">LEFT(G791, MIN(IF(ISNUMBER(--MID(G791, _xlfn.SEQUENCE(LEN(G791)), 1)), _xlfn.SEQUENCE(LEN(G791)))) - 1)</f>
        <v>NR</v>
      </c>
      <c r="J791" s="129" t="str">
        <f>_xlfn.XLOOKUP(H791,'GK IFT SDM POSTCODES'!A:A,'GK IFT SDM POSTCODES'!B:B,"")</f>
        <v>Rob Brown</v>
      </c>
      <c r="K791" s="129"/>
    </row>
    <row r="792" spans="1:11" ht="17.25" x14ac:dyDescent="0.35">
      <c r="A792" s="131" t="s">
        <v>4160</v>
      </c>
      <c r="B792" s="128" t="s">
        <v>4207</v>
      </c>
      <c r="C792" s="129"/>
      <c r="D792" s="129"/>
      <c r="E792" s="129"/>
      <c r="F792" s="129"/>
      <c r="G792" s="128" t="s">
        <v>4553</v>
      </c>
      <c r="H792" s="131" t="str">
        <f t="shared" si="12"/>
        <v>NR33</v>
      </c>
      <c r="I792" s="131" t="str" cm="1">
        <f t="array" ref="I792">LEFT(G792, MIN(IF(ISNUMBER(--MID(G792, _xlfn.SEQUENCE(LEN(G792)), 1)), _xlfn.SEQUENCE(LEN(G792)))) - 1)</f>
        <v>NR</v>
      </c>
      <c r="J792" s="129" t="str">
        <f>_xlfn.XLOOKUP(H792,'GK IFT SDM POSTCODES'!A:A,'GK IFT SDM POSTCODES'!B:B,"")</f>
        <v>Rob Brown</v>
      </c>
      <c r="K792" s="129"/>
    </row>
    <row r="793" spans="1:11" ht="17.25" x14ac:dyDescent="0.35">
      <c r="A793" s="131" t="s">
        <v>4160</v>
      </c>
      <c r="B793" s="128" t="s">
        <v>342</v>
      </c>
      <c r="C793" s="129"/>
      <c r="D793" s="129"/>
      <c r="E793" s="129"/>
      <c r="F793" s="129"/>
      <c r="G793" s="128" t="s">
        <v>343</v>
      </c>
      <c r="H793" s="131" t="str">
        <f t="shared" si="12"/>
        <v>NR33</v>
      </c>
      <c r="I793" s="131" t="str" cm="1">
        <f t="array" ref="I793">LEFT(G793, MIN(IF(ISNUMBER(--MID(G793, _xlfn.SEQUENCE(LEN(G793)), 1)), _xlfn.SEQUENCE(LEN(G793)))) - 1)</f>
        <v>NR</v>
      </c>
      <c r="J793" s="129" t="str">
        <f>_xlfn.XLOOKUP(H793,'GK IFT SDM POSTCODES'!A:A,'GK IFT SDM POSTCODES'!B:B,"")</f>
        <v>Rob Brown</v>
      </c>
      <c r="K793" s="129"/>
    </row>
    <row r="794" spans="1:11" ht="17.25" x14ac:dyDescent="0.35">
      <c r="A794" s="131" t="s">
        <v>4160</v>
      </c>
      <c r="B794" s="128" t="s">
        <v>4302</v>
      </c>
      <c r="C794" s="129"/>
      <c r="D794" s="129"/>
      <c r="E794" s="129"/>
      <c r="F794" s="129"/>
      <c r="G794" s="128" t="s">
        <v>343</v>
      </c>
      <c r="H794" s="131" t="str">
        <f t="shared" si="12"/>
        <v>NR33</v>
      </c>
      <c r="I794" s="131" t="str" cm="1">
        <f t="array" ref="I794">LEFT(G794, MIN(IF(ISNUMBER(--MID(G794, _xlfn.SEQUENCE(LEN(G794)), 1)), _xlfn.SEQUENCE(LEN(G794)))) - 1)</f>
        <v>NR</v>
      </c>
      <c r="J794" s="129" t="str">
        <f>_xlfn.XLOOKUP(H794,'GK IFT SDM POSTCODES'!A:A,'GK IFT SDM POSTCODES'!B:B,"")</f>
        <v>Rob Brown</v>
      </c>
      <c r="K794" s="129"/>
    </row>
    <row r="795" spans="1:11" ht="17.25" x14ac:dyDescent="0.35">
      <c r="A795" s="134" t="s">
        <v>7</v>
      </c>
      <c r="B795" s="134" t="s">
        <v>3967</v>
      </c>
      <c r="C795" s="134" t="s">
        <v>3890</v>
      </c>
      <c r="D795" s="129"/>
      <c r="E795" s="134" t="s">
        <v>50</v>
      </c>
      <c r="F795" s="134" t="s">
        <v>45</v>
      </c>
      <c r="G795" s="134" t="s">
        <v>127</v>
      </c>
      <c r="H795" s="131" t="str">
        <f t="shared" si="12"/>
        <v>NR33</v>
      </c>
      <c r="I795" s="131" t="str" cm="1">
        <f t="array" ref="I795">LEFT(G795, MIN(IF(ISNUMBER(--MID(G795, _xlfn.SEQUENCE(LEN(G795)), 1)), _xlfn.SEQUENCE(LEN(G795)))) - 1)</f>
        <v>NR</v>
      </c>
      <c r="J795" s="134" t="s">
        <v>3987</v>
      </c>
      <c r="K795" s="129"/>
    </row>
    <row r="796" spans="1:11" ht="17.25" x14ac:dyDescent="0.35">
      <c r="A796" s="131" t="s">
        <v>4160</v>
      </c>
      <c r="B796" s="128" t="s">
        <v>4175</v>
      </c>
      <c r="C796" s="129"/>
      <c r="D796" s="129"/>
      <c r="E796" s="129"/>
      <c r="F796" s="129"/>
      <c r="G796" s="128" t="s">
        <v>124</v>
      </c>
      <c r="H796" s="131" t="str">
        <f t="shared" si="12"/>
        <v>NR33</v>
      </c>
      <c r="I796" s="131" t="str" cm="1">
        <f t="array" ref="I796">LEFT(G796, MIN(IF(ISNUMBER(--MID(G796, _xlfn.SEQUENCE(LEN(G796)), 1)), _xlfn.SEQUENCE(LEN(G796)))) - 1)</f>
        <v>NR</v>
      </c>
      <c r="J796" s="129" t="str">
        <f>_xlfn.XLOOKUP(H796,'GK IFT SDM POSTCODES'!A:A,'GK IFT SDM POSTCODES'!B:B,"")</f>
        <v>Rob Brown</v>
      </c>
      <c r="K796" s="129"/>
    </row>
    <row r="797" spans="1:11" ht="17.25" x14ac:dyDescent="0.35">
      <c r="A797" s="129" t="s">
        <v>498</v>
      </c>
      <c r="B797" s="137" t="s">
        <v>5237</v>
      </c>
      <c r="C797" s="137" t="s">
        <v>5238</v>
      </c>
      <c r="D797" s="129"/>
      <c r="E797" s="137" t="s">
        <v>50</v>
      </c>
      <c r="F797" s="129"/>
      <c r="G797" s="137" t="s">
        <v>268</v>
      </c>
      <c r="H797" s="131" t="str">
        <f t="shared" si="12"/>
        <v>NR33</v>
      </c>
      <c r="I797" s="131" t="str" cm="1">
        <f t="array" ref="I797">LEFT(G797, MIN(IF(ISNUMBER(--MID(G797, _xlfn.SEQUENCE(LEN(G797)), 1)), _xlfn.SEQUENCE(LEN(G797)))) - 1)</f>
        <v>NR</v>
      </c>
      <c r="J797" s="137" t="s">
        <v>5148</v>
      </c>
      <c r="K797" s="129"/>
    </row>
    <row r="798" spans="1:11" ht="17.25" x14ac:dyDescent="0.35">
      <c r="A798" s="131" t="s">
        <v>4160</v>
      </c>
      <c r="B798" s="128" t="s">
        <v>4255</v>
      </c>
      <c r="C798" s="129"/>
      <c r="D798" s="129"/>
      <c r="E798" s="129"/>
      <c r="F798" s="129"/>
      <c r="G798" s="128" t="s">
        <v>3601</v>
      </c>
      <c r="H798" s="131" t="str">
        <f t="shared" si="12"/>
        <v>NR33</v>
      </c>
      <c r="I798" s="131" t="str" cm="1">
        <f t="array" ref="I798">LEFT(G798, MIN(IF(ISNUMBER(--MID(G798, _xlfn.SEQUENCE(LEN(G798)), 1)), _xlfn.SEQUENCE(LEN(G798)))) - 1)</f>
        <v>NR</v>
      </c>
      <c r="J798" s="129" t="str">
        <f>_xlfn.XLOOKUP(H798,'GK IFT SDM POSTCODES'!A:A,'GK IFT SDM POSTCODES'!B:B,"")</f>
        <v>Rob Brown</v>
      </c>
      <c r="K798" s="129"/>
    </row>
    <row r="799" spans="1:11" ht="17.25" x14ac:dyDescent="0.35">
      <c r="A799" s="134" t="s">
        <v>7</v>
      </c>
      <c r="B799" s="134" t="s">
        <v>3968</v>
      </c>
      <c r="C799" s="134" t="s">
        <v>3025</v>
      </c>
      <c r="D799" s="129"/>
      <c r="E799" s="134" t="s">
        <v>50</v>
      </c>
      <c r="F799" s="134" t="s">
        <v>45</v>
      </c>
      <c r="G799" s="134" t="s">
        <v>172</v>
      </c>
      <c r="H799" s="131" t="str">
        <f t="shared" si="12"/>
        <v>NR33</v>
      </c>
      <c r="I799" s="131" t="str" cm="1">
        <f t="array" ref="I799">LEFT(G799, MIN(IF(ISNUMBER(--MID(G799, _xlfn.SEQUENCE(LEN(G799)), 1)), _xlfn.SEQUENCE(LEN(G799)))) - 1)</f>
        <v>NR</v>
      </c>
      <c r="J799" s="134" t="s">
        <v>3987</v>
      </c>
      <c r="K799" s="129"/>
    </row>
    <row r="800" spans="1:11" ht="17.25" x14ac:dyDescent="0.35">
      <c r="A800" s="134" t="s">
        <v>3902</v>
      </c>
      <c r="B800" s="134" t="s">
        <v>3969</v>
      </c>
      <c r="C800" s="134" t="s">
        <v>3891</v>
      </c>
      <c r="D800" s="129"/>
      <c r="E800" s="134" t="s">
        <v>50</v>
      </c>
      <c r="F800" s="134" t="s">
        <v>45</v>
      </c>
      <c r="G800" s="134" t="s">
        <v>172</v>
      </c>
      <c r="H800" s="131" t="str">
        <f t="shared" si="12"/>
        <v>NR33</v>
      </c>
      <c r="I800" s="131" t="str" cm="1">
        <f t="array" ref="I800">LEFT(G800, MIN(IF(ISNUMBER(--MID(G800, _xlfn.SEQUENCE(LEN(G800)), 1)), _xlfn.SEQUENCE(LEN(G800)))) - 1)</f>
        <v>NR</v>
      </c>
      <c r="J800" s="134" t="s">
        <v>3800</v>
      </c>
      <c r="K800" s="129"/>
    </row>
    <row r="801" spans="1:11" ht="17.25" x14ac:dyDescent="0.35">
      <c r="A801" s="131" t="s">
        <v>4160</v>
      </c>
      <c r="B801" s="128" t="s">
        <v>4195</v>
      </c>
      <c r="C801" s="129"/>
      <c r="D801" s="129"/>
      <c r="E801" s="129"/>
      <c r="F801" s="129"/>
      <c r="G801" s="128" t="s">
        <v>172</v>
      </c>
      <c r="H801" s="131" t="str">
        <f t="shared" si="12"/>
        <v>NR33</v>
      </c>
      <c r="I801" s="131" t="str" cm="1">
        <f t="array" ref="I801">LEFT(G801, MIN(IF(ISNUMBER(--MID(G801, _xlfn.SEQUENCE(LEN(G801)), 1)), _xlfn.SEQUENCE(LEN(G801)))) - 1)</f>
        <v>NR</v>
      </c>
      <c r="J801" s="129" t="str">
        <f>_xlfn.XLOOKUP(H801,'GK IFT SDM POSTCODES'!A:A,'GK IFT SDM POSTCODES'!B:B,"")</f>
        <v>Rob Brown</v>
      </c>
      <c r="K801" s="129"/>
    </row>
    <row r="802" spans="1:11" ht="17.25" x14ac:dyDescent="0.35">
      <c r="A802" s="131" t="s">
        <v>4160</v>
      </c>
      <c r="B802" s="128" t="s">
        <v>4373</v>
      </c>
      <c r="C802" s="129"/>
      <c r="D802" s="129"/>
      <c r="E802" s="129"/>
      <c r="F802" s="129"/>
      <c r="G802" s="128" t="s">
        <v>269</v>
      </c>
      <c r="H802" s="131" t="str">
        <f t="shared" si="12"/>
        <v>NR33</v>
      </c>
      <c r="I802" s="131" t="str" cm="1">
        <f t="array" ref="I802">LEFT(G802, MIN(IF(ISNUMBER(--MID(G802, _xlfn.SEQUENCE(LEN(G802)), 1)), _xlfn.SEQUENCE(LEN(G802)))) - 1)</f>
        <v>NR</v>
      </c>
      <c r="J802" s="129" t="str">
        <f>_xlfn.XLOOKUP(H802,'GK IFT SDM POSTCODES'!A:A,'GK IFT SDM POSTCODES'!B:B,"")</f>
        <v>Rob Brown</v>
      </c>
      <c r="K802" s="129"/>
    </row>
    <row r="803" spans="1:11" ht="17.25" x14ac:dyDescent="0.35">
      <c r="A803" s="131" t="s">
        <v>4160</v>
      </c>
      <c r="B803" s="128" t="s">
        <v>4374</v>
      </c>
      <c r="C803" s="129"/>
      <c r="D803" s="129"/>
      <c r="E803" s="129"/>
      <c r="F803" s="129"/>
      <c r="G803" s="128" t="s">
        <v>269</v>
      </c>
      <c r="H803" s="131" t="str">
        <f t="shared" si="12"/>
        <v>NR33</v>
      </c>
      <c r="I803" s="131" t="str" cm="1">
        <f t="array" ref="I803">LEFT(G803, MIN(IF(ISNUMBER(--MID(G803, _xlfn.SEQUENCE(LEN(G803)), 1)), _xlfn.SEQUENCE(LEN(G803)))) - 1)</f>
        <v>NR</v>
      </c>
      <c r="J803" s="129" t="str">
        <f>_xlfn.XLOOKUP(H803,'GK IFT SDM POSTCODES'!A:A,'GK IFT SDM POSTCODES'!B:B,"")</f>
        <v>Rob Brown</v>
      </c>
      <c r="K803" s="129"/>
    </row>
    <row r="804" spans="1:11" ht="17.25" x14ac:dyDescent="0.35">
      <c r="A804" s="131" t="s">
        <v>4160</v>
      </c>
      <c r="B804" s="128" t="s">
        <v>4427</v>
      </c>
      <c r="C804" s="129"/>
      <c r="D804" s="129"/>
      <c r="E804" s="129"/>
      <c r="F804" s="129"/>
      <c r="G804" s="128" t="s">
        <v>4696</v>
      </c>
      <c r="H804" s="131" t="str">
        <f t="shared" si="12"/>
        <v>NR33</v>
      </c>
      <c r="I804" s="131" t="str" cm="1">
        <f t="array" ref="I804">LEFT(G804, MIN(IF(ISNUMBER(--MID(G804, _xlfn.SEQUENCE(LEN(G804)), 1)), _xlfn.SEQUENCE(LEN(G804)))) - 1)</f>
        <v>NR</v>
      </c>
      <c r="J804" s="129" t="str">
        <f>_xlfn.XLOOKUP(H804,'GK IFT SDM POSTCODES'!A:A,'GK IFT SDM POSTCODES'!B:B,"")</f>
        <v>Rob Brown</v>
      </c>
      <c r="K804" s="129"/>
    </row>
    <row r="805" spans="1:11" ht="17.25" x14ac:dyDescent="0.35">
      <c r="A805" s="131" t="s">
        <v>4160</v>
      </c>
      <c r="B805" s="128" t="s">
        <v>4298</v>
      </c>
      <c r="C805" s="129"/>
      <c r="D805" s="129"/>
      <c r="E805" s="129"/>
      <c r="F805" s="129"/>
      <c r="G805" s="128" t="s">
        <v>4613</v>
      </c>
      <c r="H805" s="131" t="str">
        <f t="shared" si="12"/>
        <v>NR34</v>
      </c>
      <c r="I805" s="131" t="str" cm="1">
        <f t="array" ref="I805">LEFT(G805, MIN(IF(ISNUMBER(--MID(G805, _xlfn.SEQUENCE(LEN(G805)), 1)), _xlfn.SEQUENCE(LEN(G805)))) - 1)</f>
        <v>NR</v>
      </c>
      <c r="J805" s="129" t="str">
        <f>_xlfn.XLOOKUP(H805,'GK IFT SDM POSTCODES'!A:A,'GK IFT SDM POSTCODES'!B:B,"")</f>
        <v>Rob Brown</v>
      </c>
      <c r="K805" s="129"/>
    </row>
    <row r="806" spans="1:11" ht="17.25" x14ac:dyDescent="0.35">
      <c r="A806" s="131" t="s">
        <v>4160</v>
      </c>
      <c r="B806" s="128" t="s">
        <v>4169</v>
      </c>
      <c r="C806" s="129"/>
      <c r="D806" s="129"/>
      <c r="E806" s="129"/>
      <c r="F806" s="129"/>
      <c r="G806" s="128" t="s">
        <v>4525</v>
      </c>
      <c r="H806" s="131" t="str">
        <f t="shared" si="12"/>
        <v>NR34</v>
      </c>
      <c r="I806" s="131" t="str" cm="1">
        <f t="array" ref="I806">LEFT(G806, MIN(IF(ISNUMBER(--MID(G806, _xlfn.SEQUENCE(LEN(G806)), 1)), _xlfn.SEQUENCE(LEN(G806)))) - 1)</f>
        <v>NR</v>
      </c>
      <c r="J806" s="129" t="str">
        <f>_xlfn.XLOOKUP(H806,'GK IFT SDM POSTCODES'!A:A,'GK IFT SDM POSTCODES'!B:B,"")</f>
        <v>Rob Brown</v>
      </c>
      <c r="K806" s="129"/>
    </row>
    <row r="807" spans="1:11" ht="17.25" x14ac:dyDescent="0.35">
      <c r="A807" s="134" t="s">
        <v>3902</v>
      </c>
      <c r="B807" s="134" t="s">
        <v>3970</v>
      </c>
      <c r="C807" s="134" t="s">
        <v>3892</v>
      </c>
      <c r="D807" s="129"/>
      <c r="E807" s="134" t="s">
        <v>104</v>
      </c>
      <c r="F807" s="134" t="s">
        <v>45</v>
      </c>
      <c r="G807" s="134" t="s">
        <v>285</v>
      </c>
      <c r="H807" s="131" t="str">
        <f t="shared" si="12"/>
        <v>NR34</v>
      </c>
      <c r="I807" s="131" t="str" cm="1">
        <f t="array" ref="I807">LEFT(G807, MIN(IF(ISNUMBER(--MID(G807, _xlfn.SEQUENCE(LEN(G807)), 1)), _xlfn.SEQUENCE(LEN(G807)))) - 1)</f>
        <v>NR</v>
      </c>
      <c r="J807" s="134" t="s">
        <v>3986</v>
      </c>
      <c r="K807" s="129"/>
    </row>
    <row r="808" spans="1:11" ht="17.25" x14ac:dyDescent="0.35">
      <c r="A808" s="131" t="s">
        <v>4160</v>
      </c>
      <c r="B808" s="128" t="s">
        <v>4167</v>
      </c>
      <c r="C808" s="129"/>
      <c r="D808" s="129"/>
      <c r="E808" s="129"/>
      <c r="F808" s="129"/>
      <c r="G808" s="128" t="s">
        <v>285</v>
      </c>
      <c r="H808" s="131" t="str">
        <f t="shared" si="12"/>
        <v>NR34</v>
      </c>
      <c r="I808" s="131" t="str" cm="1">
        <f t="array" ref="I808">LEFT(G808, MIN(IF(ISNUMBER(--MID(G808, _xlfn.SEQUENCE(LEN(G808)), 1)), _xlfn.SEQUENCE(LEN(G808)))) - 1)</f>
        <v>NR</v>
      </c>
      <c r="J808" s="129" t="str">
        <f>_xlfn.XLOOKUP(H808,'GK IFT SDM POSTCODES'!A:A,'GK IFT SDM POSTCODES'!B:B,"")</f>
        <v>Rob Brown</v>
      </c>
      <c r="K808" s="129"/>
    </row>
    <row r="809" spans="1:11" ht="17.25" x14ac:dyDescent="0.35">
      <c r="A809" s="134" t="s">
        <v>7</v>
      </c>
      <c r="B809" s="134" t="s">
        <v>3971</v>
      </c>
      <c r="C809" s="134" t="s">
        <v>609</v>
      </c>
      <c r="D809" s="129"/>
      <c r="E809" s="134" t="s">
        <v>104</v>
      </c>
      <c r="F809" s="134" t="s">
        <v>45</v>
      </c>
      <c r="G809" s="134" t="s">
        <v>106</v>
      </c>
      <c r="H809" s="131" t="str">
        <f t="shared" si="12"/>
        <v>NR34</v>
      </c>
      <c r="I809" s="131" t="str" cm="1">
        <f t="array" ref="I809">LEFT(G809, MIN(IF(ISNUMBER(--MID(G809, _xlfn.SEQUENCE(LEN(G809)), 1)), _xlfn.SEQUENCE(LEN(G809)))) - 1)</f>
        <v>NR</v>
      </c>
      <c r="J809" s="134" t="s">
        <v>3987</v>
      </c>
      <c r="K809" s="129"/>
    </row>
    <row r="810" spans="1:11" ht="17.25" x14ac:dyDescent="0.35">
      <c r="A810" s="131" t="s">
        <v>4160</v>
      </c>
      <c r="B810" s="128" t="s">
        <v>4447</v>
      </c>
      <c r="C810" s="129"/>
      <c r="D810" s="129"/>
      <c r="E810" s="129"/>
      <c r="F810" s="129"/>
      <c r="G810" s="128" t="s">
        <v>4708</v>
      </c>
      <c r="H810" s="131" t="str">
        <f t="shared" si="12"/>
        <v>NR34</v>
      </c>
      <c r="I810" s="131" t="str" cm="1">
        <f t="array" ref="I810">LEFT(G810, MIN(IF(ISNUMBER(--MID(G810, _xlfn.SEQUENCE(LEN(G810)), 1)), _xlfn.SEQUENCE(LEN(G810)))) - 1)</f>
        <v>NR</v>
      </c>
      <c r="J810" s="129" t="str">
        <f>_xlfn.XLOOKUP(H810,'GK IFT SDM POSTCODES'!A:A,'GK IFT SDM POSTCODES'!B:B,"")</f>
        <v>Rob Brown</v>
      </c>
      <c r="K810" s="129"/>
    </row>
    <row r="811" spans="1:11" ht="17.25" x14ac:dyDescent="0.35">
      <c r="A811" s="131" t="s">
        <v>4160</v>
      </c>
      <c r="B811" s="128" t="s">
        <v>4270</v>
      </c>
      <c r="C811" s="129"/>
      <c r="D811" s="129"/>
      <c r="E811" s="129"/>
      <c r="F811" s="129"/>
      <c r="G811" s="128" t="s">
        <v>4589</v>
      </c>
      <c r="H811" s="131" t="str">
        <f t="shared" si="12"/>
        <v>NR34</v>
      </c>
      <c r="I811" s="131" t="str" cm="1">
        <f t="array" ref="I811">LEFT(G811, MIN(IF(ISNUMBER(--MID(G811, _xlfn.SEQUENCE(LEN(G811)), 1)), _xlfn.SEQUENCE(LEN(G811)))) - 1)</f>
        <v>NR</v>
      </c>
      <c r="J811" s="129" t="str">
        <f>_xlfn.XLOOKUP(H811,'GK IFT SDM POSTCODES'!A:A,'GK IFT SDM POSTCODES'!B:B,"")</f>
        <v>Rob Brown</v>
      </c>
      <c r="K811" s="129"/>
    </row>
    <row r="812" spans="1:11" ht="17.25" x14ac:dyDescent="0.35">
      <c r="A812" s="131" t="s">
        <v>4160</v>
      </c>
      <c r="B812" s="128" t="s">
        <v>4446</v>
      </c>
      <c r="C812" s="129"/>
      <c r="D812" s="129"/>
      <c r="E812" s="129"/>
      <c r="F812" s="129"/>
      <c r="G812" s="128" t="s">
        <v>455</v>
      </c>
      <c r="H812" s="131" t="str">
        <f t="shared" si="12"/>
        <v>NR34</v>
      </c>
      <c r="I812" s="131" t="str" cm="1">
        <f t="array" ref="I812">LEFT(G812, MIN(IF(ISNUMBER(--MID(G812, _xlfn.SEQUENCE(LEN(G812)), 1)), _xlfn.SEQUENCE(LEN(G812)))) - 1)</f>
        <v>NR</v>
      </c>
      <c r="J812" s="129" t="str">
        <f>_xlfn.XLOOKUP(H812,'GK IFT SDM POSTCODES'!A:A,'GK IFT SDM POSTCODES'!B:B,"")</f>
        <v>Rob Brown</v>
      </c>
      <c r="K812" s="129"/>
    </row>
    <row r="813" spans="1:11" ht="17.25" x14ac:dyDescent="0.35">
      <c r="A813" s="131" t="s">
        <v>4160</v>
      </c>
      <c r="B813" s="128" t="s">
        <v>4173</v>
      </c>
      <c r="C813" s="129"/>
      <c r="D813" s="129"/>
      <c r="E813" s="129"/>
      <c r="F813" s="129"/>
      <c r="G813" s="128" t="s">
        <v>4529</v>
      </c>
      <c r="H813" s="131" t="str">
        <f t="shared" si="12"/>
        <v>NR34</v>
      </c>
      <c r="I813" s="131" t="str" cm="1">
        <f t="array" ref="I813">LEFT(G813, MIN(IF(ISNUMBER(--MID(G813, _xlfn.SEQUENCE(LEN(G813)), 1)), _xlfn.SEQUENCE(LEN(G813)))) - 1)</f>
        <v>NR</v>
      </c>
      <c r="J813" s="129" t="str">
        <f>_xlfn.XLOOKUP(H813,'GK IFT SDM POSTCODES'!A:A,'GK IFT SDM POSTCODES'!B:B,"")</f>
        <v>Rob Brown</v>
      </c>
      <c r="K813" s="129"/>
    </row>
    <row r="814" spans="1:11" ht="17.25" x14ac:dyDescent="0.35">
      <c r="A814" s="131" t="s">
        <v>4160</v>
      </c>
      <c r="B814" s="128" t="s">
        <v>4172</v>
      </c>
      <c r="C814" s="129"/>
      <c r="D814" s="129"/>
      <c r="E814" s="129"/>
      <c r="F814" s="129"/>
      <c r="G814" s="128" t="s">
        <v>4528</v>
      </c>
      <c r="H814" s="131" t="str">
        <f t="shared" si="12"/>
        <v>NR34</v>
      </c>
      <c r="I814" s="131" t="str" cm="1">
        <f t="array" ref="I814">LEFT(G814, MIN(IF(ISNUMBER(--MID(G814, _xlfn.SEQUENCE(LEN(G814)), 1)), _xlfn.SEQUENCE(LEN(G814)))) - 1)</f>
        <v>NR</v>
      </c>
      <c r="J814" s="129" t="str">
        <f>_xlfn.XLOOKUP(H814,'GK IFT SDM POSTCODES'!A:A,'GK IFT SDM POSTCODES'!B:B,"")</f>
        <v>Rob Brown</v>
      </c>
      <c r="K814" s="129"/>
    </row>
    <row r="815" spans="1:11" ht="17.25" x14ac:dyDescent="0.35">
      <c r="A815" s="131" t="s">
        <v>4160</v>
      </c>
      <c r="B815" s="128" t="s">
        <v>4467</v>
      </c>
      <c r="C815" s="129"/>
      <c r="D815" s="129"/>
      <c r="E815" s="129"/>
      <c r="F815" s="129"/>
      <c r="G815" s="128" t="s">
        <v>4721</v>
      </c>
      <c r="H815" s="131" t="str">
        <f t="shared" si="12"/>
        <v>NR34</v>
      </c>
      <c r="I815" s="131" t="str" cm="1">
        <f t="array" ref="I815">LEFT(G815, MIN(IF(ISNUMBER(--MID(G815, _xlfn.SEQUENCE(LEN(G815)), 1)), _xlfn.SEQUENCE(LEN(G815)))) - 1)</f>
        <v>NR</v>
      </c>
      <c r="J815" s="129" t="str">
        <f>_xlfn.XLOOKUP(H815,'GK IFT SDM POSTCODES'!A:A,'GK IFT SDM POSTCODES'!B:B,"")</f>
        <v>Rob Brown</v>
      </c>
      <c r="K815" s="129"/>
    </row>
    <row r="816" spans="1:11" ht="17.25" x14ac:dyDescent="0.35">
      <c r="A816" s="131" t="s">
        <v>4160</v>
      </c>
      <c r="B816" s="128" t="s">
        <v>4267</v>
      </c>
      <c r="C816" s="129"/>
      <c r="D816" s="129"/>
      <c r="E816" s="129"/>
      <c r="F816" s="129"/>
      <c r="G816" s="128" t="s">
        <v>456</v>
      </c>
      <c r="H816" s="131" t="str">
        <f t="shared" si="12"/>
        <v>NR35</v>
      </c>
      <c r="I816" s="131" t="str" cm="1">
        <f t="array" ref="I816">LEFT(G816, MIN(IF(ISNUMBER(--MID(G816, _xlfn.SEQUENCE(LEN(G816)), 1)), _xlfn.SEQUENCE(LEN(G816)))) - 1)</f>
        <v>NR</v>
      </c>
      <c r="J816" s="129" t="str">
        <f>_xlfn.XLOOKUP(H816,'GK IFT SDM POSTCODES'!A:A,'GK IFT SDM POSTCODES'!B:B,"")</f>
        <v>Rob Brown</v>
      </c>
      <c r="K816" s="129"/>
    </row>
    <row r="817" spans="1:11" ht="17.25" x14ac:dyDescent="0.35">
      <c r="A817" s="131" t="s">
        <v>4160</v>
      </c>
      <c r="B817" s="128" t="s">
        <v>4431</v>
      </c>
      <c r="C817" s="129"/>
      <c r="D817" s="129"/>
      <c r="E817" s="129"/>
      <c r="F817" s="129"/>
      <c r="G817" s="128" t="s">
        <v>4699</v>
      </c>
      <c r="H817" s="131" t="str">
        <f t="shared" si="12"/>
        <v>NR35</v>
      </c>
      <c r="I817" s="131" t="str" cm="1">
        <f t="array" ref="I817">LEFT(G817, MIN(IF(ISNUMBER(--MID(G817, _xlfn.SEQUENCE(LEN(G817)), 1)), _xlfn.SEQUENCE(LEN(G817)))) - 1)</f>
        <v>NR</v>
      </c>
      <c r="J817" s="129" t="str">
        <f>_xlfn.XLOOKUP(H817,'GK IFT SDM POSTCODES'!A:A,'GK IFT SDM POSTCODES'!B:B,"")</f>
        <v>Rob Brown</v>
      </c>
      <c r="K817" s="129"/>
    </row>
    <row r="818" spans="1:11" ht="17.25" x14ac:dyDescent="0.35">
      <c r="A818" s="131" t="s">
        <v>4160</v>
      </c>
      <c r="B818" s="128" t="s">
        <v>4197</v>
      </c>
      <c r="C818" s="129"/>
      <c r="D818" s="129"/>
      <c r="E818" s="129"/>
      <c r="F818" s="129"/>
      <c r="G818" s="128" t="s">
        <v>457</v>
      </c>
      <c r="H818" s="131" t="str">
        <f t="shared" si="12"/>
        <v>NR35</v>
      </c>
      <c r="I818" s="131" t="str" cm="1">
        <f t="array" ref="I818">LEFT(G818, MIN(IF(ISNUMBER(--MID(G818, _xlfn.SEQUENCE(LEN(G818)), 1)), _xlfn.SEQUENCE(LEN(G818)))) - 1)</f>
        <v>NR</v>
      </c>
      <c r="J818" s="129" t="str">
        <f>_xlfn.XLOOKUP(H818,'GK IFT SDM POSTCODES'!A:A,'GK IFT SDM POSTCODES'!B:B,"")</f>
        <v>Rob Brown</v>
      </c>
      <c r="K818" s="129"/>
    </row>
    <row r="819" spans="1:11" ht="17.25" x14ac:dyDescent="0.35">
      <c r="A819" s="131" t="s">
        <v>4160</v>
      </c>
      <c r="B819" s="128" t="s">
        <v>4199</v>
      </c>
      <c r="C819" s="129"/>
      <c r="D819" s="129"/>
      <c r="E819" s="129"/>
      <c r="F819" s="129"/>
      <c r="G819" s="128" t="s">
        <v>4545</v>
      </c>
      <c r="H819" s="131" t="str">
        <f t="shared" si="12"/>
        <v>NR35</v>
      </c>
      <c r="I819" s="131" t="str" cm="1">
        <f t="array" ref="I819">LEFT(G819, MIN(IF(ISNUMBER(--MID(G819, _xlfn.SEQUENCE(LEN(G819)), 1)), _xlfn.SEQUENCE(LEN(G819)))) - 1)</f>
        <v>NR</v>
      </c>
      <c r="J819" s="129" t="str">
        <f>_xlfn.XLOOKUP(H819,'GK IFT SDM POSTCODES'!A:A,'GK IFT SDM POSTCODES'!B:B,"")</f>
        <v>Rob Brown</v>
      </c>
      <c r="K819" s="129"/>
    </row>
    <row r="820" spans="1:11" ht="17.25" x14ac:dyDescent="0.35">
      <c r="A820" s="134" t="s">
        <v>7</v>
      </c>
      <c r="B820" s="134" t="s">
        <v>3972</v>
      </c>
      <c r="C820" s="134" t="s">
        <v>3893</v>
      </c>
      <c r="D820" s="129"/>
      <c r="E820" s="134" t="s">
        <v>255</v>
      </c>
      <c r="F820" s="134" t="s">
        <v>55</v>
      </c>
      <c r="G820" s="134" t="s">
        <v>246</v>
      </c>
      <c r="H820" s="131" t="str">
        <f t="shared" si="12"/>
        <v>NR4</v>
      </c>
      <c r="I820" s="131" t="str" cm="1">
        <f t="array" ref="I820">LEFT(G820, MIN(IF(ISNUMBER(--MID(G820, _xlfn.SEQUENCE(LEN(G820)), 1)), _xlfn.SEQUENCE(LEN(G820)))) - 1)</f>
        <v>NR</v>
      </c>
      <c r="J820" s="134" t="s">
        <v>3987</v>
      </c>
      <c r="K820" s="129"/>
    </row>
    <row r="821" spans="1:11" ht="17.25" x14ac:dyDescent="0.35">
      <c r="A821" s="134" t="s">
        <v>7</v>
      </c>
      <c r="B821" s="134" t="s">
        <v>3973</v>
      </c>
      <c r="C821" s="134" t="s">
        <v>600</v>
      </c>
      <c r="D821" s="129"/>
      <c r="E821" s="134" t="s">
        <v>255</v>
      </c>
      <c r="F821" s="134" t="s">
        <v>55</v>
      </c>
      <c r="G821" s="134" t="s">
        <v>306</v>
      </c>
      <c r="H821" s="131" t="str">
        <f t="shared" si="12"/>
        <v>NR4</v>
      </c>
      <c r="I821" s="131" t="str" cm="1">
        <f t="array" ref="I821">LEFT(G821, MIN(IF(ISNUMBER(--MID(G821, _xlfn.SEQUENCE(LEN(G821)), 1)), _xlfn.SEQUENCE(LEN(G821)))) - 1)</f>
        <v>NR</v>
      </c>
      <c r="J821" s="134" t="s">
        <v>3987</v>
      </c>
      <c r="K821" s="129"/>
    </row>
    <row r="822" spans="1:11" ht="17.25" x14ac:dyDescent="0.35">
      <c r="A822" s="134" t="s">
        <v>7</v>
      </c>
      <c r="B822" s="134" t="s">
        <v>3974</v>
      </c>
      <c r="C822" s="134" t="s">
        <v>595</v>
      </c>
      <c r="D822" s="129"/>
      <c r="E822" s="134" t="s">
        <v>255</v>
      </c>
      <c r="F822" s="134" t="s">
        <v>55</v>
      </c>
      <c r="G822" s="134" t="s">
        <v>249</v>
      </c>
      <c r="H822" s="131" t="str">
        <f t="shared" si="12"/>
        <v>NR4</v>
      </c>
      <c r="I822" s="131" t="str" cm="1">
        <f t="array" ref="I822">LEFT(G822, MIN(IF(ISNUMBER(--MID(G822, _xlfn.SEQUENCE(LEN(G822)), 1)), _xlfn.SEQUENCE(LEN(G822)))) - 1)</f>
        <v>NR</v>
      </c>
      <c r="J822" s="134" t="s">
        <v>3987</v>
      </c>
      <c r="K822" s="129"/>
    </row>
    <row r="823" spans="1:11" ht="17.25" x14ac:dyDescent="0.35">
      <c r="A823" s="134" t="s">
        <v>7</v>
      </c>
      <c r="B823" s="134" t="s">
        <v>3975</v>
      </c>
      <c r="C823" s="134" t="s">
        <v>3894</v>
      </c>
      <c r="D823" s="129"/>
      <c r="E823" s="134" t="s">
        <v>255</v>
      </c>
      <c r="F823" s="134" t="s">
        <v>55</v>
      </c>
      <c r="G823" s="134" t="s">
        <v>307</v>
      </c>
      <c r="H823" s="131" t="str">
        <f t="shared" si="12"/>
        <v>NR5</v>
      </c>
      <c r="I823" s="131" t="str" cm="1">
        <f t="array" ref="I823">LEFT(G823, MIN(IF(ISNUMBER(--MID(G823, _xlfn.SEQUENCE(LEN(G823)), 1)), _xlfn.SEQUENCE(LEN(G823)))) - 1)</f>
        <v>NR</v>
      </c>
      <c r="J823" s="134" t="s">
        <v>3987</v>
      </c>
      <c r="K823" s="129"/>
    </row>
    <row r="824" spans="1:11" ht="17.25" x14ac:dyDescent="0.35">
      <c r="A824" s="134" t="s">
        <v>7</v>
      </c>
      <c r="B824" s="134" t="s">
        <v>3976</v>
      </c>
      <c r="C824" s="134" t="s">
        <v>3435</v>
      </c>
      <c r="D824" s="129"/>
      <c r="E824" s="134" t="s">
        <v>255</v>
      </c>
      <c r="F824" s="134" t="s">
        <v>55</v>
      </c>
      <c r="G824" s="134" t="s">
        <v>250</v>
      </c>
      <c r="H824" s="131" t="str">
        <f t="shared" si="12"/>
        <v>NR5</v>
      </c>
      <c r="I824" s="131" t="str" cm="1">
        <f t="array" ref="I824">LEFT(G824, MIN(IF(ISNUMBER(--MID(G824, _xlfn.SEQUENCE(LEN(G824)), 1)), _xlfn.SEQUENCE(LEN(G824)))) - 1)</f>
        <v>NR</v>
      </c>
      <c r="J824" s="134" t="s">
        <v>3987</v>
      </c>
      <c r="K824" s="129"/>
    </row>
    <row r="825" spans="1:11" ht="21" x14ac:dyDescent="0.35">
      <c r="A825" s="130" t="s">
        <v>4065</v>
      </c>
      <c r="B825" s="127" t="s">
        <v>383</v>
      </c>
      <c r="C825" s="127" t="s">
        <v>4088</v>
      </c>
      <c r="D825" s="133"/>
      <c r="E825" s="127" t="s">
        <v>255</v>
      </c>
      <c r="F825" s="133"/>
      <c r="G825" s="127" t="s">
        <v>384</v>
      </c>
      <c r="H825" s="131" t="str">
        <f t="shared" si="12"/>
        <v>NR5</v>
      </c>
      <c r="I825" s="131" t="str" cm="1">
        <f t="array" ref="I825">LEFT(G825, MIN(IF(ISNUMBER(--MID(G825, _xlfn.SEQUENCE(LEN(G825)), 1)), _xlfn.SEQUENCE(LEN(G825)))) - 1)</f>
        <v>NR</v>
      </c>
      <c r="J825" s="127" t="s">
        <v>4070</v>
      </c>
      <c r="K825" s="129"/>
    </row>
    <row r="826" spans="1:11" ht="17.25" x14ac:dyDescent="0.35">
      <c r="A826" s="134" t="s">
        <v>7</v>
      </c>
      <c r="B826" s="134" t="s">
        <v>3977</v>
      </c>
      <c r="C826" s="134" t="s">
        <v>3895</v>
      </c>
      <c r="D826" s="129"/>
      <c r="E826" s="134" t="s">
        <v>255</v>
      </c>
      <c r="F826" s="134" t="s">
        <v>55</v>
      </c>
      <c r="G826" s="134" t="s">
        <v>3843</v>
      </c>
      <c r="H826" s="131" t="str">
        <f t="shared" si="12"/>
        <v>NR6</v>
      </c>
      <c r="I826" s="131" t="str" cm="1">
        <f t="array" ref="I826">LEFT(G826, MIN(IF(ISNUMBER(--MID(G826, _xlfn.SEQUENCE(LEN(G826)), 1)), _xlfn.SEQUENCE(LEN(G826)))) - 1)</f>
        <v>NR</v>
      </c>
      <c r="J826" s="134" t="s">
        <v>3987</v>
      </c>
      <c r="K826" s="129"/>
    </row>
    <row r="827" spans="1:11" ht="17.25" x14ac:dyDescent="0.35">
      <c r="A827" s="131" t="s">
        <v>4160</v>
      </c>
      <c r="B827" s="128" t="s">
        <v>4360</v>
      </c>
      <c r="C827" s="129"/>
      <c r="D827" s="129"/>
      <c r="E827" s="129"/>
      <c r="F827" s="129"/>
      <c r="G827" s="128" t="s">
        <v>4654</v>
      </c>
      <c r="H827" s="131" t="str">
        <f t="shared" si="12"/>
        <v>NR6</v>
      </c>
      <c r="I827" s="131" t="str" cm="1">
        <f t="array" ref="I827">LEFT(G827, MIN(IF(ISNUMBER(--MID(G827, _xlfn.SEQUENCE(LEN(G827)), 1)), _xlfn.SEQUENCE(LEN(G827)))) - 1)</f>
        <v>NR</v>
      </c>
      <c r="J827" s="129" t="str">
        <f>_xlfn.XLOOKUP(H827,'GK IFT SDM POSTCODES'!A:A,'GK IFT SDM POSTCODES'!B:B,"")</f>
        <v>Adam Vass</v>
      </c>
      <c r="K827" s="129"/>
    </row>
    <row r="828" spans="1:11" ht="17.25" x14ac:dyDescent="0.35">
      <c r="A828" s="134" t="s">
        <v>7</v>
      </c>
      <c r="B828" s="134" t="s">
        <v>3978</v>
      </c>
      <c r="C828" s="134" t="s">
        <v>3896</v>
      </c>
      <c r="D828" s="129"/>
      <c r="E828" s="134" t="s">
        <v>255</v>
      </c>
      <c r="F828" s="134" t="s">
        <v>55</v>
      </c>
      <c r="G828" s="134" t="s">
        <v>354</v>
      </c>
      <c r="H828" s="131" t="str">
        <f t="shared" si="12"/>
        <v>NR6</v>
      </c>
      <c r="I828" s="131" t="str" cm="1">
        <f t="array" ref="I828">LEFT(G828, MIN(IF(ISNUMBER(--MID(G828, _xlfn.SEQUENCE(LEN(G828)), 1)), _xlfn.SEQUENCE(LEN(G828)))) - 1)</f>
        <v>NR</v>
      </c>
      <c r="J828" s="134" t="s">
        <v>3987</v>
      </c>
      <c r="K828" s="129"/>
    </row>
    <row r="829" spans="1:11" ht="17.25" x14ac:dyDescent="0.35">
      <c r="A829" s="134" t="s">
        <v>7</v>
      </c>
      <c r="B829" s="134" t="s">
        <v>3979</v>
      </c>
      <c r="C829" s="134" t="s">
        <v>3897</v>
      </c>
      <c r="D829" s="129"/>
      <c r="E829" s="134" t="s">
        <v>255</v>
      </c>
      <c r="F829" s="134" t="s">
        <v>55</v>
      </c>
      <c r="G829" s="134" t="s">
        <v>355</v>
      </c>
      <c r="H829" s="131" t="str">
        <f t="shared" si="12"/>
        <v>NR6</v>
      </c>
      <c r="I829" s="131" t="str" cm="1">
        <f t="array" ref="I829">LEFT(G829, MIN(IF(ISNUMBER(--MID(G829, _xlfn.SEQUENCE(LEN(G829)), 1)), _xlfn.SEQUENCE(LEN(G829)))) - 1)</f>
        <v>NR</v>
      </c>
      <c r="J829" s="134" t="s">
        <v>3987</v>
      </c>
      <c r="K829" s="129"/>
    </row>
    <row r="830" spans="1:11" ht="21" x14ac:dyDescent="0.35">
      <c r="A830" s="130" t="s">
        <v>4065</v>
      </c>
      <c r="B830" s="127" t="s">
        <v>102</v>
      </c>
      <c r="C830" s="127" t="s">
        <v>4087</v>
      </c>
      <c r="D830" s="133"/>
      <c r="E830" s="127" t="s">
        <v>255</v>
      </c>
      <c r="F830" s="133"/>
      <c r="G830" s="127" t="s">
        <v>453</v>
      </c>
      <c r="H830" s="131" t="str">
        <f t="shared" si="12"/>
        <v>NR7</v>
      </c>
      <c r="I830" s="131" t="str" cm="1">
        <f t="array" ref="I830">LEFT(G830, MIN(IF(ISNUMBER(--MID(G830, _xlfn.SEQUENCE(LEN(G830)), 1)), _xlfn.SEQUENCE(LEN(G830)))) - 1)</f>
        <v>NR</v>
      </c>
      <c r="J830" s="127" t="s">
        <v>4070</v>
      </c>
      <c r="K830" s="129"/>
    </row>
    <row r="831" spans="1:11" ht="17.25" x14ac:dyDescent="0.35">
      <c r="A831" s="134" t="s">
        <v>7</v>
      </c>
      <c r="B831" s="134" t="s">
        <v>3980</v>
      </c>
      <c r="C831" s="134" t="s">
        <v>3454</v>
      </c>
      <c r="D831" s="129"/>
      <c r="E831" s="134" t="s">
        <v>255</v>
      </c>
      <c r="F831" s="134" t="s">
        <v>55</v>
      </c>
      <c r="G831" s="134" t="s">
        <v>329</v>
      </c>
      <c r="H831" s="131" t="str">
        <f t="shared" si="12"/>
        <v>NR7</v>
      </c>
      <c r="I831" s="131" t="str" cm="1">
        <f t="array" ref="I831">LEFT(G831, MIN(IF(ISNUMBER(--MID(G831, _xlfn.SEQUENCE(LEN(G831)), 1)), _xlfn.SEQUENCE(LEN(G831)))) - 1)</f>
        <v>NR</v>
      </c>
      <c r="J831" s="134" t="s">
        <v>3987</v>
      </c>
      <c r="K831" s="129"/>
    </row>
    <row r="832" spans="1:11" ht="17.25" x14ac:dyDescent="0.35">
      <c r="A832" s="131" t="s">
        <v>4160</v>
      </c>
      <c r="B832" s="128" t="s">
        <v>4359</v>
      </c>
      <c r="C832" s="129"/>
      <c r="D832" s="129"/>
      <c r="E832" s="129"/>
      <c r="F832" s="129"/>
      <c r="G832" s="128" t="s">
        <v>253</v>
      </c>
      <c r="H832" s="131" t="str">
        <f t="shared" si="12"/>
        <v>NR7</v>
      </c>
      <c r="I832" s="131" t="str" cm="1">
        <f t="array" ref="I832">LEFT(G832, MIN(IF(ISNUMBER(--MID(G832, _xlfn.SEQUENCE(LEN(G832)), 1)), _xlfn.SEQUENCE(LEN(G832)))) - 1)</f>
        <v>NR</v>
      </c>
      <c r="J832" s="129" t="str">
        <f>_xlfn.XLOOKUP(H832,'GK IFT SDM POSTCODES'!A:A,'GK IFT SDM POSTCODES'!B:B,"")</f>
        <v>Adam Vass</v>
      </c>
      <c r="K832" s="129"/>
    </row>
    <row r="833" spans="1:11" ht="17.25" x14ac:dyDescent="0.35">
      <c r="A833" s="134" t="s">
        <v>7</v>
      </c>
      <c r="B833" s="134" t="s">
        <v>3981</v>
      </c>
      <c r="C833" s="134" t="s">
        <v>3898</v>
      </c>
      <c r="D833" s="129"/>
      <c r="E833" s="134" t="s">
        <v>255</v>
      </c>
      <c r="F833" s="134" t="s">
        <v>55</v>
      </c>
      <c r="G833" s="134" t="s">
        <v>86</v>
      </c>
      <c r="H833" s="131" t="str">
        <f t="shared" si="12"/>
        <v>NR7</v>
      </c>
      <c r="I833" s="131" t="str" cm="1">
        <f t="array" ref="I833">LEFT(G833, MIN(IF(ISNUMBER(--MID(G833, _xlfn.SEQUENCE(LEN(G833)), 1)), _xlfn.SEQUENCE(LEN(G833)))) - 1)</f>
        <v>NR</v>
      </c>
      <c r="J833" s="134" t="s">
        <v>3987</v>
      </c>
      <c r="K833" s="129"/>
    </row>
    <row r="834" spans="1:11" ht="17.25" x14ac:dyDescent="0.35">
      <c r="A834" s="131" t="s">
        <v>4160</v>
      </c>
      <c r="B834" s="128" t="s">
        <v>4413</v>
      </c>
      <c r="C834" s="129"/>
      <c r="D834" s="129"/>
      <c r="E834" s="129"/>
      <c r="F834" s="129"/>
      <c r="G834" s="128" t="s">
        <v>349</v>
      </c>
      <c r="H834" s="131" t="str">
        <f t="shared" ref="H834:H897" si="13">_xlfn.TEXTBEFORE(G834," ")</f>
        <v>NR7</v>
      </c>
      <c r="I834" s="131" t="str" cm="1">
        <f t="array" ref="I834">LEFT(G834, MIN(IF(ISNUMBER(--MID(G834, _xlfn.SEQUENCE(LEN(G834)), 1)), _xlfn.SEQUENCE(LEN(G834)))) - 1)</f>
        <v>NR</v>
      </c>
      <c r="J834" s="129" t="str">
        <f>_xlfn.XLOOKUP(H834,'GK IFT SDM POSTCODES'!A:A,'GK IFT SDM POSTCODES'!B:B,"")</f>
        <v>Adam Vass</v>
      </c>
      <c r="K834" s="129"/>
    </row>
    <row r="835" spans="1:11" ht="17.25" x14ac:dyDescent="0.35">
      <c r="A835" s="134" t="s">
        <v>7</v>
      </c>
      <c r="B835" s="134" t="s">
        <v>351</v>
      </c>
      <c r="C835" s="134" t="s">
        <v>3899</v>
      </c>
      <c r="D835" s="129"/>
      <c r="E835" s="134" t="s">
        <v>255</v>
      </c>
      <c r="F835" s="134" t="s">
        <v>55</v>
      </c>
      <c r="G835" s="134" t="s">
        <v>352</v>
      </c>
      <c r="H835" s="131" t="str">
        <f t="shared" si="13"/>
        <v>NR8</v>
      </c>
      <c r="I835" s="131" t="str" cm="1">
        <f t="array" ref="I835">LEFT(G835, MIN(IF(ISNUMBER(--MID(G835, _xlfn.SEQUENCE(LEN(G835)), 1)), _xlfn.SEQUENCE(LEN(G835)))) - 1)</f>
        <v>NR</v>
      </c>
      <c r="J835" s="134" t="s">
        <v>3987</v>
      </c>
      <c r="K835" s="129"/>
    </row>
    <row r="836" spans="1:11" ht="17.25" x14ac:dyDescent="0.35">
      <c r="A836" s="131" t="s">
        <v>4160</v>
      </c>
      <c r="B836" s="136" t="s">
        <v>4498</v>
      </c>
      <c r="C836" s="129"/>
      <c r="D836" s="129"/>
      <c r="E836" s="129"/>
      <c r="F836" s="129"/>
      <c r="G836" s="136" t="s">
        <v>4739</v>
      </c>
      <c r="H836" s="131" t="str">
        <f t="shared" si="13"/>
        <v>NR8</v>
      </c>
      <c r="I836" s="131" t="str" cm="1">
        <f t="array" ref="I836">LEFT(G836, MIN(IF(ISNUMBER(--MID(G836, _xlfn.SEQUENCE(LEN(G836)), 1)), _xlfn.SEQUENCE(LEN(G836)))) - 1)</f>
        <v>NR</v>
      </c>
      <c r="J836" s="129" t="str">
        <f>_xlfn.XLOOKUP(H836,'GK IFT SDM POSTCODES'!A:A,'GK IFT SDM POSTCODES'!B:B,"")</f>
        <v>Adam Vass</v>
      </c>
      <c r="K836" s="129"/>
    </row>
    <row r="837" spans="1:11" ht="17.25" x14ac:dyDescent="0.35">
      <c r="A837" s="131" t="s">
        <v>4160</v>
      </c>
      <c r="B837" s="128" t="s">
        <v>4356</v>
      </c>
      <c r="C837" s="129"/>
      <c r="D837" s="129"/>
      <c r="E837" s="129"/>
      <c r="F837" s="129"/>
      <c r="G837" s="128" t="s">
        <v>4651</v>
      </c>
      <c r="H837" s="131" t="str">
        <f t="shared" si="13"/>
        <v>NR8</v>
      </c>
      <c r="I837" s="131" t="str" cm="1">
        <f t="array" ref="I837">LEFT(G837, MIN(IF(ISNUMBER(--MID(G837, _xlfn.SEQUENCE(LEN(G837)), 1)), _xlfn.SEQUENCE(LEN(G837)))) - 1)</f>
        <v>NR</v>
      </c>
      <c r="J837" s="129" t="str">
        <f>_xlfn.XLOOKUP(H837,'GK IFT SDM POSTCODES'!A:A,'GK IFT SDM POSTCODES'!B:B,"")</f>
        <v>Adam Vass</v>
      </c>
      <c r="K837" s="129"/>
    </row>
    <row r="838" spans="1:11" ht="17.25" x14ac:dyDescent="0.35">
      <c r="A838" s="130" t="s">
        <v>3752</v>
      </c>
      <c r="B838" s="131" t="s">
        <v>2822</v>
      </c>
      <c r="C838" s="131" t="s">
        <v>2936</v>
      </c>
      <c r="D838" s="131" t="s">
        <v>3724</v>
      </c>
      <c r="E838" s="131" t="s">
        <v>255</v>
      </c>
      <c r="F838" s="131" t="s">
        <v>55</v>
      </c>
      <c r="G838" s="131" t="s">
        <v>3725</v>
      </c>
      <c r="H838" s="131" t="str">
        <f t="shared" si="13"/>
        <v>NR8</v>
      </c>
      <c r="I838" s="131" t="str" cm="1">
        <f t="array" ref="I838">LEFT(G838, MIN(IF(ISNUMBER(--MID(G838, _xlfn.SEQUENCE(LEN(G838)), 1)), _xlfn.SEQUENCE(LEN(G838)))) - 1)</f>
        <v>NR</v>
      </c>
      <c r="J838" s="131" t="s">
        <v>3706</v>
      </c>
      <c r="K838" s="129"/>
    </row>
    <row r="839" spans="1:11" ht="17.25" x14ac:dyDescent="0.35">
      <c r="A839" s="131" t="s">
        <v>4160</v>
      </c>
      <c r="B839" s="128" t="s">
        <v>3672</v>
      </c>
      <c r="C839" s="129"/>
      <c r="D839" s="129"/>
      <c r="E839" s="129"/>
      <c r="F839" s="129"/>
      <c r="G839" s="128" t="s">
        <v>3673</v>
      </c>
      <c r="H839" s="131" t="str">
        <f t="shared" si="13"/>
        <v>NR9</v>
      </c>
      <c r="I839" s="131" t="str" cm="1">
        <f t="array" ref="I839">LEFT(G839, MIN(IF(ISNUMBER(--MID(G839, _xlfn.SEQUENCE(LEN(G839)), 1)), _xlfn.SEQUENCE(LEN(G839)))) - 1)</f>
        <v>NR</v>
      </c>
      <c r="J839" s="129" t="str">
        <f>_xlfn.XLOOKUP(H839,'GK IFT SDM POSTCODES'!A:A,'GK IFT SDM POSTCODES'!B:B,"")</f>
        <v>Adam Reditt</v>
      </c>
      <c r="K839" s="129"/>
    </row>
    <row r="840" spans="1:11" ht="17.25" x14ac:dyDescent="0.35">
      <c r="A840" s="134" t="s">
        <v>7</v>
      </c>
      <c r="B840" s="134" t="s">
        <v>3982</v>
      </c>
      <c r="C840" s="134" t="s">
        <v>3900</v>
      </c>
      <c r="D840" s="129"/>
      <c r="E840" s="134" t="s">
        <v>255</v>
      </c>
      <c r="F840" s="134" t="s">
        <v>55</v>
      </c>
      <c r="G840" s="134" t="s">
        <v>427</v>
      </c>
      <c r="H840" s="131" t="str">
        <f t="shared" si="13"/>
        <v>NR9</v>
      </c>
      <c r="I840" s="131" t="str" cm="1">
        <f t="array" ref="I840">LEFT(G840, MIN(IF(ISNUMBER(--MID(G840, _xlfn.SEQUENCE(LEN(G840)), 1)), _xlfn.SEQUENCE(LEN(G840)))) - 1)</f>
        <v>NR</v>
      </c>
      <c r="J840" s="134" t="s">
        <v>3801</v>
      </c>
      <c r="K840" s="129"/>
    </row>
    <row r="841" spans="1:11" ht="17.25" x14ac:dyDescent="0.35">
      <c r="A841" s="134" t="s">
        <v>7</v>
      </c>
      <c r="B841" s="134" t="s">
        <v>3983</v>
      </c>
      <c r="C841" s="134" t="s">
        <v>3901</v>
      </c>
      <c r="D841" s="129"/>
      <c r="E841" s="134" t="s">
        <v>255</v>
      </c>
      <c r="F841" s="134" t="s">
        <v>55</v>
      </c>
      <c r="G841" s="134" t="s">
        <v>427</v>
      </c>
      <c r="H841" s="131" t="str">
        <f t="shared" si="13"/>
        <v>NR9</v>
      </c>
      <c r="I841" s="131" t="str" cm="1">
        <f t="array" ref="I841">LEFT(G841, MIN(IF(ISNUMBER(--MID(G841, _xlfn.SEQUENCE(LEN(G841)), 1)), _xlfn.SEQUENCE(LEN(G841)))) - 1)</f>
        <v>NR</v>
      </c>
      <c r="J841" s="134" t="s">
        <v>3801</v>
      </c>
      <c r="K841" s="129"/>
    </row>
    <row r="842" spans="1:11" ht="17.25" x14ac:dyDescent="0.35">
      <c r="A842" s="131" t="s">
        <v>4160</v>
      </c>
      <c r="B842" s="128" t="s">
        <v>4174</v>
      </c>
      <c r="C842" s="129"/>
      <c r="D842" s="129"/>
      <c r="E842" s="129"/>
      <c r="F842" s="129"/>
      <c r="G842" s="128" t="s">
        <v>4530</v>
      </c>
      <c r="H842" s="131" t="str">
        <f t="shared" si="13"/>
        <v>NR9</v>
      </c>
      <c r="I842" s="131" t="str" cm="1">
        <f t="array" ref="I842">LEFT(G842, MIN(IF(ISNUMBER(--MID(G842, _xlfn.SEQUENCE(LEN(G842)), 1)), _xlfn.SEQUENCE(LEN(G842)))) - 1)</f>
        <v>NR</v>
      </c>
      <c r="J842" s="129" t="str">
        <f>_xlfn.XLOOKUP(H842,'GK IFT SDM POSTCODES'!A:A,'GK IFT SDM POSTCODES'!B:B,"")</f>
        <v>Adam Reditt</v>
      </c>
      <c r="K842" s="129"/>
    </row>
    <row r="843" spans="1:11" ht="17.25" x14ac:dyDescent="0.35">
      <c r="A843" s="131" t="s">
        <v>4160</v>
      </c>
      <c r="B843" s="128" t="s">
        <v>4170</v>
      </c>
      <c r="C843" s="129"/>
      <c r="D843" s="129"/>
      <c r="E843" s="129"/>
      <c r="F843" s="129"/>
      <c r="G843" s="128" t="s">
        <v>4526</v>
      </c>
      <c r="H843" s="131" t="str">
        <f t="shared" si="13"/>
        <v>NR9</v>
      </c>
      <c r="I843" s="131" t="str" cm="1">
        <f t="array" ref="I843">LEFT(G843, MIN(IF(ISNUMBER(--MID(G843, _xlfn.SEQUENCE(LEN(G843)), 1)), _xlfn.SEQUENCE(LEN(G843)))) - 1)</f>
        <v>NR</v>
      </c>
      <c r="J843" s="129" t="str">
        <f>_xlfn.XLOOKUP(H843,'GK IFT SDM POSTCODES'!A:A,'GK IFT SDM POSTCODES'!B:B,"")</f>
        <v>Adam Reditt</v>
      </c>
      <c r="K843" s="129"/>
    </row>
    <row r="844" spans="1:11" ht="17.25" x14ac:dyDescent="0.35">
      <c r="A844" s="131" t="s">
        <v>4160</v>
      </c>
      <c r="B844" s="128" t="s">
        <v>4245</v>
      </c>
      <c r="C844" s="129"/>
      <c r="D844" s="129"/>
      <c r="E844" s="129"/>
      <c r="F844" s="129"/>
      <c r="G844" s="128" t="s">
        <v>4574</v>
      </c>
      <c r="H844" s="131" t="str">
        <f t="shared" si="13"/>
        <v>NR9</v>
      </c>
      <c r="I844" s="131" t="str" cm="1">
        <f t="array" ref="I844">LEFT(G844, MIN(IF(ISNUMBER(--MID(G844, _xlfn.SEQUENCE(LEN(G844)), 1)), _xlfn.SEQUENCE(LEN(G844)))) - 1)</f>
        <v>NR</v>
      </c>
      <c r="J844" s="129" t="str">
        <f>_xlfn.XLOOKUP(H844,'GK IFT SDM POSTCODES'!A:A,'GK IFT SDM POSTCODES'!B:B,"")</f>
        <v>Adam Reditt</v>
      </c>
      <c r="K844" s="129"/>
    </row>
    <row r="845" spans="1:11" ht="17.25" x14ac:dyDescent="0.35">
      <c r="A845" s="131" t="s">
        <v>4160</v>
      </c>
      <c r="B845" s="128" t="s">
        <v>4365</v>
      </c>
      <c r="C845" s="129"/>
      <c r="D845" s="129"/>
      <c r="E845" s="129"/>
      <c r="F845" s="129"/>
      <c r="G845" s="128" t="s">
        <v>4659</v>
      </c>
      <c r="H845" s="131" t="str">
        <f t="shared" si="13"/>
        <v>NR9</v>
      </c>
      <c r="I845" s="131" t="str" cm="1">
        <f t="array" ref="I845">LEFT(G845, MIN(IF(ISNUMBER(--MID(G845, _xlfn.SEQUENCE(LEN(G845)), 1)), _xlfn.SEQUENCE(LEN(G845)))) - 1)</f>
        <v>NR</v>
      </c>
      <c r="J845" s="129" t="str">
        <f>_xlfn.XLOOKUP(H845,'GK IFT SDM POSTCODES'!A:A,'GK IFT SDM POSTCODES'!B:B,"")</f>
        <v>Adam Reditt</v>
      </c>
      <c r="K845" s="129"/>
    </row>
    <row r="846" spans="1:11" ht="21" x14ac:dyDescent="0.35">
      <c r="A846" s="135" t="s">
        <v>4065</v>
      </c>
      <c r="B846" s="126" t="s">
        <v>123</v>
      </c>
      <c r="C846" s="126" t="s">
        <v>3217</v>
      </c>
      <c r="D846" s="129"/>
      <c r="E846" s="126" t="s">
        <v>1713</v>
      </c>
      <c r="F846" s="129"/>
      <c r="G846" s="126" t="s">
        <v>4066</v>
      </c>
      <c r="H846" s="131" t="str">
        <f t="shared" si="13"/>
        <v>PE28</v>
      </c>
      <c r="I846" s="132" t="str" cm="1">
        <f t="array" ref="I846">LEFT(G846, MIN(IF(ISNUMBER(--MID(G846, _xlfn.SEQUENCE(LEN(G846)), 1)), _xlfn.SEQUENCE(LEN(G846)))) - 1)</f>
        <v>PE</v>
      </c>
      <c r="J846" s="126" t="s">
        <v>4069</v>
      </c>
      <c r="K846" s="129"/>
    </row>
    <row r="847" spans="1:11" ht="17.25" x14ac:dyDescent="0.35">
      <c r="A847" s="130" t="s">
        <v>3752</v>
      </c>
      <c r="B847" s="131" t="s">
        <v>3697</v>
      </c>
      <c r="C847" s="131" t="s">
        <v>3698</v>
      </c>
      <c r="D847" s="131" t="s">
        <v>3699</v>
      </c>
      <c r="E847" s="131" t="s">
        <v>1165</v>
      </c>
      <c r="F847" s="131" t="s">
        <v>3700</v>
      </c>
      <c r="G847" s="131" t="s">
        <v>3701</v>
      </c>
      <c r="H847" s="131" t="str">
        <f t="shared" si="13"/>
        <v>PE3</v>
      </c>
      <c r="I847" s="132" t="str" cm="1">
        <f t="array" ref="I847">LEFT(G847, MIN(IF(ISNUMBER(--MID(G847, _xlfn.SEQUENCE(LEN(G847)), 1)), _xlfn.SEQUENCE(LEN(G847)))) - 1)</f>
        <v>PE</v>
      </c>
      <c r="J847" s="131" t="s">
        <v>3702</v>
      </c>
      <c r="K847" s="129"/>
    </row>
    <row r="848" spans="1:11" ht="17.25" x14ac:dyDescent="0.35">
      <c r="A848" s="134" t="s">
        <v>3902</v>
      </c>
      <c r="B848" s="134" t="s">
        <v>3789</v>
      </c>
      <c r="C848" s="134" t="s">
        <v>3802</v>
      </c>
      <c r="D848" s="129"/>
      <c r="E848" s="134" t="s">
        <v>1690</v>
      </c>
      <c r="F848" s="134" t="s">
        <v>55</v>
      </c>
      <c r="G848" s="134" t="s">
        <v>3813</v>
      </c>
      <c r="H848" s="131" t="str">
        <f t="shared" si="13"/>
        <v>PE30</v>
      </c>
      <c r="I848" s="132" t="str" cm="1">
        <f t="array" ref="I848">LEFT(G848, MIN(IF(ISNUMBER(--MID(G848, _xlfn.SEQUENCE(LEN(G848)), 1)), _xlfn.SEQUENCE(LEN(G848)))) - 1)</f>
        <v>PE</v>
      </c>
      <c r="J848" s="134" t="s">
        <v>3800</v>
      </c>
      <c r="K848" s="129"/>
    </row>
    <row r="849" spans="1:11" ht="17.25" x14ac:dyDescent="0.35">
      <c r="A849" s="131" t="s">
        <v>4160</v>
      </c>
      <c r="B849" s="136" t="s">
        <v>5020</v>
      </c>
      <c r="C849" s="129"/>
      <c r="D849" s="129"/>
      <c r="E849" s="129"/>
      <c r="F849" s="129"/>
      <c r="G849" s="136" t="s">
        <v>5078</v>
      </c>
      <c r="H849" s="131" t="str">
        <f t="shared" si="13"/>
        <v>PE30</v>
      </c>
      <c r="I849" s="132" t="str" cm="1">
        <f t="array" ref="I849">LEFT(G849, MIN(IF(ISNUMBER(--MID(G849, _xlfn.SEQUENCE(LEN(G849)), 1)), _xlfn.SEQUENCE(LEN(G849)))) - 1)</f>
        <v>PE</v>
      </c>
      <c r="J849" s="142" t="str">
        <f>_xlfn.XLOOKUP(H849,'GK IFT SDM POSTCODES'!A:A,'GK IFT SDM POSTCODES'!B:B,"")</f>
        <v>Neil Tweddle</v>
      </c>
      <c r="K849" s="129"/>
    </row>
    <row r="850" spans="1:11" ht="17.25" x14ac:dyDescent="0.35">
      <c r="A850" s="134" t="s">
        <v>3902</v>
      </c>
      <c r="B850" s="134" t="s">
        <v>3790</v>
      </c>
      <c r="C850" s="134" t="s">
        <v>3803</v>
      </c>
      <c r="D850" s="129"/>
      <c r="E850" s="134" t="s">
        <v>2003</v>
      </c>
      <c r="F850" s="134" t="s">
        <v>55</v>
      </c>
      <c r="G850" s="134" t="s">
        <v>3814</v>
      </c>
      <c r="H850" s="131" t="str">
        <f t="shared" si="13"/>
        <v>PE30</v>
      </c>
      <c r="I850" s="132" t="str" cm="1">
        <f t="array" ref="I850">LEFT(G850, MIN(IF(ISNUMBER(--MID(G850, _xlfn.SEQUENCE(LEN(G850)), 1)), _xlfn.SEQUENCE(LEN(G850)))) - 1)</f>
        <v>PE</v>
      </c>
      <c r="J850" s="134" t="s">
        <v>3800</v>
      </c>
      <c r="K850" s="129"/>
    </row>
    <row r="851" spans="1:11" ht="17.25" x14ac:dyDescent="0.35">
      <c r="A851" s="131" t="s">
        <v>4160</v>
      </c>
      <c r="B851" s="128" t="s">
        <v>5021</v>
      </c>
      <c r="C851" s="129"/>
      <c r="D851" s="129"/>
      <c r="E851" s="129"/>
      <c r="F851" s="129"/>
      <c r="G851" s="128" t="s">
        <v>5079</v>
      </c>
      <c r="H851" s="131" t="str">
        <f t="shared" si="13"/>
        <v>PE30</v>
      </c>
      <c r="I851" s="132" t="str" cm="1">
        <f t="array" ref="I851">LEFT(G851, MIN(IF(ISNUMBER(--MID(G851, _xlfn.SEQUENCE(LEN(G851)), 1)), _xlfn.SEQUENCE(LEN(G851)))) - 1)</f>
        <v>PE</v>
      </c>
      <c r="J851" s="142" t="str">
        <f>_xlfn.XLOOKUP(H851,'GK IFT SDM POSTCODES'!A:A,'GK IFT SDM POSTCODES'!B:B,"")</f>
        <v>Neil Tweddle</v>
      </c>
      <c r="K851" s="129"/>
    </row>
    <row r="852" spans="1:11" ht="17.25" x14ac:dyDescent="0.35">
      <c r="A852" s="130" t="s">
        <v>3752</v>
      </c>
      <c r="B852" s="131" t="s">
        <v>3703</v>
      </c>
      <c r="C852" s="131" t="s">
        <v>1689</v>
      </c>
      <c r="D852" s="131" t="s">
        <v>3704</v>
      </c>
      <c r="E852" s="131" t="s">
        <v>3550</v>
      </c>
      <c r="F852" s="131" t="s">
        <v>55</v>
      </c>
      <c r="G852" s="131" t="s">
        <v>3705</v>
      </c>
      <c r="H852" s="131" t="str">
        <f t="shared" si="13"/>
        <v>PE30</v>
      </c>
      <c r="I852" s="132" t="str" cm="1">
        <f t="array" ref="I852">LEFT(G852, MIN(IF(ISNUMBER(--MID(G852, _xlfn.SEQUENCE(LEN(G852)), 1)), _xlfn.SEQUENCE(LEN(G852)))) - 1)</f>
        <v>PE</v>
      </c>
      <c r="J852" s="131" t="s">
        <v>3706</v>
      </c>
      <c r="K852" s="129"/>
    </row>
    <row r="853" spans="1:11" ht="17.25" x14ac:dyDescent="0.35">
      <c r="A853" s="131" t="s">
        <v>4160</v>
      </c>
      <c r="B853" s="128" t="s">
        <v>5022</v>
      </c>
      <c r="C853" s="129"/>
      <c r="D853" s="129"/>
      <c r="E853" s="129"/>
      <c r="F853" s="129"/>
      <c r="G853" s="128" t="s">
        <v>5080</v>
      </c>
      <c r="H853" s="131" t="str">
        <f t="shared" si="13"/>
        <v>PE30</v>
      </c>
      <c r="I853" s="132" t="str" cm="1">
        <f t="array" ref="I853">LEFT(G853, MIN(IF(ISNUMBER(--MID(G853, _xlfn.SEQUENCE(LEN(G853)), 1)), _xlfn.SEQUENCE(LEN(G853)))) - 1)</f>
        <v>PE</v>
      </c>
      <c r="J853" s="142" t="str">
        <f>_xlfn.XLOOKUP(H853,'GK IFT SDM POSTCODES'!A:A,'GK IFT SDM POSTCODES'!B:B,"")</f>
        <v>Neil Tweddle</v>
      </c>
      <c r="K853" s="129"/>
    </row>
    <row r="854" spans="1:11" ht="17.25" x14ac:dyDescent="0.35">
      <c r="A854" s="131" t="s">
        <v>7</v>
      </c>
      <c r="B854" s="134" t="s">
        <v>3791</v>
      </c>
      <c r="C854" s="134" t="s">
        <v>3804</v>
      </c>
      <c r="D854" s="129"/>
      <c r="E854" s="134" t="s">
        <v>2003</v>
      </c>
      <c r="F854" s="134" t="s">
        <v>55</v>
      </c>
      <c r="G854" s="134" t="s">
        <v>3815</v>
      </c>
      <c r="H854" s="131" t="str">
        <f t="shared" si="13"/>
        <v>PE30</v>
      </c>
      <c r="I854" s="132" t="str" cm="1">
        <f t="array" ref="I854">LEFT(G854, MIN(IF(ISNUMBER(--MID(G854, _xlfn.SEQUENCE(LEN(G854)), 1)), _xlfn.SEQUENCE(LEN(G854)))) - 1)</f>
        <v>PE</v>
      </c>
      <c r="J854" s="134" t="s">
        <v>3801</v>
      </c>
      <c r="K854" s="129"/>
    </row>
    <row r="855" spans="1:11" ht="17.25" x14ac:dyDescent="0.35">
      <c r="A855" s="131" t="s">
        <v>4160</v>
      </c>
      <c r="B855" s="128" t="s">
        <v>5023</v>
      </c>
      <c r="C855" s="129"/>
      <c r="D855" s="129"/>
      <c r="E855" s="129"/>
      <c r="F855" s="129"/>
      <c r="G855" s="128" t="s">
        <v>5081</v>
      </c>
      <c r="H855" s="131" t="str">
        <f t="shared" si="13"/>
        <v>PE30</v>
      </c>
      <c r="I855" s="132" t="str" cm="1">
        <f t="array" ref="I855">LEFT(G855, MIN(IF(ISNUMBER(--MID(G855, _xlfn.SEQUENCE(LEN(G855)), 1)), _xlfn.SEQUENCE(LEN(G855)))) - 1)</f>
        <v>PE</v>
      </c>
      <c r="J855" s="142" t="str">
        <f>_xlfn.XLOOKUP(H855,'GK IFT SDM POSTCODES'!A:A,'GK IFT SDM POSTCODES'!B:B,"")</f>
        <v>Neil Tweddle</v>
      </c>
      <c r="K855" s="129"/>
    </row>
    <row r="856" spans="1:11" ht="17.25" x14ac:dyDescent="0.35">
      <c r="A856" s="131" t="s">
        <v>4160</v>
      </c>
      <c r="B856" s="136" t="s">
        <v>5024</v>
      </c>
      <c r="C856" s="129"/>
      <c r="D856" s="129"/>
      <c r="E856" s="129"/>
      <c r="F856" s="129"/>
      <c r="G856" s="136" t="s">
        <v>5082</v>
      </c>
      <c r="H856" s="131" t="str">
        <f t="shared" si="13"/>
        <v>PE30</v>
      </c>
      <c r="I856" s="132" t="str" cm="1">
        <f t="array" ref="I856">LEFT(G856, MIN(IF(ISNUMBER(--MID(G856, _xlfn.SEQUENCE(LEN(G856)), 1)), _xlfn.SEQUENCE(LEN(G856)))) - 1)</f>
        <v>PE</v>
      </c>
      <c r="J856" s="142" t="str">
        <f>_xlfn.XLOOKUP(H856,'GK IFT SDM POSTCODES'!A:A,'GK IFT SDM POSTCODES'!B:B,"")</f>
        <v>Neil Tweddle</v>
      </c>
      <c r="K856" s="129"/>
    </row>
    <row r="857" spans="1:11" ht="17.25" x14ac:dyDescent="0.35">
      <c r="A857" s="131" t="s">
        <v>7</v>
      </c>
      <c r="B857" s="134" t="s">
        <v>3792</v>
      </c>
      <c r="C857" s="134" t="s">
        <v>3805</v>
      </c>
      <c r="D857" s="129"/>
      <c r="E857" s="134" t="s">
        <v>2003</v>
      </c>
      <c r="F857" s="134" t="s">
        <v>55</v>
      </c>
      <c r="G857" s="134" t="s">
        <v>3816</v>
      </c>
      <c r="H857" s="131" t="str">
        <f t="shared" si="13"/>
        <v>PE30</v>
      </c>
      <c r="I857" s="132" t="str" cm="1">
        <f t="array" ref="I857">LEFT(G857, MIN(IF(ISNUMBER(--MID(G857, _xlfn.SEQUENCE(LEN(G857)), 1)), _xlfn.SEQUENCE(LEN(G857)))) - 1)</f>
        <v>PE</v>
      </c>
      <c r="J857" s="141" t="s">
        <v>3800</v>
      </c>
      <c r="K857" s="129"/>
    </row>
    <row r="858" spans="1:11" ht="17.25" x14ac:dyDescent="0.35">
      <c r="A858" s="131" t="s">
        <v>4160</v>
      </c>
      <c r="B858" s="128" t="s">
        <v>5025</v>
      </c>
      <c r="C858" s="129"/>
      <c r="D858" s="129"/>
      <c r="E858" s="129"/>
      <c r="F858" s="129"/>
      <c r="G858" s="128" t="s">
        <v>5083</v>
      </c>
      <c r="H858" s="131" t="str">
        <f t="shared" si="13"/>
        <v>PE30</v>
      </c>
      <c r="I858" s="132" t="str" cm="1">
        <f t="array" ref="I858">LEFT(G858, MIN(IF(ISNUMBER(--MID(G858, _xlfn.SEQUENCE(LEN(G858)), 1)), _xlfn.SEQUENCE(LEN(G858)))) - 1)</f>
        <v>PE</v>
      </c>
      <c r="J858" s="142" t="str">
        <f>_xlfn.XLOOKUP(H858,'GK IFT SDM POSTCODES'!A:A,'GK IFT SDM POSTCODES'!B:B,"")</f>
        <v>Neil Tweddle</v>
      </c>
      <c r="K858" s="129"/>
    </row>
    <row r="859" spans="1:11" ht="17.25" x14ac:dyDescent="0.35">
      <c r="A859" s="131" t="s">
        <v>4160</v>
      </c>
      <c r="B859" s="128" t="s">
        <v>5026</v>
      </c>
      <c r="C859" s="129"/>
      <c r="D859" s="129"/>
      <c r="E859" s="129"/>
      <c r="F859" s="129"/>
      <c r="G859" s="128" t="s">
        <v>5084</v>
      </c>
      <c r="H859" s="131" t="str">
        <f t="shared" si="13"/>
        <v>PE30</v>
      </c>
      <c r="I859" s="132" t="str" cm="1">
        <f t="array" ref="I859">LEFT(G859, MIN(IF(ISNUMBER(--MID(G859, _xlfn.SEQUENCE(LEN(G859)), 1)), _xlfn.SEQUENCE(LEN(G859)))) - 1)</f>
        <v>PE</v>
      </c>
      <c r="J859" s="142" t="str">
        <f>_xlfn.XLOOKUP(H859,'GK IFT SDM POSTCODES'!A:A,'GK IFT SDM POSTCODES'!B:B,"")</f>
        <v>Neil Tweddle</v>
      </c>
      <c r="K859" s="129"/>
    </row>
    <row r="860" spans="1:11" ht="17.25" x14ac:dyDescent="0.35">
      <c r="A860" s="131" t="s">
        <v>7</v>
      </c>
      <c r="B860" s="134" t="s">
        <v>3793</v>
      </c>
      <c r="C860" s="134" t="s">
        <v>3806</v>
      </c>
      <c r="D860" s="129"/>
      <c r="E860" s="134" t="s">
        <v>2003</v>
      </c>
      <c r="F860" s="134" t="s">
        <v>55</v>
      </c>
      <c r="G860" s="134" t="s">
        <v>3817</v>
      </c>
      <c r="H860" s="131" t="str">
        <f t="shared" si="13"/>
        <v>PE31</v>
      </c>
      <c r="I860" s="132" t="str" cm="1">
        <f t="array" ref="I860">LEFT(G860, MIN(IF(ISNUMBER(--MID(G860, _xlfn.SEQUENCE(LEN(G860)), 1)), _xlfn.SEQUENCE(LEN(G860)))) - 1)</f>
        <v>PE</v>
      </c>
      <c r="J860" s="134" t="s">
        <v>3801</v>
      </c>
      <c r="K860" s="129"/>
    </row>
    <row r="861" spans="1:11" ht="17.25" x14ac:dyDescent="0.35">
      <c r="A861" s="131" t="s">
        <v>4160</v>
      </c>
      <c r="B861" s="128" t="s">
        <v>5027</v>
      </c>
      <c r="C861" s="129"/>
      <c r="D861" s="129"/>
      <c r="E861" s="129"/>
      <c r="F861" s="129"/>
      <c r="G861" s="128" t="s">
        <v>5085</v>
      </c>
      <c r="H861" s="131" t="str">
        <f t="shared" si="13"/>
        <v>PE31</v>
      </c>
      <c r="I861" s="132" t="str" cm="1">
        <f t="array" ref="I861">LEFT(G861, MIN(IF(ISNUMBER(--MID(G861, _xlfn.SEQUENCE(LEN(G861)), 1)), _xlfn.SEQUENCE(LEN(G861)))) - 1)</f>
        <v>PE</v>
      </c>
      <c r="J861" s="129" t="str">
        <f>_xlfn.XLOOKUP(H861,'GK IFT SDM POSTCODES'!A:A,'GK IFT SDM POSTCODES'!B:B,"")</f>
        <v>Andrew Galpin</v>
      </c>
      <c r="K861" s="129"/>
    </row>
    <row r="862" spans="1:11" ht="17.25" x14ac:dyDescent="0.35">
      <c r="A862" s="131" t="s">
        <v>4160</v>
      </c>
      <c r="B862" s="128" t="s">
        <v>5028</v>
      </c>
      <c r="C862" s="129"/>
      <c r="D862" s="129"/>
      <c r="E862" s="129"/>
      <c r="F862" s="129"/>
      <c r="G862" s="128" t="s">
        <v>5086</v>
      </c>
      <c r="H862" s="131" t="str">
        <f t="shared" si="13"/>
        <v>PE31</v>
      </c>
      <c r="I862" s="132" t="str" cm="1">
        <f t="array" ref="I862">LEFT(G862, MIN(IF(ISNUMBER(--MID(G862, _xlfn.SEQUENCE(LEN(G862)), 1)), _xlfn.SEQUENCE(LEN(G862)))) - 1)</f>
        <v>PE</v>
      </c>
      <c r="J862" s="129" t="str">
        <f>_xlfn.XLOOKUP(H862,'GK IFT SDM POSTCODES'!A:A,'GK IFT SDM POSTCODES'!B:B,"")</f>
        <v>Andrew Galpin</v>
      </c>
      <c r="K862" s="129"/>
    </row>
    <row r="863" spans="1:11" ht="17.25" x14ac:dyDescent="0.35">
      <c r="A863" s="131" t="s">
        <v>4160</v>
      </c>
      <c r="B863" s="128" t="s">
        <v>5029</v>
      </c>
      <c r="C863" s="129"/>
      <c r="D863" s="129"/>
      <c r="E863" s="129"/>
      <c r="F863" s="129"/>
      <c r="G863" s="128" t="s">
        <v>5087</v>
      </c>
      <c r="H863" s="131" t="str">
        <f t="shared" si="13"/>
        <v>PE31</v>
      </c>
      <c r="I863" s="132" t="str" cm="1">
        <f t="array" ref="I863">LEFT(G863, MIN(IF(ISNUMBER(--MID(G863, _xlfn.SEQUENCE(LEN(G863)), 1)), _xlfn.SEQUENCE(LEN(G863)))) - 1)</f>
        <v>PE</v>
      </c>
      <c r="J863" s="129" t="str">
        <f>_xlfn.XLOOKUP(H863,'GK IFT SDM POSTCODES'!A:A,'GK IFT SDM POSTCODES'!B:B,"")</f>
        <v>Andrew Galpin</v>
      </c>
    </row>
    <row r="864" spans="1:11" ht="21" x14ac:dyDescent="0.35">
      <c r="A864" s="135" t="s">
        <v>4065</v>
      </c>
      <c r="B864" s="126" t="s">
        <v>2001</v>
      </c>
      <c r="C864" s="126" t="s">
        <v>2002</v>
      </c>
      <c r="D864" s="129"/>
      <c r="E864" s="126" t="s">
        <v>1690</v>
      </c>
      <c r="F864" s="129"/>
      <c r="G864" s="126" t="s">
        <v>4067</v>
      </c>
      <c r="H864" s="131" t="str">
        <f t="shared" si="13"/>
        <v>PE31</v>
      </c>
      <c r="I864" s="132" t="str" cm="1">
        <f t="array" ref="I864">LEFT(G864, MIN(IF(ISNUMBER(--MID(G864, _xlfn.SEQUENCE(LEN(G864)), 1)), _xlfn.SEQUENCE(LEN(G864)))) - 1)</f>
        <v>PE</v>
      </c>
      <c r="J864" s="126" t="s">
        <v>4070</v>
      </c>
    </row>
    <row r="865" spans="1:11" ht="17.25" x14ac:dyDescent="0.35">
      <c r="A865" s="131" t="s">
        <v>7</v>
      </c>
      <c r="B865" s="134" t="s">
        <v>3794</v>
      </c>
      <c r="C865" s="134" t="s">
        <v>3807</v>
      </c>
      <c r="D865" s="129"/>
      <c r="E865" s="134" t="s">
        <v>2003</v>
      </c>
      <c r="F865" s="134" t="s">
        <v>55</v>
      </c>
      <c r="G865" s="134" t="s">
        <v>3818</v>
      </c>
      <c r="H865" s="131" t="str">
        <f t="shared" si="13"/>
        <v>PE31</v>
      </c>
      <c r="I865" s="132" t="str" cm="1">
        <f t="array" ref="I865">LEFT(G865, MIN(IF(ISNUMBER(--MID(G865, _xlfn.SEQUENCE(LEN(G865)), 1)), _xlfn.SEQUENCE(LEN(G865)))) - 1)</f>
        <v>PE</v>
      </c>
      <c r="J865" s="134" t="s">
        <v>3801</v>
      </c>
    </row>
    <row r="866" spans="1:11" ht="17.25" x14ac:dyDescent="0.35">
      <c r="A866" s="131" t="s">
        <v>4160</v>
      </c>
      <c r="B866" s="128" t="s">
        <v>5030</v>
      </c>
      <c r="C866" s="129"/>
      <c r="D866" s="129"/>
      <c r="E866" s="129"/>
      <c r="F866" s="129"/>
      <c r="G866" s="128" t="s">
        <v>5088</v>
      </c>
      <c r="H866" s="131" t="str">
        <f t="shared" si="13"/>
        <v>PE31</v>
      </c>
      <c r="I866" s="132" t="str" cm="1">
        <f t="array" ref="I866">LEFT(G866, MIN(IF(ISNUMBER(--MID(G866, _xlfn.SEQUENCE(LEN(G866)), 1)), _xlfn.SEQUENCE(LEN(G866)))) - 1)</f>
        <v>PE</v>
      </c>
      <c r="J866" s="129" t="str">
        <f>_xlfn.XLOOKUP(H866,'GK IFT SDM POSTCODES'!A:A,'GK IFT SDM POSTCODES'!B:B,"")</f>
        <v>Andrew Galpin</v>
      </c>
    </row>
    <row r="867" spans="1:11" ht="17.25" x14ac:dyDescent="0.35">
      <c r="A867" s="131" t="s">
        <v>4160</v>
      </c>
      <c r="B867" s="128" t="s">
        <v>5031</v>
      </c>
      <c r="C867" s="129"/>
      <c r="D867" s="129"/>
      <c r="E867" s="129"/>
      <c r="F867" s="129"/>
      <c r="G867" s="128" t="s">
        <v>5089</v>
      </c>
      <c r="H867" s="131" t="str">
        <f t="shared" si="13"/>
        <v>PE31</v>
      </c>
      <c r="I867" s="132" t="str" cm="1">
        <f t="array" ref="I867">LEFT(G867, MIN(IF(ISNUMBER(--MID(G867, _xlfn.SEQUENCE(LEN(G867)), 1)), _xlfn.SEQUENCE(LEN(G867)))) - 1)</f>
        <v>PE</v>
      </c>
      <c r="J867" s="129" t="str">
        <f>_xlfn.XLOOKUP(H867,'GK IFT SDM POSTCODES'!A:A,'GK IFT SDM POSTCODES'!B:B,"")</f>
        <v>Andrew Galpin</v>
      </c>
    </row>
    <row r="868" spans="1:11" ht="17.25" x14ac:dyDescent="0.35">
      <c r="A868" s="131" t="s">
        <v>4160</v>
      </c>
      <c r="B868" s="128" t="s">
        <v>5032</v>
      </c>
      <c r="C868" s="129"/>
      <c r="D868" s="129"/>
      <c r="E868" s="129"/>
      <c r="F868" s="129"/>
      <c r="G868" s="128" t="s">
        <v>5089</v>
      </c>
      <c r="H868" s="131" t="str">
        <f t="shared" si="13"/>
        <v>PE31</v>
      </c>
      <c r="I868" s="132" t="str" cm="1">
        <f t="array" ref="I868">LEFT(G868, MIN(IF(ISNUMBER(--MID(G868, _xlfn.SEQUENCE(LEN(G868)), 1)), _xlfn.SEQUENCE(LEN(G868)))) - 1)</f>
        <v>PE</v>
      </c>
      <c r="J868" s="129" t="str">
        <f>_xlfn.XLOOKUP(H868,'GK IFT SDM POSTCODES'!A:A,'GK IFT SDM POSTCODES'!B:B,"")</f>
        <v>Andrew Galpin</v>
      </c>
    </row>
    <row r="869" spans="1:11" ht="17.25" x14ac:dyDescent="0.35">
      <c r="A869" s="131" t="s">
        <v>7</v>
      </c>
      <c r="B869" s="134" t="s">
        <v>3795</v>
      </c>
      <c r="C869" s="134" t="s">
        <v>3808</v>
      </c>
      <c r="D869" s="129"/>
      <c r="E869" s="134" t="s">
        <v>2003</v>
      </c>
      <c r="F869" s="134" t="s">
        <v>55</v>
      </c>
      <c r="G869" s="134" t="s">
        <v>3819</v>
      </c>
      <c r="H869" s="131" t="str">
        <f t="shared" si="13"/>
        <v>PE31</v>
      </c>
      <c r="I869" s="132" t="str" cm="1">
        <f t="array" ref="I869">LEFT(G869, MIN(IF(ISNUMBER(--MID(G869, _xlfn.SEQUENCE(LEN(G869)), 1)), _xlfn.SEQUENCE(LEN(G869)))) - 1)</f>
        <v>PE</v>
      </c>
      <c r="J869" s="134" t="s">
        <v>3801</v>
      </c>
    </row>
    <row r="870" spans="1:11" ht="17.25" x14ac:dyDescent="0.35">
      <c r="A870" s="131" t="s">
        <v>4160</v>
      </c>
      <c r="B870" s="128" t="s">
        <v>5033</v>
      </c>
      <c r="C870" s="129"/>
      <c r="D870" s="129"/>
      <c r="E870" s="129"/>
      <c r="F870" s="129"/>
      <c r="G870" s="128" t="s">
        <v>5090</v>
      </c>
      <c r="H870" s="131" t="str">
        <f t="shared" si="13"/>
        <v>PE31</v>
      </c>
      <c r="I870" s="132" t="str" cm="1">
        <f t="array" ref="I870">LEFT(G870, MIN(IF(ISNUMBER(--MID(G870, _xlfn.SEQUENCE(LEN(G870)), 1)), _xlfn.SEQUENCE(LEN(G870)))) - 1)</f>
        <v>PE</v>
      </c>
      <c r="J870" s="129" t="str">
        <f>_xlfn.XLOOKUP(H870,'GK IFT SDM POSTCODES'!A:A,'GK IFT SDM POSTCODES'!B:B,"")</f>
        <v>Andrew Galpin</v>
      </c>
    </row>
    <row r="871" spans="1:11" ht="17.25" x14ac:dyDescent="0.35">
      <c r="A871" s="131" t="s">
        <v>4160</v>
      </c>
      <c r="B871" s="136" t="s">
        <v>5034</v>
      </c>
      <c r="C871" s="129"/>
      <c r="D871" s="129"/>
      <c r="E871" s="129"/>
      <c r="F871" s="129"/>
      <c r="G871" s="136" t="s">
        <v>5091</v>
      </c>
      <c r="H871" s="131" t="str">
        <f t="shared" si="13"/>
        <v>PE31</v>
      </c>
      <c r="I871" s="132" t="str" cm="1">
        <f t="array" ref="I871">LEFT(G871, MIN(IF(ISNUMBER(--MID(G871, _xlfn.SEQUENCE(LEN(G871)), 1)), _xlfn.SEQUENCE(LEN(G871)))) - 1)</f>
        <v>PE</v>
      </c>
      <c r="J871" s="129" t="str">
        <f>_xlfn.XLOOKUP(H871,'GK IFT SDM POSTCODES'!A:A,'GK IFT SDM POSTCODES'!B:B,"")</f>
        <v>Andrew Galpin</v>
      </c>
      <c r="K871" s="129"/>
    </row>
    <row r="872" spans="1:11" ht="17.25" x14ac:dyDescent="0.35">
      <c r="A872" s="131" t="s">
        <v>4160</v>
      </c>
      <c r="B872" s="128" t="s">
        <v>5035</v>
      </c>
      <c r="C872" s="129"/>
      <c r="D872" s="129"/>
      <c r="E872" s="129"/>
      <c r="F872" s="129"/>
      <c r="G872" s="128" t="s">
        <v>5092</v>
      </c>
      <c r="H872" s="131" t="str">
        <f t="shared" si="13"/>
        <v>PE31</v>
      </c>
      <c r="I872" s="132" t="str" cm="1">
        <f t="array" ref="I872">LEFT(G872, MIN(IF(ISNUMBER(--MID(G872, _xlfn.SEQUENCE(LEN(G872)), 1)), _xlfn.SEQUENCE(LEN(G872)))) - 1)</f>
        <v>PE</v>
      </c>
      <c r="J872" s="129" t="str">
        <f>_xlfn.XLOOKUP(H872,'GK IFT SDM POSTCODES'!A:A,'GK IFT SDM POSTCODES'!B:B,"")</f>
        <v>Andrew Galpin</v>
      </c>
      <c r="K872" s="129"/>
    </row>
    <row r="873" spans="1:11" ht="17.25" x14ac:dyDescent="0.35">
      <c r="A873" s="131" t="s">
        <v>4160</v>
      </c>
      <c r="B873" s="128" t="s">
        <v>5036</v>
      </c>
      <c r="C873" s="129"/>
      <c r="D873" s="129"/>
      <c r="E873" s="129"/>
      <c r="F873" s="129"/>
      <c r="G873" s="128" t="s">
        <v>5093</v>
      </c>
      <c r="H873" s="131" t="str">
        <f t="shared" si="13"/>
        <v>PE31</v>
      </c>
      <c r="I873" s="132" t="str" cm="1">
        <f t="array" ref="I873">LEFT(G873, MIN(IF(ISNUMBER(--MID(G873, _xlfn.SEQUENCE(LEN(G873)), 1)), _xlfn.SEQUENCE(LEN(G873)))) - 1)</f>
        <v>PE</v>
      </c>
      <c r="J873" s="129" t="str">
        <f>_xlfn.XLOOKUP(H873,'GK IFT SDM POSTCODES'!A:A,'GK IFT SDM POSTCODES'!B:B,"")</f>
        <v>Andrew Galpin</v>
      </c>
      <c r="K873" s="129"/>
    </row>
    <row r="874" spans="1:11" ht="17.25" x14ac:dyDescent="0.35">
      <c r="A874" s="131" t="s">
        <v>4160</v>
      </c>
      <c r="B874" s="128" t="s">
        <v>5037</v>
      </c>
      <c r="C874" s="129"/>
      <c r="D874" s="129"/>
      <c r="E874" s="129"/>
      <c r="F874" s="129"/>
      <c r="G874" s="128" t="s">
        <v>5094</v>
      </c>
      <c r="H874" s="131" t="str">
        <f t="shared" si="13"/>
        <v>PE31</v>
      </c>
      <c r="I874" s="132" t="str" cm="1">
        <f t="array" ref="I874">LEFT(G874, MIN(IF(ISNUMBER(--MID(G874, _xlfn.SEQUENCE(LEN(G874)), 1)), _xlfn.SEQUENCE(LEN(G874)))) - 1)</f>
        <v>PE</v>
      </c>
      <c r="J874" s="129" t="str">
        <f>_xlfn.XLOOKUP(H874,'GK IFT SDM POSTCODES'!A:A,'GK IFT SDM POSTCODES'!B:B,"")</f>
        <v>Andrew Galpin</v>
      </c>
      <c r="K874" s="129"/>
    </row>
    <row r="875" spans="1:11" ht="17.25" x14ac:dyDescent="0.35">
      <c r="A875" s="131" t="s">
        <v>7</v>
      </c>
      <c r="B875" s="134" t="s">
        <v>2432</v>
      </c>
      <c r="C875" s="134" t="s">
        <v>3809</v>
      </c>
      <c r="D875" s="129"/>
      <c r="E875" s="134" t="s">
        <v>2003</v>
      </c>
      <c r="F875" s="134" t="s">
        <v>55</v>
      </c>
      <c r="G875" s="134" t="s">
        <v>3820</v>
      </c>
      <c r="H875" s="131" t="str">
        <f t="shared" si="13"/>
        <v>PE31</v>
      </c>
      <c r="I875" s="132" t="str" cm="1">
        <f t="array" ref="I875">LEFT(G875, MIN(IF(ISNUMBER(--MID(G875, _xlfn.SEQUENCE(LEN(G875)), 1)), _xlfn.SEQUENCE(LEN(G875)))) - 1)</f>
        <v>PE</v>
      </c>
      <c r="J875" s="134" t="s">
        <v>3801</v>
      </c>
      <c r="K875" s="129"/>
    </row>
    <row r="876" spans="1:11" ht="17.25" x14ac:dyDescent="0.35">
      <c r="A876" s="131" t="s">
        <v>4160</v>
      </c>
      <c r="B876" s="128" t="s">
        <v>5038</v>
      </c>
      <c r="C876" s="129"/>
      <c r="D876" s="129"/>
      <c r="E876" s="129"/>
      <c r="F876" s="129"/>
      <c r="G876" s="128" t="s">
        <v>927</v>
      </c>
      <c r="H876" s="131" t="str">
        <f t="shared" si="13"/>
        <v>PE31</v>
      </c>
      <c r="I876" s="132" t="str" cm="1">
        <f t="array" ref="I876">LEFT(G876, MIN(IF(ISNUMBER(--MID(G876, _xlfn.SEQUENCE(LEN(G876)), 1)), _xlfn.SEQUENCE(LEN(G876)))) - 1)</f>
        <v>PE</v>
      </c>
      <c r="J876" s="129" t="str">
        <f>_xlfn.XLOOKUP(H876,'GK IFT SDM POSTCODES'!A:A,'GK IFT SDM POSTCODES'!B:B,"")</f>
        <v>Andrew Galpin</v>
      </c>
      <c r="K876" s="129"/>
    </row>
    <row r="877" spans="1:11" ht="17.25" x14ac:dyDescent="0.35">
      <c r="A877" s="131" t="s">
        <v>4160</v>
      </c>
      <c r="B877" s="128" t="s">
        <v>5039</v>
      </c>
      <c r="C877" s="129"/>
      <c r="D877" s="129"/>
      <c r="E877" s="129"/>
      <c r="F877" s="129"/>
      <c r="G877" s="128" t="s">
        <v>5095</v>
      </c>
      <c r="H877" s="131" t="str">
        <f t="shared" si="13"/>
        <v>PE31</v>
      </c>
      <c r="I877" s="132" t="str" cm="1">
        <f t="array" ref="I877">LEFT(G877, MIN(IF(ISNUMBER(--MID(G877, _xlfn.SEQUENCE(LEN(G877)), 1)), _xlfn.SEQUENCE(LEN(G877)))) - 1)</f>
        <v>PE</v>
      </c>
      <c r="J877" s="129" t="str">
        <f>_xlfn.XLOOKUP(H877,'GK IFT SDM POSTCODES'!A:A,'GK IFT SDM POSTCODES'!B:B,"")</f>
        <v>Andrew Galpin</v>
      </c>
      <c r="K877" s="129"/>
    </row>
    <row r="878" spans="1:11" ht="17.25" x14ac:dyDescent="0.35">
      <c r="A878" s="131" t="s">
        <v>4160</v>
      </c>
      <c r="B878" s="128" t="s">
        <v>5040</v>
      </c>
      <c r="C878" s="129"/>
      <c r="D878" s="129"/>
      <c r="E878" s="129"/>
      <c r="F878" s="129"/>
      <c r="G878" s="128" t="s">
        <v>5096</v>
      </c>
      <c r="H878" s="131" t="str">
        <f t="shared" si="13"/>
        <v>PE32</v>
      </c>
      <c r="I878" s="132" t="str" cm="1">
        <f t="array" ref="I878">LEFT(G878, MIN(IF(ISNUMBER(--MID(G878, _xlfn.SEQUENCE(LEN(G878)), 1)), _xlfn.SEQUENCE(LEN(G878)))) - 1)</f>
        <v>PE</v>
      </c>
      <c r="J878" s="129" t="str">
        <f>_xlfn.XLOOKUP(H878,'GK IFT SDM POSTCODES'!A:A,'GK IFT SDM POSTCODES'!B:B,"")</f>
        <v>Adam Reditt</v>
      </c>
      <c r="K878" s="129"/>
    </row>
    <row r="879" spans="1:11" ht="17.25" x14ac:dyDescent="0.35">
      <c r="A879" s="131" t="s">
        <v>4160</v>
      </c>
      <c r="B879" s="128" t="s">
        <v>5041</v>
      </c>
      <c r="C879" s="129"/>
      <c r="D879" s="129"/>
      <c r="E879" s="129"/>
      <c r="F879" s="129"/>
      <c r="G879" s="128" t="s">
        <v>5097</v>
      </c>
      <c r="H879" s="131" t="str">
        <f t="shared" si="13"/>
        <v>PE32</v>
      </c>
      <c r="I879" s="132" t="str" cm="1">
        <f t="array" ref="I879">LEFT(G879, MIN(IF(ISNUMBER(--MID(G879, _xlfn.SEQUENCE(LEN(G879)), 1)), _xlfn.SEQUENCE(LEN(G879)))) - 1)</f>
        <v>PE</v>
      </c>
      <c r="J879" s="129" t="str">
        <f>_xlfn.XLOOKUP(H879,'GK IFT SDM POSTCODES'!A:A,'GK IFT SDM POSTCODES'!B:B,"")</f>
        <v>Adam Reditt</v>
      </c>
      <c r="K879" s="129"/>
    </row>
    <row r="880" spans="1:11" ht="17.25" x14ac:dyDescent="0.35">
      <c r="A880" s="131" t="s">
        <v>4160</v>
      </c>
      <c r="B880" s="128" t="s">
        <v>5042</v>
      </c>
      <c r="C880" s="129"/>
      <c r="D880" s="129"/>
      <c r="E880" s="129"/>
      <c r="F880" s="129"/>
      <c r="G880" s="128" t="s">
        <v>5098</v>
      </c>
      <c r="H880" s="131" t="str">
        <f t="shared" si="13"/>
        <v>PE32</v>
      </c>
      <c r="I880" s="132" t="str" cm="1">
        <f t="array" ref="I880">LEFT(G880, MIN(IF(ISNUMBER(--MID(G880, _xlfn.SEQUENCE(LEN(G880)), 1)), _xlfn.SEQUENCE(LEN(G880)))) - 1)</f>
        <v>PE</v>
      </c>
      <c r="J880" s="129" t="str">
        <f>_xlfn.XLOOKUP(H880,'GK IFT SDM POSTCODES'!A:A,'GK IFT SDM POSTCODES'!B:B,"")</f>
        <v>Adam Reditt</v>
      </c>
      <c r="K880" s="129"/>
    </row>
    <row r="881" spans="1:11" ht="17.25" x14ac:dyDescent="0.35">
      <c r="A881" s="130" t="s">
        <v>3718</v>
      </c>
      <c r="B881" s="131" t="s">
        <v>338</v>
      </c>
      <c r="C881" s="131" t="s">
        <v>3379</v>
      </c>
      <c r="D881" s="131" t="s">
        <v>3377</v>
      </c>
      <c r="E881" s="131" t="s">
        <v>3550</v>
      </c>
      <c r="F881" s="131" t="s">
        <v>55</v>
      </c>
      <c r="G881" s="131" t="s">
        <v>109</v>
      </c>
      <c r="H881" s="131" t="str">
        <f t="shared" si="13"/>
        <v>PE32</v>
      </c>
      <c r="I881" s="132" t="str" cm="1">
        <f t="array" ref="I881">LEFT(G881, MIN(IF(ISNUMBER(--MID(G881, _xlfn.SEQUENCE(LEN(G881)), 1)), _xlfn.SEQUENCE(LEN(G881)))) - 1)</f>
        <v>PE</v>
      </c>
      <c r="J881" s="131" t="s">
        <v>3707</v>
      </c>
      <c r="K881" s="129"/>
    </row>
    <row r="882" spans="1:11" ht="17.25" x14ac:dyDescent="0.35">
      <c r="A882" s="131" t="s">
        <v>4160</v>
      </c>
      <c r="B882" s="128" t="s">
        <v>5043</v>
      </c>
      <c r="C882" s="129"/>
      <c r="D882" s="129"/>
      <c r="E882" s="129"/>
      <c r="F882" s="129"/>
      <c r="G882" s="128" t="s">
        <v>5099</v>
      </c>
      <c r="H882" s="131" t="str">
        <f t="shared" si="13"/>
        <v>PE32</v>
      </c>
      <c r="I882" s="132" t="str" cm="1">
        <f t="array" ref="I882">LEFT(G882, MIN(IF(ISNUMBER(--MID(G882, _xlfn.SEQUENCE(LEN(G882)), 1)), _xlfn.SEQUENCE(LEN(G882)))) - 1)</f>
        <v>PE</v>
      </c>
      <c r="J882" s="129" t="str">
        <f>_xlfn.XLOOKUP(H882,'GK IFT SDM POSTCODES'!A:A,'GK IFT SDM POSTCODES'!B:B,"")</f>
        <v>Adam Reditt</v>
      </c>
      <c r="K882" s="129"/>
    </row>
    <row r="883" spans="1:11" ht="17.25" x14ac:dyDescent="0.35">
      <c r="A883" s="130" t="s">
        <v>3718</v>
      </c>
      <c r="B883" s="131" t="s">
        <v>3708</v>
      </c>
      <c r="C883" s="131" t="s">
        <v>3709</v>
      </c>
      <c r="D883" s="131" t="s">
        <v>3710</v>
      </c>
      <c r="E883" s="131" t="s">
        <v>3550</v>
      </c>
      <c r="F883" s="131" t="s">
        <v>55</v>
      </c>
      <c r="G883" s="131" t="s">
        <v>110</v>
      </c>
      <c r="H883" s="131" t="str">
        <f t="shared" si="13"/>
        <v>PE32</v>
      </c>
      <c r="I883" s="132" t="str" cm="1">
        <f t="array" ref="I883">LEFT(G883, MIN(IF(ISNUMBER(--MID(G883, _xlfn.SEQUENCE(LEN(G883)), 1)), _xlfn.SEQUENCE(LEN(G883)))) - 1)</f>
        <v>PE</v>
      </c>
      <c r="J883" s="131" t="s">
        <v>3707</v>
      </c>
      <c r="K883" s="129"/>
    </row>
    <row r="884" spans="1:11" ht="17.25" x14ac:dyDescent="0.35">
      <c r="A884" s="131" t="s">
        <v>4160</v>
      </c>
      <c r="B884" s="128" t="s">
        <v>5044</v>
      </c>
      <c r="C884" s="129"/>
      <c r="D884" s="129"/>
      <c r="E884" s="129"/>
      <c r="F884" s="129"/>
      <c r="G884" s="128" t="s">
        <v>5100</v>
      </c>
      <c r="H884" s="131" t="str">
        <f t="shared" si="13"/>
        <v>PE32</v>
      </c>
      <c r="I884" s="132" t="str" cm="1">
        <f t="array" ref="I884">LEFT(G884, MIN(IF(ISNUMBER(--MID(G884, _xlfn.SEQUENCE(LEN(G884)), 1)), _xlfn.SEQUENCE(LEN(G884)))) - 1)</f>
        <v>PE</v>
      </c>
      <c r="J884" s="129" t="str">
        <f>_xlfn.XLOOKUP(H884,'GK IFT SDM POSTCODES'!A:A,'GK IFT SDM POSTCODES'!B:B,"")</f>
        <v>Adam Reditt</v>
      </c>
      <c r="K884" s="129"/>
    </row>
    <row r="885" spans="1:11" ht="17.25" x14ac:dyDescent="0.35">
      <c r="A885" s="131" t="s">
        <v>4160</v>
      </c>
      <c r="B885" s="136" t="s">
        <v>5045</v>
      </c>
      <c r="C885" s="129"/>
      <c r="D885" s="129"/>
      <c r="E885" s="129"/>
      <c r="F885" s="129"/>
      <c r="G885" s="136" t="s">
        <v>5101</v>
      </c>
      <c r="H885" s="131" t="str">
        <f t="shared" si="13"/>
        <v>PE33</v>
      </c>
      <c r="I885" s="132" t="str" cm="1">
        <f t="array" ref="I885">LEFT(G885, MIN(IF(ISNUMBER(--MID(G885, _xlfn.SEQUENCE(LEN(G885)), 1)), _xlfn.SEQUENCE(LEN(G885)))) - 1)</f>
        <v>PE</v>
      </c>
      <c r="J885" s="129" t="str">
        <f>_xlfn.XLOOKUP(H885,'GK IFT SDM POSTCODES'!A:A,'GK IFT SDM POSTCODES'!B:B,"")</f>
        <v>Adam Reditt</v>
      </c>
      <c r="K885" s="129"/>
    </row>
    <row r="886" spans="1:11" ht="17.25" x14ac:dyDescent="0.35">
      <c r="A886" s="131" t="s">
        <v>7</v>
      </c>
      <c r="B886" s="134" t="s">
        <v>3796</v>
      </c>
      <c r="C886" s="134" t="s">
        <v>3810</v>
      </c>
      <c r="D886" s="129"/>
      <c r="E886" s="134" t="s">
        <v>2003</v>
      </c>
      <c r="F886" s="134" t="s">
        <v>55</v>
      </c>
      <c r="G886" s="134" t="s">
        <v>3821</v>
      </c>
      <c r="H886" s="131" t="str">
        <f t="shared" si="13"/>
        <v>PE33</v>
      </c>
      <c r="I886" s="132" t="str" cm="1">
        <f t="array" ref="I886">LEFT(G886, MIN(IF(ISNUMBER(--MID(G886, _xlfn.SEQUENCE(LEN(G886)), 1)), _xlfn.SEQUENCE(LEN(G886)))) - 1)</f>
        <v>PE</v>
      </c>
      <c r="J886" s="134" t="s">
        <v>3801</v>
      </c>
      <c r="K886" s="129"/>
    </row>
    <row r="887" spans="1:11" ht="17.25" x14ac:dyDescent="0.35">
      <c r="A887" s="131" t="s">
        <v>4160</v>
      </c>
      <c r="B887" s="128" t="s">
        <v>5046</v>
      </c>
      <c r="C887" s="129"/>
      <c r="D887" s="129"/>
      <c r="E887" s="129"/>
      <c r="F887" s="129"/>
      <c r="G887" s="128" t="s">
        <v>5102</v>
      </c>
      <c r="H887" s="131" t="str">
        <f t="shared" si="13"/>
        <v>PE33</v>
      </c>
      <c r="I887" s="132" t="str" cm="1">
        <f t="array" ref="I887">LEFT(G887, MIN(IF(ISNUMBER(--MID(G887, _xlfn.SEQUENCE(LEN(G887)), 1)), _xlfn.SEQUENCE(LEN(G887)))) - 1)</f>
        <v>PE</v>
      </c>
      <c r="J887" s="129" t="str">
        <f>_xlfn.XLOOKUP(H887,'GK IFT SDM POSTCODES'!A:A,'GK IFT SDM POSTCODES'!B:B,"")</f>
        <v>Adam Reditt</v>
      </c>
      <c r="K887" s="129"/>
    </row>
    <row r="888" spans="1:11" ht="17.25" x14ac:dyDescent="0.35">
      <c r="A888" s="131" t="s">
        <v>4160</v>
      </c>
      <c r="B888" s="128" t="s">
        <v>5047</v>
      </c>
      <c r="C888" s="129"/>
      <c r="D888" s="129"/>
      <c r="E888" s="129"/>
      <c r="F888" s="129"/>
      <c r="G888" s="128" t="s">
        <v>5103</v>
      </c>
      <c r="H888" s="131" t="str">
        <f t="shared" si="13"/>
        <v>PE33</v>
      </c>
      <c r="I888" s="132" t="str" cm="1">
        <f t="array" ref="I888">LEFT(G888, MIN(IF(ISNUMBER(--MID(G888, _xlfn.SEQUENCE(LEN(G888)), 1)), _xlfn.SEQUENCE(LEN(G888)))) - 1)</f>
        <v>PE</v>
      </c>
      <c r="J888" s="129" t="str">
        <f>_xlfn.XLOOKUP(H888,'GK IFT SDM POSTCODES'!A:A,'GK IFT SDM POSTCODES'!B:B,"")</f>
        <v>Adam Reditt</v>
      </c>
      <c r="K888" s="129"/>
    </row>
    <row r="889" spans="1:11" ht="17.25" x14ac:dyDescent="0.35">
      <c r="A889" s="131" t="s">
        <v>4160</v>
      </c>
      <c r="B889" s="128" t="s">
        <v>5048</v>
      </c>
      <c r="C889" s="129"/>
      <c r="D889" s="129"/>
      <c r="E889" s="129"/>
      <c r="F889" s="129"/>
      <c r="G889" s="128" t="s">
        <v>5104</v>
      </c>
      <c r="H889" s="131" t="str">
        <f t="shared" si="13"/>
        <v>PE33</v>
      </c>
      <c r="I889" s="132" t="str" cm="1">
        <f t="array" ref="I889">LEFT(G889, MIN(IF(ISNUMBER(--MID(G889, _xlfn.SEQUENCE(LEN(G889)), 1)), _xlfn.SEQUENCE(LEN(G889)))) - 1)</f>
        <v>PE</v>
      </c>
      <c r="J889" s="129" t="str">
        <f>_xlfn.XLOOKUP(H889,'GK IFT SDM POSTCODES'!A:A,'GK IFT SDM POSTCODES'!B:B,"")</f>
        <v>Adam Reditt</v>
      </c>
      <c r="K889" s="129"/>
    </row>
    <row r="890" spans="1:11" ht="17.25" x14ac:dyDescent="0.35">
      <c r="A890" s="131" t="s">
        <v>4160</v>
      </c>
      <c r="B890" s="136" t="s">
        <v>5049</v>
      </c>
      <c r="C890" s="129"/>
      <c r="D890" s="129"/>
      <c r="E890" s="129"/>
      <c r="F890" s="129"/>
      <c r="G890" s="136" t="s">
        <v>5105</v>
      </c>
      <c r="H890" s="131" t="str">
        <f t="shared" si="13"/>
        <v>PE33</v>
      </c>
      <c r="I890" s="132" t="str" cm="1">
        <f t="array" ref="I890">LEFT(G890, MIN(IF(ISNUMBER(--MID(G890, _xlfn.SEQUENCE(LEN(G890)), 1)), _xlfn.SEQUENCE(LEN(G890)))) - 1)</f>
        <v>PE</v>
      </c>
      <c r="J890" s="129" t="str">
        <f>_xlfn.XLOOKUP(H890,'GK IFT SDM POSTCODES'!A:A,'GK IFT SDM POSTCODES'!B:B,"")</f>
        <v>Adam Reditt</v>
      </c>
      <c r="K890" s="129"/>
    </row>
    <row r="891" spans="1:11" ht="17.25" x14ac:dyDescent="0.35">
      <c r="A891" s="131" t="s">
        <v>4160</v>
      </c>
      <c r="B891" s="128" t="s">
        <v>5050</v>
      </c>
      <c r="C891" s="129"/>
      <c r="D891" s="129"/>
      <c r="E891" s="129"/>
      <c r="F891" s="129"/>
      <c r="G891" s="128" t="s">
        <v>5106</v>
      </c>
      <c r="H891" s="131" t="str">
        <f t="shared" si="13"/>
        <v>PE33</v>
      </c>
      <c r="I891" s="132" t="str" cm="1">
        <f t="array" ref="I891">LEFT(G891, MIN(IF(ISNUMBER(--MID(G891, _xlfn.SEQUENCE(LEN(G891)), 1)), _xlfn.SEQUENCE(LEN(G891)))) - 1)</f>
        <v>PE</v>
      </c>
      <c r="J891" s="129" t="str">
        <f>_xlfn.XLOOKUP(H891,'GK IFT SDM POSTCODES'!A:A,'GK IFT SDM POSTCODES'!B:B,"")</f>
        <v>Adam Reditt</v>
      </c>
      <c r="K891" s="129"/>
    </row>
    <row r="892" spans="1:11" ht="17.25" x14ac:dyDescent="0.35">
      <c r="A892" s="131" t="s">
        <v>4160</v>
      </c>
      <c r="B892" s="128" t="s">
        <v>5051</v>
      </c>
      <c r="C892" s="129"/>
      <c r="D892" s="129"/>
      <c r="E892" s="129"/>
      <c r="F892" s="129"/>
      <c r="G892" s="128" t="s">
        <v>5107</v>
      </c>
      <c r="H892" s="131" t="str">
        <f t="shared" si="13"/>
        <v>PE33</v>
      </c>
      <c r="I892" s="132" t="str" cm="1">
        <f t="array" ref="I892">LEFT(G892, MIN(IF(ISNUMBER(--MID(G892, _xlfn.SEQUENCE(LEN(G892)), 1)), _xlfn.SEQUENCE(LEN(G892)))) - 1)</f>
        <v>PE</v>
      </c>
      <c r="J892" s="129" t="str">
        <f>_xlfn.XLOOKUP(H892,'GK IFT SDM POSTCODES'!A:A,'GK IFT SDM POSTCODES'!B:B,"")</f>
        <v>Adam Reditt</v>
      </c>
      <c r="K892" s="129"/>
    </row>
    <row r="893" spans="1:11" ht="17.25" x14ac:dyDescent="0.35">
      <c r="A893" s="130" t="s">
        <v>3718</v>
      </c>
      <c r="B893" s="131" t="s">
        <v>3378</v>
      </c>
      <c r="C893" s="131" t="s">
        <v>3379</v>
      </c>
      <c r="D893" s="131" t="s">
        <v>3380</v>
      </c>
      <c r="E893" s="131" t="s">
        <v>3550</v>
      </c>
      <c r="F893" s="131" t="s">
        <v>55</v>
      </c>
      <c r="G893" s="131" t="s">
        <v>3711</v>
      </c>
      <c r="H893" s="131" t="str">
        <f t="shared" si="13"/>
        <v>PE34</v>
      </c>
      <c r="I893" s="132" t="str" cm="1">
        <f t="array" ref="I893">LEFT(G893, MIN(IF(ISNUMBER(--MID(G893, _xlfn.SEQUENCE(LEN(G893)), 1)), _xlfn.SEQUENCE(LEN(G893)))) - 1)</f>
        <v>PE</v>
      </c>
      <c r="J893" s="131" t="s">
        <v>3707</v>
      </c>
      <c r="K893" s="129"/>
    </row>
    <row r="894" spans="1:11" ht="17.25" x14ac:dyDescent="0.35">
      <c r="A894" s="131" t="s">
        <v>4160</v>
      </c>
      <c r="B894" s="128" t="s">
        <v>5052</v>
      </c>
      <c r="C894" s="129"/>
      <c r="D894" s="129"/>
      <c r="E894" s="129"/>
      <c r="F894" s="129"/>
      <c r="G894" s="128" t="s">
        <v>5108</v>
      </c>
      <c r="H894" s="131" t="str">
        <f t="shared" si="13"/>
        <v>PE34</v>
      </c>
      <c r="I894" s="132" t="str" cm="1">
        <f t="array" ref="I894">LEFT(G894, MIN(IF(ISNUMBER(--MID(G894, _xlfn.SEQUENCE(LEN(G894)), 1)), _xlfn.SEQUENCE(LEN(G894)))) - 1)</f>
        <v>PE</v>
      </c>
      <c r="J894" s="142" t="str">
        <f>_xlfn.XLOOKUP(H894,'GK IFT SDM POSTCODES'!A:A,'GK IFT SDM POSTCODES'!B:B,"")</f>
        <v>Neil Tweddle</v>
      </c>
      <c r="K894" s="129"/>
    </row>
    <row r="895" spans="1:11" ht="17.25" x14ac:dyDescent="0.35">
      <c r="A895" s="131" t="s">
        <v>4160</v>
      </c>
      <c r="B895" s="128" t="s">
        <v>5053</v>
      </c>
      <c r="C895" s="129"/>
      <c r="D895" s="129"/>
      <c r="E895" s="129"/>
      <c r="F895" s="129"/>
      <c r="G895" s="128" t="s">
        <v>5109</v>
      </c>
      <c r="H895" s="131" t="str">
        <f t="shared" si="13"/>
        <v>PE34</v>
      </c>
      <c r="I895" s="132" t="str" cm="1">
        <f t="array" ref="I895">LEFT(G895, MIN(IF(ISNUMBER(--MID(G895, _xlfn.SEQUENCE(LEN(G895)), 1)), _xlfn.SEQUENCE(LEN(G895)))) - 1)</f>
        <v>PE</v>
      </c>
      <c r="J895" s="142" t="str">
        <f>_xlfn.XLOOKUP(H895,'GK IFT SDM POSTCODES'!A:A,'GK IFT SDM POSTCODES'!B:B,"")</f>
        <v>Neil Tweddle</v>
      </c>
      <c r="K895" s="129"/>
    </row>
    <row r="896" spans="1:11" ht="17.25" x14ac:dyDescent="0.35">
      <c r="A896" s="131" t="s">
        <v>4160</v>
      </c>
      <c r="B896" s="136" t="s">
        <v>5054</v>
      </c>
      <c r="C896" s="129"/>
      <c r="D896" s="129"/>
      <c r="E896" s="129"/>
      <c r="F896" s="129"/>
      <c r="G896" s="136" t="s">
        <v>5109</v>
      </c>
      <c r="H896" s="131" t="str">
        <f t="shared" si="13"/>
        <v>PE34</v>
      </c>
      <c r="I896" s="132" t="str" cm="1">
        <f t="array" ref="I896">LEFT(G896, MIN(IF(ISNUMBER(--MID(G896, _xlfn.SEQUENCE(LEN(G896)), 1)), _xlfn.SEQUENCE(LEN(G896)))) - 1)</f>
        <v>PE</v>
      </c>
      <c r="J896" s="142" t="str">
        <f>_xlfn.XLOOKUP(H896,'GK IFT SDM POSTCODES'!A:A,'GK IFT SDM POSTCODES'!B:B,"")</f>
        <v>Neil Tweddle</v>
      </c>
      <c r="K896" s="129"/>
    </row>
    <row r="897" spans="1:11" ht="17.25" x14ac:dyDescent="0.35">
      <c r="A897" s="131" t="s">
        <v>7</v>
      </c>
      <c r="B897" s="134" t="s">
        <v>3797</v>
      </c>
      <c r="C897" s="134" t="s">
        <v>3811</v>
      </c>
      <c r="D897" s="129"/>
      <c r="E897" s="134" t="s">
        <v>2003</v>
      </c>
      <c r="F897" s="134" t="s">
        <v>55</v>
      </c>
      <c r="G897" s="134" t="s">
        <v>3822</v>
      </c>
      <c r="H897" s="131" t="str">
        <f t="shared" si="13"/>
        <v>PE34</v>
      </c>
      <c r="I897" s="132" t="str" cm="1">
        <f t="array" ref="I897">LEFT(G897, MIN(IF(ISNUMBER(--MID(G897, _xlfn.SEQUENCE(LEN(G897)), 1)), _xlfn.SEQUENCE(LEN(G897)))) - 1)</f>
        <v>PE</v>
      </c>
      <c r="J897" s="134" t="s">
        <v>3801</v>
      </c>
      <c r="K897" s="129"/>
    </row>
    <row r="898" spans="1:11" ht="17.25" x14ac:dyDescent="0.35">
      <c r="A898" s="131" t="s">
        <v>4160</v>
      </c>
      <c r="B898" s="128" t="s">
        <v>5055</v>
      </c>
      <c r="C898" s="129"/>
      <c r="D898" s="129"/>
      <c r="E898" s="129"/>
      <c r="F898" s="129"/>
      <c r="G898" s="128" t="s">
        <v>5110</v>
      </c>
      <c r="H898" s="131" t="str">
        <f t="shared" ref="H898:H923" si="14">_xlfn.TEXTBEFORE(G898," ")</f>
        <v>PE34</v>
      </c>
      <c r="I898" s="132" t="str" cm="1">
        <f t="array" ref="I898">LEFT(G898, MIN(IF(ISNUMBER(--MID(G898, _xlfn.SEQUENCE(LEN(G898)), 1)), _xlfn.SEQUENCE(LEN(G898)))) - 1)</f>
        <v>PE</v>
      </c>
      <c r="J898" s="142" t="str">
        <f>_xlfn.XLOOKUP(H898,'GK IFT SDM POSTCODES'!A:A,'GK IFT SDM POSTCODES'!B:B,"")</f>
        <v>Neil Tweddle</v>
      </c>
      <c r="K898" s="129"/>
    </row>
    <row r="899" spans="1:11" ht="17.25" x14ac:dyDescent="0.35">
      <c r="A899" s="131" t="s">
        <v>4160</v>
      </c>
      <c r="B899" s="128" t="s">
        <v>5056</v>
      </c>
      <c r="C899" s="129"/>
      <c r="D899" s="129"/>
      <c r="E899" s="129"/>
      <c r="F899" s="129"/>
      <c r="G899" s="128" t="s">
        <v>5111</v>
      </c>
      <c r="H899" s="131" t="str">
        <f t="shared" si="14"/>
        <v>PE34</v>
      </c>
      <c r="I899" s="132" t="str" cm="1">
        <f t="array" ref="I899">LEFT(G899, MIN(IF(ISNUMBER(--MID(G899, _xlfn.SEQUENCE(LEN(G899)), 1)), _xlfn.SEQUENCE(LEN(G899)))) - 1)</f>
        <v>PE</v>
      </c>
      <c r="J899" s="142" t="str">
        <f>_xlfn.XLOOKUP(H899,'GK IFT SDM POSTCODES'!A:A,'GK IFT SDM POSTCODES'!B:B,"")</f>
        <v>Neil Tweddle</v>
      </c>
      <c r="K899" s="129"/>
    </row>
    <row r="900" spans="1:11" ht="17.25" x14ac:dyDescent="0.35">
      <c r="A900" s="131" t="s">
        <v>4160</v>
      </c>
      <c r="B900" s="128" t="s">
        <v>5057</v>
      </c>
      <c r="C900" s="129"/>
      <c r="D900" s="129"/>
      <c r="E900" s="129"/>
      <c r="F900" s="129"/>
      <c r="G900" s="128" t="s">
        <v>5112</v>
      </c>
      <c r="H900" s="131" t="str">
        <f t="shared" si="14"/>
        <v>PE36</v>
      </c>
      <c r="I900" s="132" t="str" cm="1">
        <f t="array" ref="I900">LEFT(G900, MIN(IF(ISNUMBER(--MID(G900, _xlfn.SEQUENCE(LEN(G900)), 1)), _xlfn.SEQUENCE(LEN(G900)))) - 1)</f>
        <v>PE</v>
      </c>
      <c r="J900" s="129" t="str">
        <f>_xlfn.XLOOKUP(H900,'GK IFT SDM POSTCODES'!A:A,'GK IFT SDM POSTCODES'!B:B,"")</f>
        <v>Andrew Galpin</v>
      </c>
      <c r="K900" s="129"/>
    </row>
    <row r="901" spans="1:11" ht="17.25" x14ac:dyDescent="0.35">
      <c r="A901" s="131" t="s">
        <v>4160</v>
      </c>
      <c r="B901" s="128" t="s">
        <v>5058</v>
      </c>
      <c r="C901" s="129"/>
      <c r="D901" s="129"/>
      <c r="E901" s="129"/>
      <c r="F901" s="129"/>
      <c r="G901" s="128" t="s">
        <v>5113</v>
      </c>
      <c r="H901" s="131" t="str">
        <f t="shared" si="14"/>
        <v>PE36</v>
      </c>
      <c r="I901" s="132" t="str" cm="1">
        <f t="array" ref="I901">LEFT(G901, MIN(IF(ISNUMBER(--MID(G901, _xlfn.SEQUENCE(LEN(G901)), 1)), _xlfn.SEQUENCE(LEN(G901)))) - 1)</f>
        <v>PE</v>
      </c>
      <c r="J901" s="129" t="str">
        <f>_xlfn.XLOOKUP(H901,'GK IFT SDM POSTCODES'!A:A,'GK IFT SDM POSTCODES'!B:B,"")</f>
        <v>Andrew Galpin</v>
      </c>
      <c r="K901" s="129"/>
    </row>
    <row r="902" spans="1:11" ht="17.25" x14ac:dyDescent="0.35">
      <c r="A902" s="131" t="s">
        <v>4160</v>
      </c>
      <c r="B902" s="128" t="s">
        <v>5059</v>
      </c>
      <c r="C902" s="129"/>
      <c r="D902" s="129"/>
      <c r="E902" s="129"/>
      <c r="F902" s="129"/>
      <c r="G902" s="128" t="s">
        <v>5114</v>
      </c>
      <c r="H902" s="131" t="str">
        <f t="shared" si="14"/>
        <v>PE36</v>
      </c>
      <c r="I902" s="132" t="str" cm="1">
        <f t="array" ref="I902">LEFT(G902, MIN(IF(ISNUMBER(--MID(G902, _xlfn.SEQUENCE(LEN(G902)), 1)), _xlfn.SEQUENCE(LEN(G902)))) - 1)</f>
        <v>PE</v>
      </c>
      <c r="J902" s="129" t="str">
        <f>_xlfn.XLOOKUP(H902,'GK IFT SDM POSTCODES'!A:A,'GK IFT SDM POSTCODES'!B:B,"")</f>
        <v>Andrew Galpin</v>
      </c>
      <c r="K902" s="129"/>
    </row>
    <row r="903" spans="1:11" ht="17.25" x14ac:dyDescent="0.35">
      <c r="A903" s="131" t="s">
        <v>4160</v>
      </c>
      <c r="B903" s="128" t="s">
        <v>5060</v>
      </c>
      <c r="C903" s="129"/>
      <c r="D903" s="129"/>
      <c r="E903" s="129"/>
      <c r="F903" s="129"/>
      <c r="G903" s="128" t="s">
        <v>5114</v>
      </c>
      <c r="H903" s="131" t="str">
        <f t="shared" si="14"/>
        <v>PE36</v>
      </c>
      <c r="I903" s="132" t="str" cm="1">
        <f t="array" ref="I903">LEFT(G903, MIN(IF(ISNUMBER(--MID(G903, _xlfn.SEQUENCE(LEN(G903)), 1)), _xlfn.SEQUENCE(LEN(G903)))) - 1)</f>
        <v>PE</v>
      </c>
      <c r="J903" s="129" t="str">
        <f>_xlfn.XLOOKUP(H903,'GK IFT SDM POSTCODES'!A:A,'GK IFT SDM POSTCODES'!B:B,"")</f>
        <v>Andrew Galpin</v>
      </c>
      <c r="K903" s="129"/>
    </row>
    <row r="904" spans="1:11" ht="17.25" x14ac:dyDescent="0.35">
      <c r="A904" s="131" t="s">
        <v>7</v>
      </c>
      <c r="B904" s="134" t="s">
        <v>3798</v>
      </c>
      <c r="C904" s="134" t="s">
        <v>3812</v>
      </c>
      <c r="D904" s="129"/>
      <c r="E904" s="134" t="s">
        <v>1999</v>
      </c>
      <c r="F904" s="134" t="s">
        <v>55</v>
      </c>
      <c r="G904" s="134" t="s">
        <v>3823</v>
      </c>
      <c r="H904" s="131" t="str">
        <f t="shared" si="14"/>
        <v>PE36</v>
      </c>
      <c r="I904" s="132" t="str" cm="1">
        <f t="array" ref="I904">LEFT(G904, MIN(IF(ISNUMBER(--MID(G904, _xlfn.SEQUENCE(LEN(G904)), 1)), _xlfn.SEQUENCE(LEN(G904)))) - 1)</f>
        <v>PE</v>
      </c>
      <c r="J904" s="134" t="s">
        <v>3801</v>
      </c>
      <c r="K904" s="129"/>
    </row>
    <row r="905" spans="1:11" ht="17.25" x14ac:dyDescent="0.35">
      <c r="A905" s="131" t="s">
        <v>4160</v>
      </c>
      <c r="B905" s="128" t="s">
        <v>5061</v>
      </c>
      <c r="C905" s="129"/>
      <c r="D905" s="129"/>
      <c r="E905" s="129"/>
      <c r="F905" s="129"/>
      <c r="G905" s="128" t="s">
        <v>3823</v>
      </c>
      <c r="H905" s="131" t="str">
        <f t="shared" si="14"/>
        <v>PE36</v>
      </c>
      <c r="I905" s="132" t="str" cm="1">
        <f t="array" ref="I905">LEFT(G905, MIN(IF(ISNUMBER(--MID(G905, _xlfn.SEQUENCE(LEN(G905)), 1)), _xlfn.SEQUENCE(LEN(G905)))) - 1)</f>
        <v>PE</v>
      </c>
      <c r="J905" s="129" t="str">
        <f>_xlfn.XLOOKUP(H905,'GK IFT SDM POSTCODES'!A:A,'GK IFT SDM POSTCODES'!B:B,"")</f>
        <v>Andrew Galpin</v>
      </c>
      <c r="K905" s="129"/>
    </row>
    <row r="906" spans="1:11" ht="17.25" x14ac:dyDescent="0.35">
      <c r="A906" s="131" t="s">
        <v>4160</v>
      </c>
      <c r="B906" s="128" t="s">
        <v>5062</v>
      </c>
      <c r="C906" s="129"/>
      <c r="D906" s="129"/>
      <c r="E906" s="129"/>
      <c r="F906" s="129"/>
      <c r="G906" s="128" t="s">
        <v>5115</v>
      </c>
      <c r="H906" s="131" t="str">
        <f t="shared" si="14"/>
        <v>PE36</v>
      </c>
      <c r="I906" s="132" t="str" cm="1">
        <f t="array" ref="I906">LEFT(G906, MIN(IF(ISNUMBER(--MID(G906, _xlfn.SEQUENCE(LEN(G906)), 1)), _xlfn.SEQUENCE(LEN(G906)))) - 1)</f>
        <v>PE</v>
      </c>
      <c r="J906" s="129" t="str">
        <f>_xlfn.XLOOKUP(H906,'GK IFT SDM POSTCODES'!A:A,'GK IFT SDM POSTCODES'!B:B,"")</f>
        <v>Andrew Galpin</v>
      </c>
      <c r="K906" s="129"/>
    </row>
    <row r="907" spans="1:11" ht="17.25" x14ac:dyDescent="0.35">
      <c r="A907" s="131" t="s">
        <v>4160</v>
      </c>
      <c r="B907" s="128" t="s">
        <v>5063</v>
      </c>
      <c r="C907" s="129"/>
      <c r="D907" s="129"/>
      <c r="E907" s="129"/>
      <c r="F907" s="129"/>
      <c r="G907" s="128" t="s">
        <v>5115</v>
      </c>
      <c r="H907" s="131" t="str">
        <f t="shared" si="14"/>
        <v>PE36</v>
      </c>
      <c r="I907" s="132" t="str" cm="1">
        <f t="array" ref="I907">LEFT(G907, MIN(IF(ISNUMBER(--MID(G907, _xlfn.SEQUENCE(LEN(G907)), 1)), _xlfn.SEQUENCE(LEN(G907)))) - 1)</f>
        <v>PE</v>
      </c>
      <c r="J907" s="129" t="str">
        <f>_xlfn.XLOOKUP(H907,'GK IFT SDM POSTCODES'!A:A,'GK IFT SDM POSTCODES'!B:B,"")</f>
        <v>Andrew Galpin</v>
      </c>
      <c r="K907" s="129"/>
    </row>
    <row r="908" spans="1:11" ht="17.25" x14ac:dyDescent="0.35">
      <c r="A908" s="131" t="s">
        <v>4160</v>
      </c>
      <c r="B908" s="128" t="s">
        <v>5064</v>
      </c>
      <c r="C908" s="129"/>
      <c r="D908" s="129"/>
      <c r="E908" s="129"/>
      <c r="F908" s="129"/>
      <c r="G908" s="128" t="s">
        <v>5116</v>
      </c>
      <c r="H908" s="131" t="str">
        <f t="shared" si="14"/>
        <v>PE36</v>
      </c>
      <c r="I908" s="132" t="str" cm="1">
        <f t="array" ref="I908">LEFT(G908, MIN(IF(ISNUMBER(--MID(G908, _xlfn.SEQUENCE(LEN(G908)), 1)), _xlfn.SEQUENCE(LEN(G908)))) - 1)</f>
        <v>PE</v>
      </c>
      <c r="J908" s="129" t="str">
        <f>_xlfn.XLOOKUP(H908,'GK IFT SDM POSTCODES'!A:A,'GK IFT SDM POSTCODES'!B:B,"")</f>
        <v>Andrew Galpin</v>
      </c>
      <c r="K908" s="129"/>
    </row>
    <row r="909" spans="1:11" ht="17.25" x14ac:dyDescent="0.35">
      <c r="A909" s="131" t="s">
        <v>4160</v>
      </c>
      <c r="B909" s="128" t="s">
        <v>5065</v>
      </c>
      <c r="C909" s="129"/>
      <c r="D909" s="129"/>
      <c r="E909" s="129"/>
      <c r="F909" s="129"/>
      <c r="G909" s="128" t="s">
        <v>5117</v>
      </c>
      <c r="H909" s="131" t="str">
        <f t="shared" si="14"/>
        <v>PE36</v>
      </c>
      <c r="I909" s="132" t="str" cm="1">
        <f t="array" ref="I909">LEFT(G909, MIN(IF(ISNUMBER(--MID(G909, _xlfn.SEQUENCE(LEN(G909)), 1)), _xlfn.SEQUENCE(LEN(G909)))) - 1)</f>
        <v>PE</v>
      </c>
      <c r="J909" s="129" t="str">
        <f>_xlfn.XLOOKUP(H909,'GK IFT SDM POSTCODES'!A:A,'GK IFT SDM POSTCODES'!B:B,"")</f>
        <v>Andrew Galpin</v>
      </c>
      <c r="K909" s="129"/>
    </row>
    <row r="910" spans="1:11" ht="17.25" x14ac:dyDescent="0.35">
      <c r="A910" s="131" t="s">
        <v>4160</v>
      </c>
      <c r="B910" s="128" t="s">
        <v>5066</v>
      </c>
      <c r="C910" s="129"/>
      <c r="D910" s="129"/>
      <c r="E910" s="129"/>
      <c r="F910" s="129"/>
      <c r="G910" s="128" t="s">
        <v>5118</v>
      </c>
      <c r="H910" s="131" t="str">
        <f t="shared" si="14"/>
        <v>PE36</v>
      </c>
      <c r="I910" s="132" t="str" cm="1">
        <f t="array" ref="I910">LEFT(G910, MIN(IF(ISNUMBER(--MID(G910, _xlfn.SEQUENCE(LEN(G910)), 1)), _xlfn.SEQUENCE(LEN(G910)))) - 1)</f>
        <v>PE</v>
      </c>
      <c r="J910" s="129" t="str">
        <f>_xlfn.XLOOKUP(H910,'GK IFT SDM POSTCODES'!A:A,'GK IFT SDM POSTCODES'!B:B,"")</f>
        <v>Andrew Galpin</v>
      </c>
      <c r="K910" s="129"/>
    </row>
    <row r="911" spans="1:11" ht="17.25" x14ac:dyDescent="0.35">
      <c r="A911" s="131" t="s">
        <v>4160</v>
      </c>
      <c r="B911" s="128" t="s">
        <v>5067</v>
      </c>
      <c r="C911" s="129"/>
      <c r="D911" s="129"/>
      <c r="E911" s="129"/>
      <c r="F911" s="129"/>
      <c r="G911" s="128" t="s">
        <v>5119</v>
      </c>
      <c r="H911" s="131" t="str">
        <f t="shared" si="14"/>
        <v>PE36</v>
      </c>
      <c r="I911" s="132" t="str" cm="1">
        <f t="array" ref="I911">LEFT(G911, MIN(IF(ISNUMBER(--MID(G911, _xlfn.SEQUENCE(LEN(G911)), 1)), _xlfn.SEQUENCE(LEN(G911)))) - 1)</f>
        <v>PE</v>
      </c>
      <c r="J911" s="129" t="str">
        <f>_xlfn.XLOOKUP(H911,'GK IFT SDM POSTCODES'!A:A,'GK IFT SDM POSTCODES'!B:B,"")</f>
        <v>Andrew Galpin</v>
      </c>
      <c r="K911" s="129"/>
    </row>
    <row r="912" spans="1:11" ht="17.25" x14ac:dyDescent="0.35">
      <c r="A912" s="131" t="s">
        <v>4160</v>
      </c>
      <c r="B912" s="128" t="s">
        <v>5068</v>
      </c>
      <c r="C912" s="129"/>
      <c r="D912" s="129"/>
      <c r="E912" s="129"/>
      <c r="F912" s="129"/>
      <c r="G912" s="128" t="s">
        <v>5120</v>
      </c>
      <c r="H912" s="131" t="str">
        <f t="shared" si="14"/>
        <v>PE36</v>
      </c>
      <c r="I912" s="132" t="str" cm="1">
        <f t="array" ref="I912">LEFT(G912, MIN(IF(ISNUMBER(--MID(G912, _xlfn.SEQUENCE(LEN(G912)), 1)), _xlfn.SEQUENCE(LEN(G912)))) - 1)</f>
        <v>PE</v>
      </c>
      <c r="J912" s="129" t="str">
        <f>_xlfn.XLOOKUP(H912,'GK IFT SDM POSTCODES'!A:A,'GK IFT SDM POSTCODES'!B:B,"")</f>
        <v>Andrew Galpin</v>
      </c>
      <c r="K912" s="129"/>
    </row>
    <row r="913" spans="1:11" ht="17.25" x14ac:dyDescent="0.35">
      <c r="A913" s="131" t="s">
        <v>4160</v>
      </c>
      <c r="B913" s="128" t="s">
        <v>5069</v>
      </c>
      <c r="C913" s="129"/>
      <c r="D913" s="129"/>
      <c r="E913" s="129"/>
      <c r="F913" s="129"/>
      <c r="G913" s="128" t="s">
        <v>5121</v>
      </c>
      <c r="H913" s="131" t="str">
        <f t="shared" si="14"/>
        <v>PE36</v>
      </c>
      <c r="I913" s="132" t="str" cm="1">
        <f t="array" ref="I913">LEFT(G913, MIN(IF(ISNUMBER(--MID(G913, _xlfn.SEQUENCE(LEN(G913)), 1)), _xlfn.SEQUENCE(LEN(G913)))) - 1)</f>
        <v>PE</v>
      </c>
      <c r="J913" s="129" t="str">
        <f>_xlfn.XLOOKUP(H913,'GK IFT SDM POSTCODES'!A:A,'GK IFT SDM POSTCODES'!B:B,"")</f>
        <v>Andrew Galpin</v>
      </c>
      <c r="K913" s="129"/>
    </row>
    <row r="914" spans="1:11" ht="17.25" x14ac:dyDescent="0.35">
      <c r="A914" s="131" t="s">
        <v>4160</v>
      </c>
      <c r="B914" s="128" t="s">
        <v>5070</v>
      </c>
      <c r="C914" s="129"/>
      <c r="D914" s="129"/>
      <c r="E914" s="129"/>
      <c r="F914" s="129"/>
      <c r="G914" s="128" t="s">
        <v>5122</v>
      </c>
      <c r="H914" s="131" t="str">
        <f t="shared" si="14"/>
        <v>PE36</v>
      </c>
      <c r="I914" s="132" t="str" cm="1">
        <f t="array" ref="I914">LEFT(G914, MIN(IF(ISNUMBER(--MID(G914, _xlfn.SEQUENCE(LEN(G914)), 1)), _xlfn.SEQUENCE(LEN(G914)))) - 1)</f>
        <v>PE</v>
      </c>
      <c r="J914" s="129" t="str">
        <f>_xlfn.XLOOKUP(H914,'GK IFT SDM POSTCODES'!A:A,'GK IFT SDM POSTCODES'!B:B,"")</f>
        <v>Andrew Galpin</v>
      </c>
      <c r="K914" s="129"/>
    </row>
    <row r="915" spans="1:11" ht="21" x14ac:dyDescent="0.35">
      <c r="A915" s="130" t="s">
        <v>4065</v>
      </c>
      <c r="B915" s="127" t="s">
        <v>192</v>
      </c>
      <c r="C915" s="127" t="s">
        <v>3328</v>
      </c>
      <c r="D915" s="133"/>
      <c r="E915" s="127" t="s">
        <v>1999</v>
      </c>
      <c r="F915" s="133"/>
      <c r="G915" s="127" t="s">
        <v>4068</v>
      </c>
      <c r="H915" s="131" t="str">
        <f t="shared" si="14"/>
        <v>PE36</v>
      </c>
      <c r="I915" s="132" t="str" cm="1">
        <f t="array" ref="I915">LEFT(G915, MIN(IF(ISNUMBER(--MID(G915, _xlfn.SEQUENCE(LEN(G915)), 1)), _xlfn.SEQUENCE(LEN(G915)))) - 1)</f>
        <v>PE</v>
      </c>
      <c r="J915" s="127" t="s">
        <v>4070</v>
      </c>
      <c r="K915" s="129"/>
    </row>
    <row r="916" spans="1:11" ht="17.25" x14ac:dyDescent="0.35">
      <c r="A916" s="131" t="s">
        <v>4160</v>
      </c>
      <c r="B916" s="128" t="s">
        <v>5071</v>
      </c>
      <c r="C916" s="129"/>
      <c r="D916" s="129"/>
      <c r="E916" s="129"/>
      <c r="F916" s="129"/>
      <c r="G916" s="128" t="s">
        <v>5123</v>
      </c>
      <c r="H916" s="131" t="str">
        <f t="shared" si="14"/>
        <v>PE36</v>
      </c>
      <c r="I916" s="132" t="str" cm="1">
        <f t="array" ref="I916">LEFT(G916, MIN(IF(ISNUMBER(--MID(G916, _xlfn.SEQUENCE(LEN(G916)), 1)), _xlfn.SEQUENCE(LEN(G916)))) - 1)</f>
        <v>PE</v>
      </c>
      <c r="J916" s="129" t="str">
        <f>_xlfn.XLOOKUP(H916,'GK IFT SDM POSTCODES'!A:A,'GK IFT SDM POSTCODES'!B:B,"")</f>
        <v>Andrew Galpin</v>
      </c>
      <c r="K916" s="129"/>
    </row>
    <row r="917" spans="1:11" ht="17.25" x14ac:dyDescent="0.35">
      <c r="A917" s="131" t="s">
        <v>7</v>
      </c>
      <c r="B917" s="134" t="s">
        <v>3799</v>
      </c>
      <c r="C917" s="134" t="s">
        <v>2965</v>
      </c>
      <c r="D917" s="129"/>
      <c r="E917" s="134" t="s">
        <v>2504</v>
      </c>
      <c r="F917" s="134" t="s">
        <v>55</v>
      </c>
      <c r="G917" s="134" t="s">
        <v>3824</v>
      </c>
      <c r="H917" s="131" t="str">
        <f t="shared" si="14"/>
        <v>PE37</v>
      </c>
      <c r="I917" s="132" t="str" cm="1">
        <f t="array" ref="I917">LEFT(G917, MIN(IF(ISNUMBER(--MID(G917, _xlfn.SEQUENCE(LEN(G917)), 1)), _xlfn.SEQUENCE(LEN(G917)))) - 1)</f>
        <v>PE</v>
      </c>
      <c r="J917" s="134" t="s">
        <v>3801</v>
      </c>
      <c r="K917" s="129"/>
    </row>
    <row r="918" spans="1:11" ht="17.25" x14ac:dyDescent="0.35">
      <c r="A918" s="131" t="s">
        <v>4160</v>
      </c>
      <c r="B918" s="128" t="s">
        <v>5072</v>
      </c>
      <c r="C918" s="129"/>
      <c r="D918" s="129"/>
      <c r="E918" s="129"/>
      <c r="F918" s="129"/>
      <c r="G918" s="128" t="s">
        <v>3824</v>
      </c>
      <c r="H918" s="131" t="str">
        <f t="shared" si="14"/>
        <v>PE37</v>
      </c>
      <c r="I918" s="132" t="str" cm="1">
        <f t="array" ref="I918">LEFT(G918, MIN(IF(ISNUMBER(--MID(G918, _xlfn.SEQUENCE(LEN(G918)), 1)), _xlfn.SEQUENCE(LEN(G918)))) - 1)</f>
        <v>PE</v>
      </c>
      <c r="J918" s="129" t="str">
        <f>_xlfn.XLOOKUP(H918,'GK IFT SDM POSTCODES'!A:A,'GK IFT SDM POSTCODES'!B:B,"")</f>
        <v>Adam Reditt</v>
      </c>
      <c r="K918" s="129"/>
    </row>
    <row r="919" spans="1:11" ht="17.25" x14ac:dyDescent="0.35">
      <c r="A919" s="131" t="s">
        <v>4160</v>
      </c>
      <c r="B919" s="128" t="s">
        <v>5073</v>
      </c>
      <c r="C919" s="129"/>
      <c r="D919" s="129"/>
      <c r="E919" s="129"/>
      <c r="F919" s="129"/>
      <c r="G919" s="128" t="s">
        <v>5124</v>
      </c>
      <c r="H919" s="131" t="str">
        <f t="shared" si="14"/>
        <v>PE37</v>
      </c>
      <c r="I919" s="132" t="str" cm="1">
        <f t="array" ref="I919">LEFT(G919, MIN(IF(ISNUMBER(--MID(G919, _xlfn.SEQUENCE(LEN(G919)), 1)), _xlfn.SEQUENCE(LEN(G919)))) - 1)</f>
        <v>PE</v>
      </c>
      <c r="J919" s="129" t="str">
        <f>_xlfn.XLOOKUP(H919,'GK IFT SDM POSTCODES'!A:A,'GK IFT SDM POSTCODES'!B:B,"")</f>
        <v>Adam Reditt</v>
      </c>
      <c r="K919" s="129"/>
    </row>
    <row r="920" spans="1:11" ht="17.25" x14ac:dyDescent="0.35">
      <c r="A920" s="131" t="s">
        <v>4160</v>
      </c>
      <c r="B920" s="128" t="s">
        <v>5074</v>
      </c>
      <c r="C920" s="129"/>
      <c r="D920" s="129"/>
      <c r="E920" s="129"/>
      <c r="F920" s="129"/>
      <c r="G920" s="128" t="s">
        <v>5125</v>
      </c>
      <c r="H920" s="131" t="str">
        <f t="shared" si="14"/>
        <v>PE37</v>
      </c>
      <c r="I920" s="132" t="str" cm="1">
        <f t="array" ref="I920">LEFT(G920, MIN(IF(ISNUMBER(--MID(G920, _xlfn.SEQUENCE(LEN(G920)), 1)), _xlfn.SEQUENCE(LEN(G920)))) - 1)</f>
        <v>PE</v>
      </c>
      <c r="J920" s="129" t="str">
        <f>_xlfn.XLOOKUP(H920,'GK IFT SDM POSTCODES'!A:A,'GK IFT SDM POSTCODES'!B:B,"")</f>
        <v>Adam Reditt</v>
      </c>
      <c r="K920" s="129"/>
    </row>
    <row r="921" spans="1:11" ht="17.25" x14ac:dyDescent="0.35">
      <c r="A921" s="131" t="s">
        <v>4160</v>
      </c>
      <c r="B921" s="128" t="s">
        <v>5075</v>
      </c>
      <c r="C921" s="129"/>
      <c r="D921" s="129"/>
      <c r="E921" s="129"/>
      <c r="F921" s="129"/>
      <c r="G921" s="128" t="s">
        <v>5126</v>
      </c>
      <c r="H921" s="131" t="str">
        <f t="shared" si="14"/>
        <v>PE37</v>
      </c>
      <c r="I921" s="132" t="str" cm="1">
        <f t="array" ref="I921">LEFT(G921, MIN(IF(ISNUMBER(--MID(G921, _xlfn.SEQUENCE(LEN(G921)), 1)), _xlfn.SEQUENCE(LEN(G921)))) - 1)</f>
        <v>PE</v>
      </c>
      <c r="J921" s="129" t="str">
        <f>_xlfn.XLOOKUP(H921,'GK IFT SDM POSTCODES'!A:A,'GK IFT SDM POSTCODES'!B:B,"")</f>
        <v>Adam Reditt</v>
      </c>
      <c r="K921" s="129"/>
    </row>
    <row r="922" spans="1:11" ht="17.25" x14ac:dyDescent="0.35">
      <c r="A922" s="131" t="s">
        <v>4160</v>
      </c>
      <c r="B922" s="128" t="s">
        <v>5076</v>
      </c>
      <c r="C922" s="129"/>
      <c r="D922" s="129"/>
      <c r="E922" s="129"/>
      <c r="F922" s="129"/>
      <c r="G922" s="128" t="s">
        <v>5127</v>
      </c>
      <c r="H922" s="131" t="str">
        <f t="shared" si="14"/>
        <v>PE37</v>
      </c>
      <c r="I922" s="132" t="str" cm="1">
        <f t="array" ref="I922">LEFT(G922, MIN(IF(ISNUMBER(--MID(G922, _xlfn.SEQUENCE(LEN(G922)), 1)), _xlfn.SEQUENCE(LEN(G922)))) - 1)</f>
        <v>PE</v>
      </c>
      <c r="J922" s="129" t="str">
        <f>_xlfn.XLOOKUP(H922,'GK IFT SDM POSTCODES'!A:A,'GK IFT SDM POSTCODES'!B:B,"")</f>
        <v>Adam Reditt</v>
      </c>
      <c r="K922" s="129"/>
    </row>
    <row r="923" spans="1:11" ht="17.25" x14ac:dyDescent="0.35">
      <c r="A923" s="131" t="s">
        <v>4160</v>
      </c>
      <c r="B923" s="128" t="s">
        <v>5077</v>
      </c>
      <c r="C923" s="129"/>
      <c r="D923" s="129"/>
      <c r="E923" s="129"/>
      <c r="F923" s="129"/>
      <c r="G923" s="128" t="s">
        <v>5128</v>
      </c>
      <c r="H923" s="131" t="str">
        <f t="shared" si="14"/>
        <v>PE37</v>
      </c>
      <c r="I923" s="132" t="str" cm="1">
        <f t="array" ref="I923">LEFT(G923, MIN(IF(ISNUMBER(--MID(G923, _xlfn.SEQUENCE(LEN(G923)), 1)), _xlfn.SEQUENCE(LEN(G923)))) - 1)</f>
        <v>PE</v>
      </c>
      <c r="J923" s="129" t="str">
        <f>_xlfn.XLOOKUP(H923,'GK IFT SDM POSTCODES'!A:A,'GK IFT SDM POSTCODES'!B:B,"")</f>
        <v>Adam Reditt</v>
      </c>
      <c r="K923" s="129"/>
    </row>
  </sheetData>
  <autoFilter ref="A1:L923" xr:uid="{499FB891-9B3E-43D8-ACCD-7A2E91C0F6C9}"/>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C4DA45-0907-4F8E-B059-4E6D9E3542EC}">
  <dimension ref="A1:I2849"/>
  <sheetViews>
    <sheetView topLeftCell="A1675" workbookViewId="0">
      <selection sqref="A1:XFD1"/>
    </sheetView>
  </sheetViews>
  <sheetFormatPr defaultRowHeight="15" x14ac:dyDescent="0.25"/>
  <cols>
    <col min="1" max="1" width="9.5703125" bestFit="1" customWidth="1"/>
    <col min="2" max="2" width="17.85546875" bestFit="1" customWidth="1"/>
    <col min="3" max="3" width="10.140625" bestFit="1" customWidth="1"/>
    <col min="4" max="4" width="34.85546875" bestFit="1" customWidth="1"/>
    <col min="5" max="5" width="14.140625" bestFit="1" customWidth="1"/>
    <col min="6" max="6" width="30.42578125" bestFit="1" customWidth="1"/>
    <col min="7" max="7" width="13.7109375" bestFit="1" customWidth="1"/>
    <col min="8" max="8" width="35.42578125" bestFit="1" customWidth="1"/>
    <col min="9" max="9" width="22" bestFit="1" customWidth="1"/>
  </cols>
  <sheetData>
    <row r="1" spans="1:9" x14ac:dyDescent="0.25">
      <c r="A1" s="138" t="s">
        <v>5261</v>
      </c>
      <c r="B1" s="138" t="s">
        <v>3639</v>
      </c>
      <c r="C1" s="138" t="s">
        <v>5262</v>
      </c>
      <c r="D1" s="138" t="s">
        <v>5263</v>
      </c>
      <c r="E1" s="138" t="s">
        <v>5264</v>
      </c>
      <c r="F1" s="138" t="s">
        <v>5265</v>
      </c>
      <c r="G1" s="138" t="s">
        <v>5266</v>
      </c>
      <c r="H1" s="138" t="s">
        <v>5267</v>
      </c>
      <c r="I1" s="138" t="s">
        <v>239</v>
      </c>
    </row>
    <row r="2" spans="1:9" x14ac:dyDescent="0.25">
      <c r="A2" s="125" t="s">
        <v>2462</v>
      </c>
      <c r="B2" s="125" t="s">
        <v>5268</v>
      </c>
      <c r="C2" s="125">
        <v>708</v>
      </c>
      <c r="D2" s="125" t="s">
        <v>5269</v>
      </c>
      <c r="E2" s="125" t="s">
        <v>5270</v>
      </c>
      <c r="F2" s="125" t="s">
        <v>5271</v>
      </c>
      <c r="G2" s="125" t="s">
        <v>5270</v>
      </c>
      <c r="H2" s="125" t="s">
        <v>5272</v>
      </c>
      <c r="I2" s="125" t="s">
        <v>5273</v>
      </c>
    </row>
    <row r="3" spans="1:9" x14ac:dyDescent="0.25">
      <c r="A3" s="125" t="s">
        <v>2047</v>
      </c>
      <c r="B3" s="125" t="s">
        <v>5268</v>
      </c>
      <c r="C3" s="125">
        <v>708</v>
      </c>
      <c r="D3" s="125" t="s">
        <v>5269</v>
      </c>
      <c r="E3" s="125" t="s">
        <v>5270</v>
      </c>
      <c r="F3" s="125" t="s">
        <v>5271</v>
      </c>
      <c r="G3" s="125" t="s">
        <v>5270</v>
      </c>
      <c r="H3" s="125" t="s">
        <v>5272</v>
      </c>
      <c r="I3" s="125" t="s">
        <v>5273</v>
      </c>
    </row>
    <row r="4" spans="1:9" x14ac:dyDescent="0.25">
      <c r="A4" s="125" t="s">
        <v>3403</v>
      </c>
      <c r="B4" s="125" t="s">
        <v>5268</v>
      </c>
      <c r="C4" s="125">
        <v>708</v>
      </c>
      <c r="D4" s="125" t="s">
        <v>5269</v>
      </c>
      <c r="E4" s="125" t="s">
        <v>5270</v>
      </c>
      <c r="F4" s="125" t="s">
        <v>5271</v>
      </c>
      <c r="G4" s="125" t="s">
        <v>5270</v>
      </c>
      <c r="H4" s="125" t="s">
        <v>5272</v>
      </c>
      <c r="I4" s="125" t="s">
        <v>5273</v>
      </c>
    </row>
    <row r="5" spans="1:9" x14ac:dyDescent="0.25">
      <c r="A5" s="125" t="s">
        <v>5274</v>
      </c>
      <c r="B5" s="125" t="s">
        <v>5268</v>
      </c>
      <c r="C5" s="125">
        <v>708</v>
      </c>
      <c r="D5" s="125" t="s">
        <v>5269</v>
      </c>
      <c r="E5" s="125" t="s">
        <v>5270</v>
      </c>
      <c r="F5" s="125" t="s">
        <v>5271</v>
      </c>
      <c r="G5" s="125" t="s">
        <v>5270</v>
      </c>
      <c r="H5" s="125" t="s">
        <v>1102</v>
      </c>
      <c r="I5" s="125" t="s">
        <v>1102</v>
      </c>
    </row>
    <row r="6" spans="1:9" x14ac:dyDescent="0.25">
      <c r="A6" s="125" t="s">
        <v>5275</v>
      </c>
      <c r="B6" s="125" t="s">
        <v>5268</v>
      </c>
      <c r="C6" s="125">
        <v>708</v>
      </c>
      <c r="D6" s="125" t="s">
        <v>5269</v>
      </c>
      <c r="E6" s="125" t="s">
        <v>5270</v>
      </c>
      <c r="F6" s="125" t="s">
        <v>5271</v>
      </c>
      <c r="G6" s="125" t="s">
        <v>5270</v>
      </c>
      <c r="H6" s="125" t="s">
        <v>5272</v>
      </c>
      <c r="I6" s="125" t="s">
        <v>5273</v>
      </c>
    </row>
    <row r="7" spans="1:9" x14ac:dyDescent="0.25">
      <c r="A7" s="125" t="s">
        <v>5276</v>
      </c>
      <c r="B7" s="125" t="s">
        <v>5268</v>
      </c>
      <c r="C7" s="125">
        <v>708</v>
      </c>
      <c r="D7" s="125" t="s">
        <v>5269</v>
      </c>
      <c r="E7" s="125" t="s">
        <v>5270</v>
      </c>
      <c r="F7" s="125" t="s">
        <v>5271</v>
      </c>
      <c r="G7" s="125" t="s">
        <v>5270</v>
      </c>
      <c r="H7" s="125" t="s">
        <v>5272</v>
      </c>
      <c r="I7" s="125" t="s">
        <v>5273</v>
      </c>
    </row>
    <row r="8" spans="1:9" x14ac:dyDescent="0.25">
      <c r="A8" s="125" t="s">
        <v>3401</v>
      </c>
      <c r="B8" s="125" t="s">
        <v>5268</v>
      </c>
      <c r="C8" s="125">
        <v>708</v>
      </c>
      <c r="D8" s="125" t="s">
        <v>5269</v>
      </c>
      <c r="E8" s="125" t="s">
        <v>5270</v>
      </c>
      <c r="F8" s="125" t="s">
        <v>5271</v>
      </c>
      <c r="G8" s="125" t="s">
        <v>5270</v>
      </c>
      <c r="H8" s="125" t="s">
        <v>5272</v>
      </c>
      <c r="I8" s="125" t="s">
        <v>5273</v>
      </c>
    </row>
    <row r="9" spans="1:9" x14ac:dyDescent="0.25">
      <c r="A9" s="125" t="s">
        <v>3402</v>
      </c>
      <c r="B9" s="125" t="s">
        <v>5268</v>
      </c>
      <c r="C9" s="125">
        <v>708</v>
      </c>
      <c r="D9" s="125" t="s">
        <v>5269</v>
      </c>
      <c r="E9" s="125" t="s">
        <v>5270</v>
      </c>
      <c r="F9" s="125" t="s">
        <v>5271</v>
      </c>
      <c r="G9" s="125" t="s">
        <v>5270</v>
      </c>
      <c r="H9" s="125" t="s">
        <v>5272</v>
      </c>
      <c r="I9" s="125" t="s">
        <v>5273</v>
      </c>
    </row>
    <row r="10" spans="1:9" x14ac:dyDescent="0.25">
      <c r="A10" s="125" t="s">
        <v>3542</v>
      </c>
      <c r="B10" s="125" t="s">
        <v>5268</v>
      </c>
      <c r="C10" s="125">
        <v>708</v>
      </c>
      <c r="D10" s="125" t="s">
        <v>5269</v>
      </c>
      <c r="E10" s="125" t="s">
        <v>5270</v>
      </c>
      <c r="F10" s="125" t="s">
        <v>5271</v>
      </c>
      <c r="G10" s="125" t="s">
        <v>5270</v>
      </c>
      <c r="H10" s="125" t="s">
        <v>5272</v>
      </c>
      <c r="I10" s="125" t="s">
        <v>5273</v>
      </c>
    </row>
    <row r="11" spans="1:9" x14ac:dyDescent="0.25">
      <c r="A11" s="125" t="s">
        <v>3060</v>
      </c>
      <c r="B11" s="125" t="s">
        <v>5268</v>
      </c>
      <c r="C11" s="125">
        <v>708</v>
      </c>
      <c r="D11" s="125" t="s">
        <v>5269</v>
      </c>
      <c r="E11" s="125" t="s">
        <v>5270</v>
      </c>
      <c r="F11" s="125" t="s">
        <v>5271</v>
      </c>
      <c r="G11" s="125" t="s">
        <v>5270</v>
      </c>
      <c r="H11" s="125" t="s">
        <v>5272</v>
      </c>
      <c r="I11" s="125" t="s">
        <v>5273</v>
      </c>
    </row>
    <row r="12" spans="1:9" x14ac:dyDescent="0.25">
      <c r="A12" s="125" t="s">
        <v>1551</v>
      </c>
      <c r="B12" s="125" t="s">
        <v>5268</v>
      </c>
      <c r="C12" s="125">
        <v>708</v>
      </c>
      <c r="D12" s="125" t="s">
        <v>5269</v>
      </c>
      <c r="E12" s="125" t="s">
        <v>5270</v>
      </c>
      <c r="F12" s="125" t="s">
        <v>5271</v>
      </c>
      <c r="G12" s="125" t="s">
        <v>5270</v>
      </c>
      <c r="H12" s="125" t="s">
        <v>5272</v>
      </c>
      <c r="I12" s="125" t="s">
        <v>5273</v>
      </c>
    </row>
    <row r="13" spans="1:9" x14ac:dyDescent="0.25">
      <c r="A13" s="125" t="s">
        <v>1448</v>
      </c>
      <c r="B13" s="125" t="s">
        <v>5268</v>
      </c>
      <c r="C13" s="125">
        <v>708</v>
      </c>
      <c r="D13" s="125" t="s">
        <v>5269</v>
      </c>
      <c r="E13" s="125" t="s">
        <v>5270</v>
      </c>
      <c r="F13" s="125" t="s">
        <v>5271</v>
      </c>
      <c r="G13" s="125" t="s">
        <v>5270</v>
      </c>
      <c r="H13" s="125" t="s">
        <v>5272</v>
      </c>
      <c r="I13" s="125" t="s">
        <v>5273</v>
      </c>
    </row>
    <row r="14" spans="1:9" x14ac:dyDescent="0.25">
      <c r="A14" s="125" t="s">
        <v>5277</v>
      </c>
      <c r="B14" s="125" t="s">
        <v>5268</v>
      </c>
      <c r="C14" s="125">
        <v>708</v>
      </c>
      <c r="D14" s="125" t="s">
        <v>5269</v>
      </c>
      <c r="E14" s="125" t="s">
        <v>5270</v>
      </c>
      <c r="F14" s="125" t="s">
        <v>5271</v>
      </c>
      <c r="G14" s="125" t="s">
        <v>5270</v>
      </c>
      <c r="H14" s="125" t="s">
        <v>5273</v>
      </c>
      <c r="I14" s="125" t="s">
        <v>5273</v>
      </c>
    </row>
    <row r="15" spans="1:9" x14ac:dyDescent="0.25">
      <c r="A15" s="125" t="s">
        <v>5278</v>
      </c>
      <c r="B15" s="125" t="s">
        <v>5268</v>
      </c>
      <c r="C15" s="125">
        <v>708</v>
      </c>
      <c r="D15" s="125" t="s">
        <v>5269</v>
      </c>
      <c r="E15" s="125" t="s">
        <v>5270</v>
      </c>
      <c r="F15" s="125" t="s">
        <v>5271</v>
      </c>
      <c r="G15" s="125" t="s">
        <v>5270</v>
      </c>
      <c r="H15" s="125" t="s">
        <v>5273</v>
      </c>
      <c r="I15" s="125" t="s">
        <v>5273</v>
      </c>
    </row>
    <row r="16" spans="1:9" x14ac:dyDescent="0.25">
      <c r="A16" s="125" t="s">
        <v>3009</v>
      </c>
      <c r="B16" s="125" t="s">
        <v>5268</v>
      </c>
      <c r="C16" s="125">
        <v>708</v>
      </c>
      <c r="D16" s="125" t="s">
        <v>5269</v>
      </c>
      <c r="E16" s="125" t="s">
        <v>5270</v>
      </c>
      <c r="F16" s="125" t="s">
        <v>5271</v>
      </c>
      <c r="G16" s="125" t="s">
        <v>5270</v>
      </c>
      <c r="H16" s="125" t="s">
        <v>5273</v>
      </c>
      <c r="I16" s="125" t="s">
        <v>5273</v>
      </c>
    </row>
    <row r="17" spans="1:9" x14ac:dyDescent="0.25">
      <c r="A17" s="125" t="s">
        <v>5279</v>
      </c>
      <c r="B17" s="125" t="s">
        <v>5268</v>
      </c>
      <c r="C17" s="125">
        <v>708</v>
      </c>
      <c r="D17" s="125" t="s">
        <v>5269</v>
      </c>
      <c r="E17" s="125" t="s">
        <v>5270</v>
      </c>
      <c r="F17" s="125" t="s">
        <v>5271</v>
      </c>
      <c r="G17" s="125" t="s">
        <v>5270</v>
      </c>
      <c r="H17" s="125" t="s">
        <v>5273</v>
      </c>
      <c r="I17" s="125" t="s">
        <v>5273</v>
      </c>
    </row>
    <row r="18" spans="1:9" x14ac:dyDescent="0.25">
      <c r="A18" s="125" t="s">
        <v>5280</v>
      </c>
      <c r="B18" s="125" t="s">
        <v>5268</v>
      </c>
      <c r="C18" s="125">
        <v>708</v>
      </c>
      <c r="D18" s="125" t="s">
        <v>5269</v>
      </c>
      <c r="E18" s="125" t="s">
        <v>5270</v>
      </c>
      <c r="F18" s="125" t="s">
        <v>5271</v>
      </c>
      <c r="G18" s="125" t="s">
        <v>5270</v>
      </c>
      <c r="H18" s="125" t="s">
        <v>5273</v>
      </c>
      <c r="I18" s="125" t="s">
        <v>5273</v>
      </c>
    </row>
    <row r="19" spans="1:9" x14ac:dyDescent="0.25">
      <c r="A19" s="125" t="s">
        <v>5281</v>
      </c>
      <c r="B19" s="125" t="s">
        <v>5268</v>
      </c>
      <c r="C19" s="125">
        <v>708</v>
      </c>
      <c r="D19" s="125" t="s">
        <v>5269</v>
      </c>
      <c r="E19" s="125" t="s">
        <v>5270</v>
      </c>
      <c r="F19" s="125" t="s">
        <v>5271</v>
      </c>
      <c r="G19" s="125" t="s">
        <v>5270</v>
      </c>
      <c r="H19" s="125" t="s">
        <v>5273</v>
      </c>
      <c r="I19" s="125" t="s">
        <v>5273</v>
      </c>
    </row>
    <row r="20" spans="1:9" x14ac:dyDescent="0.25">
      <c r="A20" s="125" t="s">
        <v>5282</v>
      </c>
      <c r="B20" s="125" t="s">
        <v>5268</v>
      </c>
      <c r="C20" s="125">
        <v>708</v>
      </c>
      <c r="D20" s="125" t="s">
        <v>5269</v>
      </c>
      <c r="E20" s="125" t="s">
        <v>5270</v>
      </c>
      <c r="F20" s="125" t="s">
        <v>5271</v>
      </c>
      <c r="G20" s="125" t="s">
        <v>5270</v>
      </c>
      <c r="H20" s="125" t="s">
        <v>1102</v>
      </c>
      <c r="I20" s="125" t="s">
        <v>1102</v>
      </c>
    </row>
    <row r="21" spans="1:9" x14ac:dyDescent="0.25">
      <c r="A21" s="125" t="s">
        <v>5283</v>
      </c>
      <c r="B21" s="125" t="s">
        <v>5268</v>
      </c>
      <c r="C21" s="125">
        <v>708</v>
      </c>
      <c r="D21" s="125" t="s">
        <v>5269</v>
      </c>
      <c r="E21" s="125" t="s">
        <v>5270</v>
      </c>
      <c r="F21" s="125" t="s">
        <v>5271</v>
      </c>
      <c r="G21" s="125" t="s">
        <v>5270</v>
      </c>
      <c r="H21" s="125" t="s">
        <v>5284</v>
      </c>
      <c r="I21" s="125" t="s">
        <v>5284</v>
      </c>
    </row>
    <row r="22" spans="1:9" x14ac:dyDescent="0.25">
      <c r="A22" s="125" t="s">
        <v>5285</v>
      </c>
      <c r="B22" s="125" t="s">
        <v>5268</v>
      </c>
      <c r="C22" s="125">
        <v>708</v>
      </c>
      <c r="D22" s="125" t="s">
        <v>5269</v>
      </c>
      <c r="E22" s="125" t="s">
        <v>5270</v>
      </c>
      <c r="F22" s="125" t="s">
        <v>5271</v>
      </c>
      <c r="G22" s="125" t="s">
        <v>5270</v>
      </c>
      <c r="H22" s="125" t="s">
        <v>5284</v>
      </c>
      <c r="I22" s="125" t="s">
        <v>5284</v>
      </c>
    </row>
    <row r="23" spans="1:9" x14ac:dyDescent="0.25">
      <c r="A23" s="125" t="s">
        <v>2751</v>
      </c>
      <c r="B23" s="125" t="s">
        <v>5268</v>
      </c>
      <c r="C23" s="125">
        <v>708</v>
      </c>
      <c r="D23" s="125" t="s">
        <v>5269</v>
      </c>
      <c r="E23" s="125" t="s">
        <v>5270</v>
      </c>
      <c r="F23" s="125" t="s">
        <v>5271</v>
      </c>
      <c r="G23" s="125" t="s">
        <v>5270</v>
      </c>
      <c r="H23" s="125" t="s">
        <v>5273</v>
      </c>
      <c r="I23" s="125" t="s">
        <v>5273</v>
      </c>
    </row>
    <row r="24" spans="1:9" x14ac:dyDescent="0.25">
      <c r="A24" s="125" t="s">
        <v>2638</v>
      </c>
      <c r="B24" s="125" t="s">
        <v>5268</v>
      </c>
      <c r="C24" s="125">
        <v>708</v>
      </c>
      <c r="D24" s="125" t="s">
        <v>5269</v>
      </c>
      <c r="E24" s="125" t="s">
        <v>5270</v>
      </c>
      <c r="F24" s="125" t="s">
        <v>5271</v>
      </c>
      <c r="G24" s="125" t="s">
        <v>5270</v>
      </c>
      <c r="H24" s="125" t="s">
        <v>5273</v>
      </c>
      <c r="I24" s="125" t="s">
        <v>5273</v>
      </c>
    </row>
    <row r="25" spans="1:9" x14ac:dyDescent="0.25">
      <c r="A25" s="125" t="s">
        <v>5286</v>
      </c>
      <c r="B25" s="125" t="s">
        <v>5268</v>
      </c>
      <c r="C25" s="125">
        <v>708</v>
      </c>
      <c r="D25" s="125" t="s">
        <v>5269</v>
      </c>
      <c r="E25" s="125" t="s">
        <v>5270</v>
      </c>
      <c r="F25" s="125" t="s">
        <v>5271</v>
      </c>
      <c r="G25" s="125" t="s">
        <v>5270</v>
      </c>
      <c r="H25" s="125" t="s">
        <v>5273</v>
      </c>
      <c r="I25" s="125" t="s">
        <v>5273</v>
      </c>
    </row>
    <row r="26" spans="1:9" x14ac:dyDescent="0.25">
      <c r="A26" s="125" t="s">
        <v>5287</v>
      </c>
      <c r="B26" s="125" t="s">
        <v>5268</v>
      </c>
      <c r="C26" s="125">
        <v>708</v>
      </c>
      <c r="D26" s="125" t="s">
        <v>5269</v>
      </c>
      <c r="E26" s="125" t="s">
        <v>5270</v>
      </c>
      <c r="F26" s="125" t="s">
        <v>5271</v>
      </c>
      <c r="G26" s="125" t="s">
        <v>5270</v>
      </c>
      <c r="H26" s="125" t="s">
        <v>5273</v>
      </c>
      <c r="I26" s="125" t="s">
        <v>5273</v>
      </c>
    </row>
    <row r="27" spans="1:9" x14ac:dyDescent="0.25">
      <c r="A27" s="125" t="s">
        <v>5288</v>
      </c>
      <c r="B27" s="125" t="s">
        <v>5268</v>
      </c>
      <c r="C27" s="125">
        <v>708</v>
      </c>
      <c r="D27" s="125" t="s">
        <v>5269</v>
      </c>
      <c r="E27" s="125" t="s">
        <v>5270</v>
      </c>
      <c r="F27" s="125" t="s">
        <v>5271</v>
      </c>
      <c r="G27" s="125" t="s">
        <v>5270</v>
      </c>
      <c r="H27" s="125" t="s">
        <v>5273</v>
      </c>
      <c r="I27" s="125" t="s">
        <v>5273</v>
      </c>
    </row>
    <row r="28" spans="1:9" x14ac:dyDescent="0.25">
      <c r="A28" s="125" t="s">
        <v>3304</v>
      </c>
      <c r="B28" s="125" t="s">
        <v>5268</v>
      </c>
      <c r="C28" s="125">
        <v>708</v>
      </c>
      <c r="D28" s="125" t="s">
        <v>5269</v>
      </c>
      <c r="E28" s="125" t="s">
        <v>5270</v>
      </c>
      <c r="F28" s="125" t="s">
        <v>5271</v>
      </c>
      <c r="G28" s="125" t="s">
        <v>5270</v>
      </c>
      <c r="H28" s="125" t="s">
        <v>5273</v>
      </c>
      <c r="I28" s="125" t="s">
        <v>5273</v>
      </c>
    </row>
    <row r="29" spans="1:9" x14ac:dyDescent="0.25">
      <c r="A29" s="125" t="s">
        <v>2182</v>
      </c>
      <c r="B29" s="125" t="s">
        <v>5268</v>
      </c>
      <c r="C29" s="125">
        <v>708</v>
      </c>
      <c r="D29" s="125" t="s">
        <v>5269</v>
      </c>
      <c r="E29" s="125" t="s">
        <v>5270</v>
      </c>
      <c r="F29" s="125" t="s">
        <v>5271</v>
      </c>
      <c r="G29" s="125" t="s">
        <v>5270</v>
      </c>
      <c r="H29" s="125" t="s">
        <v>5273</v>
      </c>
      <c r="I29" s="125" t="s">
        <v>5273</v>
      </c>
    </row>
    <row r="30" spans="1:9" x14ac:dyDescent="0.25">
      <c r="A30" s="125" t="s">
        <v>5289</v>
      </c>
      <c r="B30" s="125" t="s">
        <v>5268</v>
      </c>
      <c r="C30" s="125">
        <v>708</v>
      </c>
      <c r="D30" s="125" t="s">
        <v>5269</v>
      </c>
      <c r="E30" s="125" t="s">
        <v>5270</v>
      </c>
      <c r="F30" s="125" t="s">
        <v>5271</v>
      </c>
      <c r="G30" s="125" t="s">
        <v>5270</v>
      </c>
      <c r="H30" s="125" t="s">
        <v>5273</v>
      </c>
      <c r="I30" s="125" t="s">
        <v>5273</v>
      </c>
    </row>
    <row r="31" spans="1:9" x14ac:dyDescent="0.25">
      <c r="A31" s="125" t="s">
        <v>5290</v>
      </c>
      <c r="B31" s="125" t="s">
        <v>5268</v>
      </c>
      <c r="C31" s="125">
        <v>708</v>
      </c>
      <c r="D31" s="125" t="s">
        <v>5269</v>
      </c>
      <c r="E31" s="125" t="s">
        <v>5270</v>
      </c>
      <c r="F31" s="125" t="s">
        <v>5271</v>
      </c>
      <c r="G31" s="125" t="s">
        <v>5270</v>
      </c>
      <c r="H31" s="125" t="s">
        <v>5273</v>
      </c>
      <c r="I31" s="125" t="s">
        <v>5273</v>
      </c>
    </row>
    <row r="32" spans="1:9" x14ac:dyDescent="0.25">
      <c r="A32" s="125" t="s">
        <v>3568</v>
      </c>
      <c r="B32" s="125" t="s">
        <v>5268</v>
      </c>
      <c r="C32" s="125">
        <v>708</v>
      </c>
      <c r="D32" s="125" t="s">
        <v>5269</v>
      </c>
      <c r="E32" s="125" t="s">
        <v>5270</v>
      </c>
      <c r="F32" s="125" t="s">
        <v>5271</v>
      </c>
      <c r="G32" s="125" t="s">
        <v>5270</v>
      </c>
      <c r="H32" s="125" t="s">
        <v>5273</v>
      </c>
      <c r="I32" s="125" t="s">
        <v>5273</v>
      </c>
    </row>
    <row r="33" spans="1:9" x14ac:dyDescent="0.25">
      <c r="A33" s="125" t="s">
        <v>5291</v>
      </c>
      <c r="B33" s="125" t="s">
        <v>5268</v>
      </c>
      <c r="C33" s="125">
        <v>708</v>
      </c>
      <c r="D33" s="125" t="s">
        <v>5269</v>
      </c>
      <c r="E33" s="125" t="s">
        <v>5270</v>
      </c>
      <c r="F33" s="125" t="s">
        <v>5271</v>
      </c>
      <c r="G33" s="125" t="s">
        <v>5270</v>
      </c>
      <c r="H33" s="125" t="s">
        <v>5284</v>
      </c>
      <c r="I33" s="125" t="s">
        <v>5284</v>
      </c>
    </row>
    <row r="34" spans="1:9" x14ac:dyDescent="0.25">
      <c r="A34" s="125" t="s">
        <v>5292</v>
      </c>
      <c r="B34" s="125" t="s">
        <v>5268</v>
      </c>
      <c r="C34" s="125">
        <v>708</v>
      </c>
      <c r="D34" s="125" t="s">
        <v>5269</v>
      </c>
      <c r="E34" s="125" t="s">
        <v>5270</v>
      </c>
      <c r="F34" s="125" t="s">
        <v>5271</v>
      </c>
      <c r="G34" s="125" t="s">
        <v>5270</v>
      </c>
      <c r="H34" s="125" t="s">
        <v>5284</v>
      </c>
      <c r="I34" s="125" t="s">
        <v>5284</v>
      </c>
    </row>
    <row r="35" spans="1:9" x14ac:dyDescent="0.25">
      <c r="A35" s="125" t="s">
        <v>1719</v>
      </c>
      <c r="B35" s="125" t="s">
        <v>5293</v>
      </c>
      <c r="C35" s="125">
        <v>228</v>
      </c>
      <c r="D35" s="125" t="s">
        <v>5294</v>
      </c>
      <c r="E35" s="125" t="s">
        <v>5295</v>
      </c>
      <c r="F35" s="125" t="s">
        <v>5296</v>
      </c>
      <c r="G35" s="125" t="s">
        <v>5297</v>
      </c>
      <c r="H35" s="125" t="s">
        <v>2286</v>
      </c>
      <c r="I35" s="125" t="s">
        <v>3482</v>
      </c>
    </row>
    <row r="36" spans="1:9" x14ac:dyDescent="0.25">
      <c r="A36" s="125" t="s">
        <v>3306</v>
      </c>
      <c r="B36" s="125" t="s">
        <v>5293</v>
      </c>
      <c r="C36" s="125">
        <v>228</v>
      </c>
      <c r="D36" s="125" t="s">
        <v>5294</v>
      </c>
      <c r="E36" s="125" t="s">
        <v>5295</v>
      </c>
      <c r="F36" s="125" t="s">
        <v>5296</v>
      </c>
      <c r="G36" s="125" t="s">
        <v>5297</v>
      </c>
      <c r="H36" s="125" t="s">
        <v>371</v>
      </c>
      <c r="I36" s="125" t="s">
        <v>371</v>
      </c>
    </row>
    <row r="37" spans="1:9" x14ac:dyDescent="0.25">
      <c r="A37" s="125" t="s">
        <v>2525</v>
      </c>
      <c r="B37" s="125" t="s">
        <v>5293</v>
      </c>
      <c r="C37" s="125">
        <v>228</v>
      </c>
      <c r="D37" s="125" t="s">
        <v>5294</v>
      </c>
      <c r="E37" s="125" t="s">
        <v>5295</v>
      </c>
      <c r="F37" s="125" t="s">
        <v>5296</v>
      </c>
      <c r="G37" s="125" t="s">
        <v>5297</v>
      </c>
      <c r="H37" s="125" t="s">
        <v>2286</v>
      </c>
      <c r="I37" s="125" t="s">
        <v>3482</v>
      </c>
    </row>
    <row r="38" spans="1:9" x14ac:dyDescent="0.25">
      <c r="A38" s="125" t="s">
        <v>2427</v>
      </c>
      <c r="B38" s="125" t="s">
        <v>5293</v>
      </c>
      <c r="C38" s="125">
        <v>228</v>
      </c>
      <c r="D38" s="125" t="s">
        <v>5294</v>
      </c>
      <c r="E38" s="125" t="s">
        <v>5295</v>
      </c>
      <c r="F38" s="125" t="s">
        <v>5296</v>
      </c>
      <c r="G38" s="125" t="s">
        <v>5297</v>
      </c>
      <c r="H38" s="125" t="s">
        <v>2286</v>
      </c>
      <c r="I38" s="125" t="s">
        <v>3482</v>
      </c>
    </row>
    <row r="39" spans="1:9" x14ac:dyDescent="0.25">
      <c r="A39" s="125" t="s">
        <v>2605</v>
      </c>
      <c r="B39" s="125" t="s">
        <v>5293</v>
      </c>
      <c r="C39" s="125">
        <v>228</v>
      </c>
      <c r="D39" s="125" t="s">
        <v>5294</v>
      </c>
      <c r="E39" s="125" t="s">
        <v>5295</v>
      </c>
      <c r="F39" s="125" t="s">
        <v>5296</v>
      </c>
      <c r="G39" s="125" t="s">
        <v>5297</v>
      </c>
      <c r="H39" s="125" t="s">
        <v>2286</v>
      </c>
      <c r="I39" s="125" t="s">
        <v>3482</v>
      </c>
    </row>
    <row r="40" spans="1:9" x14ac:dyDescent="0.25">
      <c r="A40" s="125" t="s">
        <v>1720</v>
      </c>
      <c r="B40" s="125" t="s">
        <v>5293</v>
      </c>
      <c r="C40" s="125">
        <v>228</v>
      </c>
      <c r="D40" s="125" t="s">
        <v>5294</v>
      </c>
      <c r="E40" s="125" t="s">
        <v>5295</v>
      </c>
      <c r="F40" s="125" t="s">
        <v>5296</v>
      </c>
      <c r="G40" s="125" t="s">
        <v>5297</v>
      </c>
      <c r="H40" s="125" t="s">
        <v>2286</v>
      </c>
      <c r="I40" s="125" t="s">
        <v>3482</v>
      </c>
    </row>
    <row r="41" spans="1:9" x14ac:dyDescent="0.25">
      <c r="A41" s="125" t="s">
        <v>1790</v>
      </c>
      <c r="B41" s="125" t="s">
        <v>5298</v>
      </c>
      <c r="C41" s="125">
        <v>216</v>
      </c>
      <c r="D41" s="125" t="s">
        <v>5299</v>
      </c>
      <c r="E41" s="125" t="s">
        <v>5295</v>
      </c>
      <c r="F41" s="125" t="s">
        <v>5296</v>
      </c>
      <c r="G41" s="125" t="s">
        <v>5297</v>
      </c>
      <c r="H41" s="125" t="s">
        <v>5300</v>
      </c>
      <c r="I41" s="125" t="s">
        <v>3482</v>
      </c>
    </row>
    <row r="42" spans="1:9" x14ac:dyDescent="0.25">
      <c r="A42" s="125" t="s">
        <v>1992</v>
      </c>
      <c r="B42" s="125" t="s">
        <v>5298</v>
      </c>
      <c r="C42" s="125">
        <v>216</v>
      </c>
      <c r="D42" s="125" t="s">
        <v>5299</v>
      </c>
      <c r="E42" s="125" t="s">
        <v>5295</v>
      </c>
      <c r="F42" s="125" t="s">
        <v>5296</v>
      </c>
      <c r="G42" s="125" t="s">
        <v>5297</v>
      </c>
      <c r="H42" s="125" t="s">
        <v>5300</v>
      </c>
      <c r="I42" s="125" t="s">
        <v>3482</v>
      </c>
    </row>
    <row r="43" spans="1:9" x14ac:dyDescent="0.25">
      <c r="A43" s="125" t="s">
        <v>2246</v>
      </c>
      <c r="B43" s="125" t="s">
        <v>5298</v>
      </c>
      <c r="C43" s="125">
        <v>216</v>
      </c>
      <c r="D43" s="125" t="s">
        <v>5299</v>
      </c>
      <c r="E43" s="125" t="s">
        <v>5295</v>
      </c>
      <c r="F43" s="125" t="s">
        <v>5296</v>
      </c>
      <c r="G43" s="125" t="s">
        <v>5297</v>
      </c>
      <c r="H43" s="125" t="s">
        <v>5300</v>
      </c>
      <c r="I43" s="125" t="s">
        <v>3482</v>
      </c>
    </row>
    <row r="44" spans="1:9" x14ac:dyDescent="0.25">
      <c r="A44" s="125" t="s">
        <v>2602</v>
      </c>
      <c r="B44" s="125" t="s">
        <v>5298</v>
      </c>
      <c r="C44" s="125">
        <v>216</v>
      </c>
      <c r="D44" s="125" t="s">
        <v>5299</v>
      </c>
      <c r="E44" s="125" t="s">
        <v>5295</v>
      </c>
      <c r="F44" s="125" t="s">
        <v>5296</v>
      </c>
      <c r="G44" s="125" t="s">
        <v>5297</v>
      </c>
      <c r="H44" s="125" t="s">
        <v>5300</v>
      </c>
      <c r="I44" s="125" t="s">
        <v>3482</v>
      </c>
    </row>
    <row r="45" spans="1:9" x14ac:dyDescent="0.25">
      <c r="A45" s="125" t="s">
        <v>1530</v>
      </c>
      <c r="B45" s="125" t="s">
        <v>5301</v>
      </c>
      <c r="C45" s="125">
        <v>249</v>
      </c>
      <c r="D45" s="125" t="s">
        <v>5302</v>
      </c>
      <c r="E45" s="125" t="s">
        <v>5303</v>
      </c>
      <c r="F45" s="125" t="s">
        <v>5304</v>
      </c>
      <c r="G45" s="125" t="s">
        <v>5297</v>
      </c>
      <c r="H45" s="125" t="s">
        <v>1046</v>
      </c>
      <c r="I45" s="125" t="s">
        <v>1083</v>
      </c>
    </row>
    <row r="46" spans="1:9" x14ac:dyDescent="0.25">
      <c r="A46" s="125" t="s">
        <v>5305</v>
      </c>
      <c r="B46" s="125" t="s">
        <v>5301</v>
      </c>
      <c r="C46" s="125">
        <v>249</v>
      </c>
      <c r="D46" s="125" t="s">
        <v>5302</v>
      </c>
      <c r="E46" s="125" t="s">
        <v>5303</v>
      </c>
      <c r="F46" s="125" t="s">
        <v>5304</v>
      </c>
      <c r="G46" s="125" t="s">
        <v>5297</v>
      </c>
      <c r="H46" s="125" t="s">
        <v>1046</v>
      </c>
      <c r="I46" s="125" t="s">
        <v>1083</v>
      </c>
    </row>
    <row r="47" spans="1:9" x14ac:dyDescent="0.25">
      <c r="A47" s="125" t="s">
        <v>5306</v>
      </c>
      <c r="B47" s="125" t="s">
        <v>5301</v>
      </c>
      <c r="C47" s="125">
        <v>249</v>
      </c>
      <c r="D47" s="125" t="s">
        <v>5302</v>
      </c>
      <c r="E47" s="125" t="s">
        <v>5303</v>
      </c>
      <c r="F47" s="125" t="s">
        <v>5304</v>
      </c>
      <c r="G47" s="125" t="s">
        <v>5297</v>
      </c>
      <c r="H47" s="125" t="s">
        <v>1046</v>
      </c>
      <c r="I47" s="125" t="s">
        <v>1083</v>
      </c>
    </row>
    <row r="48" spans="1:9" x14ac:dyDescent="0.25">
      <c r="A48" s="125" t="s">
        <v>3389</v>
      </c>
      <c r="B48" s="125" t="s">
        <v>5301</v>
      </c>
      <c r="C48" s="125">
        <v>249</v>
      </c>
      <c r="D48" s="125" t="s">
        <v>5302</v>
      </c>
      <c r="E48" s="125" t="s">
        <v>5303</v>
      </c>
      <c r="F48" s="125" t="s">
        <v>5304</v>
      </c>
      <c r="G48" s="125" t="s">
        <v>5297</v>
      </c>
      <c r="H48" s="125" t="s">
        <v>1046</v>
      </c>
      <c r="I48" s="125" t="s">
        <v>1083</v>
      </c>
    </row>
    <row r="49" spans="1:9" x14ac:dyDescent="0.25">
      <c r="A49" s="125" t="s">
        <v>3018</v>
      </c>
      <c r="B49" s="125" t="s">
        <v>5301</v>
      </c>
      <c r="C49" s="125">
        <v>249</v>
      </c>
      <c r="D49" s="125" t="s">
        <v>5302</v>
      </c>
      <c r="E49" s="125" t="s">
        <v>5303</v>
      </c>
      <c r="F49" s="125" t="s">
        <v>5304</v>
      </c>
      <c r="G49" s="125" t="s">
        <v>5297</v>
      </c>
      <c r="H49" s="125" t="s">
        <v>1046</v>
      </c>
      <c r="I49" s="125" t="s">
        <v>1083</v>
      </c>
    </row>
    <row r="50" spans="1:9" x14ac:dyDescent="0.25">
      <c r="A50" s="125" t="s">
        <v>1799</v>
      </c>
      <c r="B50" s="125" t="s">
        <v>5301</v>
      </c>
      <c r="C50" s="125">
        <v>249</v>
      </c>
      <c r="D50" s="125" t="s">
        <v>5302</v>
      </c>
      <c r="E50" s="125" t="s">
        <v>5303</v>
      </c>
      <c r="F50" s="125" t="s">
        <v>5304</v>
      </c>
      <c r="G50" s="125" t="s">
        <v>5297</v>
      </c>
      <c r="H50" s="125" t="s">
        <v>1046</v>
      </c>
      <c r="I50" s="125" t="s">
        <v>1083</v>
      </c>
    </row>
    <row r="51" spans="1:9" x14ac:dyDescent="0.25">
      <c r="A51" s="125" t="s">
        <v>5307</v>
      </c>
      <c r="B51" s="125" t="s">
        <v>5301</v>
      </c>
      <c r="C51" s="125">
        <v>249</v>
      </c>
      <c r="D51" s="125" t="s">
        <v>5302</v>
      </c>
      <c r="E51" s="125" t="s">
        <v>5303</v>
      </c>
      <c r="F51" s="125" t="s">
        <v>5304</v>
      </c>
      <c r="G51" s="125" t="s">
        <v>5297</v>
      </c>
      <c r="H51" s="125" t="s">
        <v>1046</v>
      </c>
      <c r="I51" s="125" t="s">
        <v>1083</v>
      </c>
    </row>
    <row r="52" spans="1:9" x14ac:dyDescent="0.25">
      <c r="A52" s="125" t="s">
        <v>3032</v>
      </c>
      <c r="B52" s="125" t="s">
        <v>5301</v>
      </c>
      <c r="C52" s="125">
        <v>249</v>
      </c>
      <c r="D52" s="125" t="s">
        <v>5302</v>
      </c>
      <c r="E52" s="125" t="s">
        <v>5303</v>
      </c>
      <c r="F52" s="125" t="s">
        <v>5304</v>
      </c>
      <c r="G52" s="125" t="s">
        <v>5297</v>
      </c>
      <c r="H52" s="125" t="s">
        <v>1046</v>
      </c>
      <c r="I52" s="125" t="s">
        <v>1083</v>
      </c>
    </row>
    <row r="53" spans="1:9" x14ac:dyDescent="0.25">
      <c r="A53" s="125" t="s">
        <v>3498</v>
      </c>
      <c r="B53" s="125" t="s">
        <v>5301</v>
      </c>
      <c r="C53" s="125">
        <v>249</v>
      </c>
      <c r="D53" s="125" t="s">
        <v>5302</v>
      </c>
      <c r="E53" s="125" t="s">
        <v>5303</v>
      </c>
      <c r="F53" s="125" t="s">
        <v>5304</v>
      </c>
      <c r="G53" s="125" t="s">
        <v>5297</v>
      </c>
      <c r="H53" s="125" t="s">
        <v>1046</v>
      </c>
      <c r="I53" s="125" t="s">
        <v>1083</v>
      </c>
    </row>
    <row r="54" spans="1:9" x14ac:dyDescent="0.25">
      <c r="A54" s="125" t="s">
        <v>1336</v>
      </c>
      <c r="B54" s="125" t="s">
        <v>5301</v>
      </c>
      <c r="C54" s="125">
        <v>249</v>
      </c>
      <c r="D54" s="125" t="s">
        <v>5302</v>
      </c>
      <c r="E54" s="125" t="s">
        <v>5303</v>
      </c>
      <c r="F54" s="125" t="s">
        <v>5304</v>
      </c>
      <c r="G54" s="125" t="s">
        <v>5297</v>
      </c>
      <c r="H54" s="125" t="s">
        <v>1046</v>
      </c>
      <c r="I54" s="125" t="s">
        <v>1083</v>
      </c>
    </row>
    <row r="55" spans="1:9" x14ac:dyDescent="0.25">
      <c r="A55" s="125" t="s">
        <v>3209</v>
      </c>
      <c r="B55" s="125" t="s">
        <v>5301</v>
      </c>
      <c r="C55" s="125">
        <v>249</v>
      </c>
      <c r="D55" s="125" t="s">
        <v>5302</v>
      </c>
      <c r="E55" s="125" t="s">
        <v>5303</v>
      </c>
      <c r="F55" s="125" t="s">
        <v>5304</v>
      </c>
      <c r="G55" s="125" t="s">
        <v>5297</v>
      </c>
      <c r="H55" s="125" t="s">
        <v>1046</v>
      </c>
      <c r="I55" s="125" t="s">
        <v>1083</v>
      </c>
    </row>
    <row r="56" spans="1:9" x14ac:dyDescent="0.25">
      <c r="A56" s="125" t="s">
        <v>3545</v>
      </c>
      <c r="B56" s="125" t="s">
        <v>5301</v>
      </c>
      <c r="C56" s="125">
        <v>249</v>
      </c>
      <c r="D56" s="125" t="s">
        <v>5302</v>
      </c>
      <c r="E56" s="125" t="s">
        <v>5303</v>
      </c>
      <c r="F56" s="125" t="s">
        <v>5304</v>
      </c>
      <c r="G56" s="125" t="s">
        <v>5297</v>
      </c>
      <c r="H56" s="125" t="s">
        <v>1046</v>
      </c>
      <c r="I56" s="125" t="s">
        <v>1083</v>
      </c>
    </row>
    <row r="57" spans="1:9" x14ac:dyDescent="0.25">
      <c r="A57" s="125" t="s">
        <v>5308</v>
      </c>
      <c r="B57" s="125" t="s">
        <v>5301</v>
      </c>
      <c r="C57" s="125">
        <v>249</v>
      </c>
      <c r="D57" s="125" t="s">
        <v>5302</v>
      </c>
      <c r="E57" s="125" t="s">
        <v>5303</v>
      </c>
      <c r="F57" s="125" t="s">
        <v>5304</v>
      </c>
      <c r="G57" s="125" t="s">
        <v>5297</v>
      </c>
      <c r="H57" s="125" t="s">
        <v>1046</v>
      </c>
      <c r="I57" s="125" t="s">
        <v>1083</v>
      </c>
    </row>
    <row r="58" spans="1:9" x14ac:dyDescent="0.25">
      <c r="A58" s="125" t="s">
        <v>5309</v>
      </c>
      <c r="B58" s="125" t="s">
        <v>5301</v>
      </c>
      <c r="C58" s="125">
        <v>249</v>
      </c>
      <c r="D58" s="125" t="s">
        <v>5302</v>
      </c>
      <c r="E58" s="125" t="s">
        <v>5303</v>
      </c>
      <c r="F58" s="125" t="s">
        <v>5304</v>
      </c>
      <c r="G58" s="125" t="s">
        <v>5297</v>
      </c>
      <c r="H58" s="125" t="s">
        <v>1046</v>
      </c>
      <c r="I58" s="125" t="s">
        <v>1083</v>
      </c>
    </row>
    <row r="59" spans="1:9" x14ac:dyDescent="0.25">
      <c r="A59" s="125" t="s">
        <v>3291</v>
      </c>
      <c r="B59" s="125" t="s">
        <v>5301</v>
      </c>
      <c r="C59" s="125">
        <v>249</v>
      </c>
      <c r="D59" s="125" t="s">
        <v>5302</v>
      </c>
      <c r="E59" s="125" t="s">
        <v>5303</v>
      </c>
      <c r="F59" s="125" t="s">
        <v>5304</v>
      </c>
      <c r="G59" s="125" t="s">
        <v>5297</v>
      </c>
      <c r="H59" s="125" t="s">
        <v>1046</v>
      </c>
      <c r="I59" s="125" t="s">
        <v>1083</v>
      </c>
    </row>
    <row r="60" spans="1:9" x14ac:dyDescent="0.25">
      <c r="A60" s="125" t="s">
        <v>5310</v>
      </c>
      <c r="B60" s="125" t="s">
        <v>5301</v>
      </c>
      <c r="C60" s="125">
        <v>249</v>
      </c>
      <c r="D60" s="125" t="s">
        <v>5302</v>
      </c>
      <c r="E60" s="125" t="s">
        <v>5303</v>
      </c>
      <c r="F60" s="125" t="s">
        <v>5304</v>
      </c>
      <c r="G60" s="125" t="s">
        <v>5297</v>
      </c>
      <c r="H60" s="125" t="s">
        <v>1046</v>
      </c>
      <c r="I60" s="125" t="s">
        <v>1083</v>
      </c>
    </row>
    <row r="61" spans="1:9" x14ac:dyDescent="0.25">
      <c r="A61" s="125" t="s">
        <v>3400</v>
      </c>
      <c r="B61" s="125" t="s">
        <v>5301</v>
      </c>
      <c r="C61" s="125">
        <v>249</v>
      </c>
      <c r="D61" s="125" t="s">
        <v>5302</v>
      </c>
      <c r="E61" s="125" t="s">
        <v>5303</v>
      </c>
      <c r="F61" s="125" t="s">
        <v>5304</v>
      </c>
      <c r="G61" s="125" t="s">
        <v>5297</v>
      </c>
      <c r="H61" s="125" t="s">
        <v>1046</v>
      </c>
      <c r="I61" s="125" t="s">
        <v>1083</v>
      </c>
    </row>
    <row r="62" spans="1:9" x14ac:dyDescent="0.25">
      <c r="A62" s="125" t="s">
        <v>3240</v>
      </c>
      <c r="B62" s="125" t="s">
        <v>5301</v>
      </c>
      <c r="C62" s="125">
        <v>249</v>
      </c>
      <c r="D62" s="125" t="s">
        <v>5302</v>
      </c>
      <c r="E62" s="125" t="s">
        <v>5303</v>
      </c>
      <c r="F62" s="125" t="s">
        <v>5304</v>
      </c>
      <c r="G62" s="125" t="s">
        <v>5297</v>
      </c>
      <c r="H62" s="125" t="s">
        <v>1046</v>
      </c>
      <c r="I62" s="125" t="s">
        <v>1083</v>
      </c>
    </row>
    <row r="63" spans="1:9" x14ac:dyDescent="0.25">
      <c r="A63" s="125" t="s">
        <v>2284</v>
      </c>
      <c r="B63" s="125" t="s">
        <v>5301</v>
      </c>
      <c r="C63" s="125">
        <v>249</v>
      </c>
      <c r="D63" s="125" t="s">
        <v>5302</v>
      </c>
      <c r="E63" s="125" t="s">
        <v>5303</v>
      </c>
      <c r="F63" s="125" t="s">
        <v>5304</v>
      </c>
      <c r="G63" s="125" t="s">
        <v>5297</v>
      </c>
      <c r="H63" s="125" t="s">
        <v>1046</v>
      </c>
      <c r="I63" s="125" t="s">
        <v>1083</v>
      </c>
    </row>
    <row r="64" spans="1:9" x14ac:dyDescent="0.25">
      <c r="A64" s="125" t="s">
        <v>3567</v>
      </c>
      <c r="B64" s="125" t="s">
        <v>5301</v>
      </c>
      <c r="C64" s="125">
        <v>249</v>
      </c>
      <c r="D64" s="125" t="s">
        <v>5302</v>
      </c>
      <c r="E64" s="125" t="s">
        <v>5303</v>
      </c>
      <c r="F64" s="125" t="s">
        <v>5304</v>
      </c>
      <c r="G64" s="125" t="s">
        <v>5297</v>
      </c>
      <c r="H64" s="125" t="s">
        <v>1046</v>
      </c>
      <c r="I64" s="125" t="s">
        <v>1083</v>
      </c>
    </row>
    <row r="65" spans="1:9" x14ac:dyDescent="0.25">
      <c r="A65" s="125" t="s">
        <v>3267</v>
      </c>
      <c r="B65" s="125" t="s">
        <v>5301</v>
      </c>
      <c r="C65" s="125">
        <v>249</v>
      </c>
      <c r="D65" s="125" t="s">
        <v>5302</v>
      </c>
      <c r="E65" s="125" t="s">
        <v>5303</v>
      </c>
      <c r="F65" s="125" t="s">
        <v>5304</v>
      </c>
      <c r="G65" s="125" t="s">
        <v>5297</v>
      </c>
      <c r="H65" s="125" t="s">
        <v>1046</v>
      </c>
      <c r="I65" s="125" t="s">
        <v>1083</v>
      </c>
    </row>
    <row r="66" spans="1:9" x14ac:dyDescent="0.25">
      <c r="A66" s="125" t="s">
        <v>5311</v>
      </c>
      <c r="B66" s="125" t="s">
        <v>5301</v>
      </c>
      <c r="C66" s="125">
        <v>249</v>
      </c>
      <c r="D66" s="125" t="s">
        <v>5302</v>
      </c>
      <c r="E66" s="125" t="s">
        <v>5303</v>
      </c>
      <c r="F66" s="125" t="s">
        <v>5304</v>
      </c>
      <c r="G66" s="125" t="s">
        <v>5297</v>
      </c>
      <c r="H66" s="125" t="s">
        <v>1046</v>
      </c>
      <c r="I66" s="125" t="s">
        <v>1083</v>
      </c>
    </row>
    <row r="67" spans="1:9" x14ac:dyDescent="0.25">
      <c r="A67" s="125" t="s">
        <v>3460</v>
      </c>
      <c r="B67" s="125" t="s">
        <v>5301</v>
      </c>
      <c r="C67" s="125">
        <v>249</v>
      </c>
      <c r="D67" s="125" t="s">
        <v>5302</v>
      </c>
      <c r="E67" s="125" t="s">
        <v>5303</v>
      </c>
      <c r="F67" s="125" t="s">
        <v>5304</v>
      </c>
      <c r="G67" s="125" t="s">
        <v>5297</v>
      </c>
      <c r="H67" s="125" t="s">
        <v>1046</v>
      </c>
      <c r="I67" s="125" t="s">
        <v>1083</v>
      </c>
    </row>
    <row r="68" spans="1:9" x14ac:dyDescent="0.25">
      <c r="A68" s="125" t="s">
        <v>2952</v>
      </c>
      <c r="B68" s="125" t="s">
        <v>5301</v>
      </c>
      <c r="C68" s="125">
        <v>249</v>
      </c>
      <c r="D68" s="125" t="s">
        <v>5302</v>
      </c>
      <c r="E68" s="125" t="s">
        <v>5303</v>
      </c>
      <c r="F68" s="125" t="s">
        <v>5304</v>
      </c>
      <c r="G68" s="125" t="s">
        <v>5297</v>
      </c>
      <c r="H68" s="125" t="s">
        <v>1046</v>
      </c>
      <c r="I68" s="125" t="s">
        <v>1083</v>
      </c>
    </row>
    <row r="69" spans="1:9" x14ac:dyDescent="0.25">
      <c r="A69" s="125" t="s">
        <v>5312</v>
      </c>
      <c r="B69" s="125" t="s">
        <v>5301</v>
      </c>
      <c r="C69" s="125">
        <v>249</v>
      </c>
      <c r="D69" s="125" t="s">
        <v>5302</v>
      </c>
      <c r="E69" s="125" t="s">
        <v>5303</v>
      </c>
      <c r="F69" s="125" t="s">
        <v>5304</v>
      </c>
      <c r="G69" s="125" t="s">
        <v>5297</v>
      </c>
      <c r="H69" s="125" t="s">
        <v>1046</v>
      </c>
      <c r="I69" s="125" t="s">
        <v>1083</v>
      </c>
    </row>
    <row r="70" spans="1:9" x14ac:dyDescent="0.25">
      <c r="A70" s="125" t="s">
        <v>2827</v>
      </c>
      <c r="B70" s="125" t="s">
        <v>5301</v>
      </c>
      <c r="C70" s="125">
        <v>249</v>
      </c>
      <c r="D70" s="125" t="s">
        <v>5302</v>
      </c>
      <c r="E70" s="125" t="s">
        <v>5303</v>
      </c>
      <c r="F70" s="125" t="s">
        <v>5304</v>
      </c>
      <c r="G70" s="125" t="s">
        <v>5297</v>
      </c>
      <c r="H70" s="125" t="s">
        <v>1046</v>
      </c>
      <c r="I70" s="125" t="s">
        <v>1083</v>
      </c>
    </row>
    <row r="71" spans="1:9" x14ac:dyDescent="0.25">
      <c r="A71" s="125" t="s">
        <v>2365</v>
      </c>
      <c r="B71" s="125" t="s">
        <v>5301</v>
      </c>
      <c r="C71" s="125">
        <v>249</v>
      </c>
      <c r="D71" s="125" t="s">
        <v>5302</v>
      </c>
      <c r="E71" s="125" t="s">
        <v>5303</v>
      </c>
      <c r="F71" s="125" t="s">
        <v>5304</v>
      </c>
      <c r="G71" s="125" t="s">
        <v>5297</v>
      </c>
      <c r="H71" s="125" t="s">
        <v>1046</v>
      </c>
      <c r="I71" s="125" t="s">
        <v>1083</v>
      </c>
    </row>
    <row r="72" spans="1:9" x14ac:dyDescent="0.25">
      <c r="A72" s="125" t="s">
        <v>5313</v>
      </c>
      <c r="B72" s="125" t="s">
        <v>5301</v>
      </c>
      <c r="C72" s="125">
        <v>249</v>
      </c>
      <c r="D72" s="125" t="s">
        <v>5302</v>
      </c>
      <c r="E72" s="125" t="s">
        <v>5303</v>
      </c>
      <c r="F72" s="125" t="s">
        <v>5304</v>
      </c>
      <c r="G72" s="125" t="s">
        <v>5297</v>
      </c>
      <c r="H72" s="125" t="s">
        <v>1046</v>
      </c>
      <c r="I72" s="125" t="s">
        <v>1083</v>
      </c>
    </row>
    <row r="73" spans="1:9" x14ac:dyDescent="0.25">
      <c r="A73" s="125" t="s">
        <v>3411</v>
      </c>
      <c r="B73" s="125" t="s">
        <v>5301</v>
      </c>
      <c r="C73" s="125">
        <v>249</v>
      </c>
      <c r="D73" s="125" t="s">
        <v>5302</v>
      </c>
      <c r="E73" s="125" t="s">
        <v>5303</v>
      </c>
      <c r="F73" s="125" t="s">
        <v>5304</v>
      </c>
      <c r="G73" s="125" t="s">
        <v>5297</v>
      </c>
      <c r="H73" s="125" t="s">
        <v>5314</v>
      </c>
      <c r="I73" s="125" t="s">
        <v>1083</v>
      </c>
    </row>
    <row r="74" spans="1:9" x14ac:dyDescent="0.25">
      <c r="A74" s="125" t="s">
        <v>3538</v>
      </c>
      <c r="B74" s="125" t="s">
        <v>5301</v>
      </c>
      <c r="C74" s="125">
        <v>249</v>
      </c>
      <c r="D74" s="125" t="s">
        <v>5302</v>
      </c>
      <c r="E74" s="125" t="s">
        <v>5303</v>
      </c>
      <c r="F74" s="125" t="s">
        <v>5304</v>
      </c>
      <c r="G74" s="125" t="s">
        <v>5297</v>
      </c>
      <c r="H74" s="125" t="s">
        <v>1181</v>
      </c>
      <c r="I74" s="125" t="s">
        <v>1083</v>
      </c>
    </row>
    <row r="75" spans="1:9" x14ac:dyDescent="0.25">
      <c r="A75" s="125" t="s">
        <v>2651</v>
      </c>
      <c r="B75" s="125" t="s">
        <v>5301</v>
      </c>
      <c r="C75" s="125">
        <v>249</v>
      </c>
      <c r="D75" s="125" t="s">
        <v>5302</v>
      </c>
      <c r="E75" s="125" t="s">
        <v>5303</v>
      </c>
      <c r="F75" s="125" t="s">
        <v>5304</v>
      </c>
      <c r="G75" s="125" t="s">
        <v>5297</v>
      </c>
      <c r="H75" s="125" t="s">
        <v>2103</v>
      </c>
      <c r="I75" s="125" t="s">
        <v>3223</v>
      </c>
    </row>
    <row r="76" spans="1:9" x14ac:dyDescent="0.25">
      <c r="A76" s="125" t="s">
        <v>2464</v>
      </c>
      <c r="B76" s="125" t="s">
        <v>5301</v>
      </c>
      <c r="C76" s="125">
        <v>249</v>
      </c>
      <c r="D76" s="125" t="s">
        <v>5302</v>
      </c>
      <c r="E76" s="125" t="s">
        <v>5303</v>
      </c>
      <c r="F76" s="125" t="s">
        <v>5304</v>
      </c>
      <c r="G76" s="125" t="s">
        <v>5297</v>
      </c>
      <c r="H76" s="125" t="s">
        <v>1046</v>
      </c>
      <c r="I76" s="125" t="s">
        <v>1083</v>
      </c>
    </row>
    <row r="77" spans="1:9" x14ac:dyDescent="0.25">
      <c r="A77" s="125" t="s">
        <v>5315</v>
      </c>
      <c r="B77" s="125" t="s">
        <v>5301</v>
      </c>
      <c r="C77" s="125">
        <v>249</v>
      </c>
      <c r="D77" s="125" t="s">
        <v>5302</v>
      </c>
      <c r="E77" s="125" t="s">
        <v>5303</v>
      </c>
      <c r="F77" s="125" t="s">
        <v>5304</v>
      </c>
      <c r="G77" s="125" t="s">
        <v>5297</v>
      </c>
      <c r="H77" s="125" t="s">
        <v>1181</v>
      </c>
      <c r="I77" s="125" t="s">
        <v>1083</v>
      </c>
    </row>
    <row r="78" spans="1:9" x14ac:dyDescent="0.25">
      <c r="A78" s="125" t="s">
        <v>3289</v>
      </c>
      <c r="B78" s="125" t="s">
        <v>5301</v>
      </c>
      <c r="C78" s="125">
        <v>249</v>
      </c>
      <c r="D78" s="125" t="s">
        <v>5302</v>
      </c>
      <c r="E78" s="125" t="s">
        <v>5303</v>
      </c>
      <c r="F78" s="125" t="s">
        <v>5304</v>
      </c>
      <c r="G78" s="125" t="s">
        <v>5297</v>
      </c>
      <c r="H78" s="125" t="s">
        <v>1046</v>
      </c>
      <c r="I78" s="125" t="s">
        <v>1083</v>
      </c>
    </row>
    <row r="79" spans="1:9" x14ac:dyDescent="0.25">
      <c r="A79" s="125" t="s">
        <v>5316</v>
      </c>
      <c r="B79" s="125" t="s">
        <v>5301</v>
      </c>
      <c r="C79" s="125">
        <v>249</v>
      </c>
      <c r="D79" s="125" t="s">
        <v>5302</v>
      </c>
      <c r="E79" s="125" t="s">
        <v>5303</v>
      </c>
      <c r="F79" s="125" t="s">
        <v>5304</v>
      </c>
      <c r="G79" s="125" t="s">
        <v>5297</v>
      </c>
      <c r="H79" s="125" t="s">
        <v>1697</v>
      </c>
      <c r="I79" s="125" t="s">
        <v>1083</v>
      </c>
    </row>
    <row r="80" spans="1:9" x14ac:dyDescent="0.25">
      <c r="A80" s="125" t="s">
        <v>2873</v>
      </c>
      <c r="B80" s="125" t="s">
        <v>5301</v>
      </c>
      <c r="C80" s="125">
        <v>249</v>
      </c>
      <c r="D80" s="125" t="s">
        <v>5302</v>
      </c>
      <c r="E80" s="125" t="s">
        <v>5303</v>
      </c>
      <c r="F80" s="125" t="s">
        <v>5304</v>
      </c>
      <c r="G80" s="125" t="s">
        <v>5297</v>
      </c>
      <c r="H80" s="125" t="s">
        <v>1046</v>
      </c>
      <c r="I80" s="125" t="s">
        <v>1083</v>
      </c>
    </row>
    <row r="81" spans="1:9" x14ac:dyDescent="0.25">
      <c r="A81" s="125" t="s">
        <v>3241</v>
      </c>
      <c r="B81" s="125" t="s">
        <v>5301</v>
      </c>
      <c r="C81" s="125">
        <v>249</v>
      </c>
      <c r="D81" s="125" t="s">
        <v>5302</v>
      </c>
      <c r="E81" s="125" t="s">
        <v>5303</v>
      </c>
      <c r="F81" s="125" t="s">
        <v>5304</v>
      </c>
      <c r="G81" s="125" t="s">
        <v>5297</v>
      </c>
      <c r="H81" s="125" t="s">
        <v>1046</v>
      </c>
      <c r="I81" s="125" t="s">
        <v>1083</v>
      </c>
    </row>
    <row r="82" spans="1:9" x14ac:dyDescent="0.25">
      <c r="A82" s="125" t="s">
        <v>1857</v>
      </c>
      <c r="B82" s="125" t="s">
        <v>5301</v>
      </c>
      <c r="C82" s="125">
        <v>249</v>
      </c>
      <c r="D82" s="125" t="s">
        <v>5302</v>
      </c>
      <c r="E82" s="125" t="s">
        <v>5303</v>
      </c>
      <c r="F82" s="125" t="s">
        <v>5304</v>
      </c>
      <c r="G82" s="125" t="s">
        <v>5297</v>
      </c>
      <c r="H82" s="125" t="s">
        <v>5317</v>
      </c>
      <c r="I82" s="125" t="s">
        <v>5318</v>
      </c>
    </row>
    <row r="83" spans="1:9" x14ac:dyDescent="0.25">
      <c r="A83" s="125" t="s">
        <v>5319</v>
      </c>
      <c r="B83" s="125" t="s">
        <v>5301</v>
      </c>
      <c r="C83" s="125">
        <v>249</v>
      </c>
      <c r="D83" s="125" t="s">
        <v>5302</v>
      </c>
      <c r="E83" s="125" t="s">
        <v>5303</v>
      </c>
      <c r="F83" s="125" t="s">
        <v>5304</v>
      </c>
      <c r="G83" s="125" t="s">
        <v>5297</v>
      </c>
      <c r="H83" s="125" t="s">
        <v>2103</v>
      </c>
      <c r="I83" s="125" t="s">
        <v>3223</v>
      </c>
    </row>
    <row r="84" spans="1:9" x14ac:dyDescent="0.25">
      <c r="A84" s="125" t="s">
        <v>2906</v>
      </c>
      <c r="B84" s="125" t="s">
        <v>5301</v>
      </c>
      <c r="C84" s="125">
        <v>249</v>
      </c>
      <c r="D84" s="125" t="s">
        <v>5302</v>
      </c>
      <c r="E84" s="125" t="s">
        <v>5303</v>
      </c>
      <c r="F84" s="125" t="s">
        <v>5304</v>
      </c>
      <c r="G84" s="125" t="s">
        <v>5297</v>
      </c>
      <c r="H84" s="125" t="s">
        <v>2103</v>
      </c>
      <c r="I84" s="125" t="s">
        <v>3223</v>
      </c>
    </row>
    <row r="85" spans="1:9" x14ac:dyDescent="0.25">
      <c r="A85" s="125" t="s">
        <v>2332</v>
      </c>
      <c r="B85" s="125" t="s">
        <v>5320</v>
      </c>
      <c r="C85" s="125">
        <v>234</v>
      </c>
      <c r="D85" s="125" t="s">
        <v>5321</v>
      </c>
      <c r="E85" s="125" t="s">
        <v>5303</v>
      </c>
      <c r="F85" s="125" t="s">
        <v>5304</v>
      </c>
      <c r="G85" s="125" t="s">
        <v>5297</v>
      </c>
      <c r="H85" s="125" t="s">
        <v>5322</v>
      </c>
      <c r="I85" s="125" t="s">
        <v>5318</v>
      </c>
    </row>
    <row r="86" spans="1:9" x14ac:dyDescent="0.25">
      <c r="A86" s="125" t="s">
        <v>1878</v>
      </c>
      <c r="B86" s="125" t="s">
        <v>5301</v>
      </c>
      <c r="C86" s="125">
        <v>249</v>
      </c>
      <c r="D86" s="125" t="s">
        <v>5302</v>
      </c>
      <c r="E86" s="125" t="s">
        <v>5303</v>
      </c>
      <c r="F86" s="125" t="s">
        <v>5304</v>
      </c>
      <c r="G86" s="125" t="s">
        <v>5297</v>
      </c>
      <c r="H86" s="125" t="s">
        <v>1046</v>
      </c>
      <c r="I86" s="125" t="s">
        <v>1083</v>
      </c>
    </row>
    <row r="87" spans="1:9" x14ac:dyDescent="0.25">
      <c r="A87" s="125" t="s">
        <v>1877</v>
      </c>
      <c r="B87" s="125" t="s">
        <v>5320</v>
      </c>
      <c r="C87" s="125">
        <v>234</v>
      </c>
      <c r="D87" s="125" t="s">
        <v>5321</v>
      </c>
      <c r="E87" s="125" t="s">
        <v>5303</v>
      </c>
      <c r="F87" s="125" t="s">
        <v>5304</v>
      </c>
      <c r="G87" s="125" t="s">
        <v>5297</v>
      </c>
      <c r="H87" s="125" t="s">
        <v>5322</v>
      </c>
      <c r="I87" s="125" t="s">
        <v>5318</v>
      </c>
    </row>
    <row r="88" spans="1:9" x14ac:dyDescent="0.25">
      <c r="A88" s="125" t="s">
        <v>2897</v>
      </c>
      <c r="B88" s="125" t="s">
        <v>5301</v>
      </c>
      <c r="C88" s="125">
        <v>249</v>
      </c>
      <c r="D88" s="125" t="s">
        <v>5302</v>
      </c>
      <c r="E88" s="125" t="s">
        <v>5303</v>
      </c>
      <c r="F88" s="125" t="s">
        <v>5304</v>
      </c>
      <c r="G88" s="125" t="s">
        <v>5297</v>
      </c>
      <c r="H88" s="125" t="s">
        <v>1046</v>
      </c>
      <c r="I88" s="125" t="s">
        <v>1083</v>
      </c>
    </row>
    <row r="89" spans="1:9" x14ac:dyDescent="0.25">
      <c r="A89" s="125" t="s">
        <v>2104</v>
      </c>
      <c r="B89" s="125" t="s">
        <v>5301</v>
      </c>
      <c r="C89" s="125">
        <v>249</v>
      </c>
      <c r="D89" s="125" t="s">
        <v>5302</v>
      </c>
      <c r="E89" s="125" t="s">
        <v>5303</v>
      </c>
      <c r="F89" s="125" t="s">
        <v>5304</v>
      </c>
      <c r="G89" s="125" t="s">
        <v>5297</v>
      </c>
      <c r="H89" s="125" t="s">
        <v>2103</v>
      </c>
      <c r="I89" s="125" t="s">
        <v>3223</v>
      </c>
    </row>
    <row r="90" spans="1:9" x14ac:dyDescent="0.25">
      <c r="A90" s="125" t="s">
        <v>2563</v>
      </c>
      <c r="B90" s="125" t="s">
        <v>5320</v>
      </c>
      <c r="C90" s="125">
        <v>234</v>
      </c>
      <c r="D90" s="125" t="s">
        <v>5321</v>
      </c>
      <c r="E90" s="125" t="s">
        <v>5303</v>
      </c>
      <c r="F90" s="125" t="s">
        <v>5304</v>
      </c>
      <c r="G90" s="125" t="s">
        <v>5297</v>
      </c>
      <c r="H90" s="125" t="s">
        <v>2103</v>
      </c>
      <c r="I90" s="125" t="s">
        <v>3223</v>
      </c>
    </row>
    <row r="91" spans="1:9" x14ac:dyDescent="0.25">
      <c r="A91" s="125" t="s">
        <v>3266</v>
      </c>
      <c r="B91" s="125" t="s">
        <v>5320</v>
      </c>
      <c r="C91" s="125">
        <v>234</v>
      </c>
      <c r="D91" s="125" t="s">
        <v>5321</v>
      </c>
      <c r="E91" s="125" t="s">
        <v>5303</v>
      </c>
      <c r="F91" s="125" t="s">
        <v>5304</v>
      </c>
      <c r="G91" s="125" t="s">
        <v>5297</v>
      </c>
      <c r="H91" s="125" t="s">
        <v>1199</v>
      </c>
      <c r="I91" s="125" t="s">
        <v>1083</v>
      </c>
    </row>
    <row r="92" spans="1:9" x14ac:dyDescent="0.25">
      <c r="A92" s="125" t="s">
        <v>3180</v>
      </c>
      <c r="B92" s="125" t="s">
        <v>5320</v>
      </c>
      <c r="C92" s="125">
        <v>234</v>
      </c>
      <c r="D92" s="125" t="s">
        <v>5321</v>
      </c>
      <c r="E92" s="125" t="s">
        <v>5303</v>
      </c>
      <c r="F92" s="125" t="s">
        <v>5304</v>
      </c>
      <c r="G92" s="125" t="s">
        <v>5297</v>
      </c>
      <c r="H92" s="125" t="s">
        <v>1199</v>
      </c>
      <c r="I92" s="125" t="s">
        <v>1083</v>
      </c>
    </row>
    <row r="93" spans="1:9" x14ac:dyDescent="0.25">
      <c r="A93" s="125" t="s">
        <v>3210</v>
      </c>
      <c r="B93" s="125" t="s">
        <v>5323</v>
      </c>
      <c r="C93" s="125">
        <v>211</v>
      </c>
      <c r="D93" s="125" t="s">
        <v>5324</v>
      </c>
      <c r="E93" s="125" t="s">
        <v>5303</v>
      </c>
      <c r="F93" s="125" t="s">
        <v>5304</v>
      </c>
      <c r="G93" s="125" t="s">
        <v>5297</v>
      </c>
      <c r="H93" s="125" t="s">
        <v>5325</v>
      </c>
      <c r="I93" s="125" t="s">
        <v>1083</v>
      </c>
    </row>
    <row r="94" spans="1:9" x14ac:dyDescent="0.25">
      <c r="A94" s="125" t="s">
        <v>2678</v>
      </c>
      <c r="B94" s="125" t="s">
        <v>5301</v>
      </c>
      <c r="C94" s="125">
        <v>249</v>
      </c>
      <c r="D94" s="125" t="s">
        <v>5302</v>
      </c>
      <c r="E94" s="125" t="s">
        <v>5303</v>
      </c>
      <c r="F94" s="125" t="s">
        <v>5304</v>
      </c>
      <c r="G94" s="125" t="s">
        <v>5297</v>
      </c>
      <c r="H94" s="125" t="s">
        <v>5325</v>
      </c>
      <c r="I94" s="125" t="s">
        <v>1083</v>
      </c>
    </row>
    <row r="95" spans="1:9" x14ac:dyDescent="0.25">
      <c r="A95" s="125" t="s">
        <v>3099</v>
      </c>
      <c r="B95" s="125" t="s">
        <v>5301</v>
      </c>
      <c r="C95" s="125">
        <v>249</v>
      </c>
      <c r="D95" s="125" t="s">
        <v>5302</v>
      </c>
      <c r="E95" s="125" t="s">
        <v>5303</v>
      </c>
      <c r="F95" s="125" t="s">
        <v>5304</v>
      </c>
      <c r="G95" s="125" t="s">
        <v>5297</v>
      </c>
      <c r="H95" s="125" t="s">
        <v>5325</v>
      </c>
      <c r="I95" s="125" t="s">
        <v>1083</v>
      </c>
    </row>
    <row r="96" spans="1:9" x14ac:dyDescent="0.25">
      <c r="A96" s="125" t="s">
        <v>3417</v>
      </c>
      <c r="B96" s="125" t="s">
        <v>5301</v>
      </c>
      <c r="C96" s="125">
        <v>249</v>
      </c>
      <c r="D96" s="125" t="s">
        <v>5302</v>
      </c>
      <c r="E96" s="125" t="s">
        <v>5303</v>
      </c>
      <c r="F96" s="125" t="s">
        <v>5304</v>
      </c>
      <c r="G96" s="125" t="s">
        <v>5297</v>
      </c>
      <c r="H96" s="125" t="s">
        <v>5325</v>
      </c>
      <c r="I96" s="125" t="s">
        <v>1083</v>
      </c>
    </row>
    <row r="97" spans="1:9" x14ac:dyDescent="0.25">
      <c r="A97" s="125" t="s">
        <v>3290</v>
      </c>
      <c r="B97" s="125" t="s">
        <v>5301</v>
      </c>
      <c r="C97" s="125">
        <v>249</v>
      </c>
      <c r="D97" s="125" t="s">
        <v>5302</v>
      </c>
      <c r="E97" s="125" t="s">
        <v>5303</v>
      </c>
      <c r="F97" s="125" t="s">
        <v>5304</v>
      </c>
      <c r="G97" s="125" t="s">
        <v>5297</v>
      </c>
      <c r="H97" s="125" t="s">
        <v>5325</v>
      </c>
      <c r="I97" s="125" t="s">
        <v>1083</v>
      </c>
    </row>
    <row r="98" spans="1:9" x14ac:dyDescent="0.25">
      <c r="A98" s="125" t="s">
        <v>1332</v>
      </c>
      <c r="B98" s="125" t="s">
        <v>5301</v>
      </c>
      <c r="C98" s="125">
        <v>249</v>
      </c>
      <c r="D98" s="125" t="s">
        <v>5302</v>
      </c>
      <c r="E98" s="125" t="s">
        <v>5303</v>
      </c>
      <c r="F98" s="125" t="s">
        <v>5304</v>
      </c>
      <c r="G98" s="125" t="s">
        <v>5297</v>
      </c>
      <c r="H98" s="125" t="s">
        <v>5325</v>
      </c>
      <c r="I98" s="125" t="s">
        <v>1083</v>
      </c>
    </row>
    <row r="99" spans="1:9" x14ac:dyDescent="0.25">
      <c r="A99" s="125" t="s">
        <v>3397</v>
      </c>
      <c r="B99" s="125" t="s">
        <v>5301</v>
      </c>
      <c r="C99" s="125">
        <v>249</v>
      </c>
      <c r="D99" s="125" t="s">
        <v>5302</v>
      </c>
      <c r="E99" s="125" t="s">
        <v>5303</v>
      </c>
      <c r="F99" s="125" t="s">
        <v>5304</v>
      </c>
      <c r="G99" s="125" t="s">
        <v>5297</v>
      </c>
      <c r="H99" s="125" t="s">
        <v>1046</v>
      </c>
      <c r="I99" s="125" t="s">
        <v>1083</v>
      </c>
    </row>
    <row r="100" spans="1:9" x14ac:dyDescent="0.25">
      <c r="A100" s="125" t="s">
        <v>3190</v>
      </c>
      <c r="B100" s="125" t="s">
        <v>5323</v>
      </c>
      <c r="C100" s="125">
        <v>211</v>
      </c>
      <c r="D100" s="125" t="s">
        <v>5324</v>
      </c>
      <c r="E100" s="125" t="s">
        <v>5303</v>
      </c>
      <c r="F100" s="125" t="s">
        <v>5304</v>
      </c>
      <c r="G100" s="125" t="s">
        <v>5297</v>
      </c>
      <c r="H100" s="125" t="s">
        <v>5325</v>
      </c>
      <c r="I100" s="125" t="s">
        <v>1083</v>
      </c>
    </row>
    <row r="101" spans="1:9" x14ac:dyDescent="0.25">
      <c r="A101" s="125" t="s">
        <v>3227</v>
      </c>
      <c r="B101" s="125" t="s">
        <v>5301</v>
      </c>
      <c r="C101" s="125">
        <v>249</v>
      </c>
      <c r="D101" s="125" t="s">
        <v>5302</v>
      </c>
      <c r="E101" s="125" t="s">
        <v>5303</v>
      </c>
      <c r="F101" s="125" t="s">
        <v>5304</v>
      </c>
      <c r="G101" s="125" t="s">
        <v>5297</v>
      </c>
      <c r="H101" s="125" t="s">
        <v>5325</v>
      </c>
      <c r="I101" s="125" t="s">
        <v>1083</v>
      </c>
    </row>
    <row r="102" spans="1:9" x14ac:dyDescent="0.25">
      <c r="A102" s="125" t="s">
        <v>3212</v>
      </c>
      <c r="B102" s="125" t="s">
        <v>5301</v>
      </c>
      <c r="C102" s="125">
        <v>249</v>
      </c>
      <c r="D102" s="125" t="s">
        <v>5302</v>
      </c>
      <c r="E102" s="125" t="s">
        <v>5303</v>
      </c>
      <c r="F102" s="125" t="s">
        <v>5304</v>
      </c>
      <c r="G102" s="125" t="s">
        <v>5297</v>
      </c>
      <c r="H102" s="125" t="s">
        <v>1046</v>
      </c>
      <c r="I102" s="125" t="s">
        <v>1083</v>
      </c>
    </row>
    <row r="103" spans="1:9" x14ac:dyDescent="0.25">
      <c r="A103" s="125" t="s">
        <v>3514</v>
      </c>
      <c r="B103" s="125" t="s">
        <v>5301</v>
      </c>
      <c r="C103" s="125">
        <v>249</v>
      </c>
      <c r="D103" s="125" t="s">
        <v>5302</v>
      </c>
      <c r="E103" s="125" t="s">
        <v>5303</v>
      </c>
      <c r="F103" s="125" t="s">
        <v>5304</v>
      </c>
      <c r="G103" s="125" t="s">
        <v>5297</v>
      </c>
      <c r="H103" s="125" t="s">
        <v>1046</v>
      </c>
      <c r="I103" s="125" t="s">
        <v>1083</v>
      </c>
    </row>
    <row r="104" spans="1:9" x14ac:dyDescent="0.25">
      <c r="A104" s="125" t="s">
        <v>2049</v>
      </c>
      <c r="B104" s="125" t="s">
        <v>5301</v>
      </c>
      <c r="C104" s="125">
        <v>249</v>
      </c>
      <c r="D104" s="125" t="s">
        <v>5302</v>
      </c>
      <c r="E104" s="125" t="s">
        <v>5303</v>
      </c>
      <c r="F104" s="125" t="s">
        <v>5304</v>
      </c>
      <c r="G104" s="125" t="s">
        <v>5297</v>
      </c>
      <c r="H104" s="125" t="s">
        <v>1046</v>
      </c>
      <c r="I104" s="125" t="s">
        <v>1083</v>
      </c>
    </row>
    <row r="105" spans="1:9" x14ac:dyDescent="0.25">
      <c r="A105" s="125" t="s">
        <v>3259</v>
      </c>
      <c r="B105" s="125" t="s">
        <v>5301</v>
      </c>
      <c r="C105" s="125">
        <v>249</v>
      </c>
      <c r="D105" s="125" t="s">
        <v>5302</v>
      </c>
      <c r="E105" s="125" t="s">
        <v>5303</v>
      </c>
      <c r="F105" s="125" t="s">
        <v>5304</v>
      </c>
      <c r="G105" s="125" t="s">
        <v>5297</v>
      </c>
      <c r="H105" s="125" t="s">
        <v>1046</v>
      </c>
      <c r="I105" s="125" t="s">
        <v>1083</v>
      </c>
    </row>
    <row r="106" spans="1:9" x14ac:dyDescent="0.25">
      <c r="A106" s="125" t="s">
        <v>2465</v>
      </c>
      <c r="B106" s="125" t="s">
        <v>5301</v>
      </c>
      <c r="C106" s="125">
        <v>249</v>
      </c>
      <c r="D106" s="125" t="s">
        <v>5302</v>
      </c>
      <c r="E106" s="125" t="s">
        <v>5303</v>
      </c>
      <c r="F106" s="125" t="s">
        <v>5304</v>
      </c>
      <c r="G106" s="125" t="s">
        <v>5297</v>
      </c>
      <c r="H106" s="125" t="s">
        <v>5317</v>
      </c>
      <c r="I106" s="125" t="s">
        <v>5318</v>
      </c>
    </row>
    <row r="107" spans="1:9" x14ac:dyDescent="0.25">
      <c r="A107" s="125" t="s">
        <v>2466</v>
      </c>
      <c r="B107" s="125" t="s">
        <v>5323</v>
      </c>
      <c r="C107" s="125">
        <v>211</v>
      </c>
      <c r="D107" s="125" t="s">
        <v>5324</v>
      </c>
      <c r="E107" s="125" t="s">
        <v>5303</v>
      </c>
      <c r="F107" s="125" t="s">
        <v>5304</v>
      </c>
      <c r="G107" s="125" t="s">
        <v>5297</v>
      </c>
      <c r="H107" s="125" t="s">
        <v>2269</v>
      </c>
      <c r="I107" s="125" t="s">
        <v>2878</v>
      </c>
    </row>
    <row r="108" spans="1:9" x14ac:dyDescent="0.25">
      <c r="A108" s="125" t="s">
        <v>2270</v>
      </c>
      <c r="B108" s="125" t="s">
        <v>5323</v>
      </c>
      <c r="C108" s="125">
        <v>211</v>
      </c>
      <c r="D108" s="125" t="s">
        <v>5324</v>
      </c>
      <c r="E108" s="125" t="s">
        <v>5303</v>
      </c>
      <c r="F108" s="125" t="s">
        <v>5304</v>
      </c>
      <c r="G108" s="125" t="s">
        <v>5297</v>
      </c>
      <c r="H108" s="125" t="s">
        <v>5317</v>
      </c>
      <c r="I108" s="125" t="s">
        <v>5318</v>
      </c>
    </row>
    <row r="109" spans="1:9" x14ac:dyDescent="0.25">
      <c r="A109" s="125" t="s">
        <v>2977</v>
      </c>
      <c r="B109" s="125" t="s">
        <v>5323</v>
      </c>
      <c r="C109" s="125">
        <v>211</v>
      </c>
      <c r="D109" s="125" t="s">
        <v>5324</v>
      </c>
      <c r="E109" s="125" t="s">
        <v>5303</v>
      </c>
      <c r="F109" s="125" t="s">
        <v>5304</v>
      </c>
      <c r="G109" s="125" t="s">
        <v>5297</v>
      </c>
      <c r="H109" s="125" t="s">
        <v>2269</v>
      </c>
      <c r="I109" s="125" t="s">
        <v>2878</v>
      </c>
    </row>
    <row r="110" spans="1:9" x14ac:dyDescent="0.25">
      <c r="A110" s="125" t="s">
        <v>3103</v>
      </c>
      <c r="B110" s="125" t="s">
        <v>5301</v>
      </c>
      <c r="C110" s="125">
        <v>249</v>
      </c>
      <c r="D110" s="125" t="s">
        <v>5302</v>
      </c>
      <c r="E110" s="125" t="s">
        <v>5303</v>
      </c>
      <c r="F110" s="125" t="s">
        <v>5304</v>
      </c>
      <c r="G110" s="125" t="s">
        <v>5297</v>
      </c>
      <c r="H110" s="125" t="s">
        <v>1046</v>
      </c>
      <c r="I110" s="125" t="s">
        <v>1083</v>
      </c>
    </row>
    <row r="111" spans="1:9" x14ac:dyDescent="0.25">
      <c r="A111" s="125" t="s">
        <v>2091</v>
      </c>
      <c r="B111" s="125" t="s">
        <v>5301</v>
      </c>
      <c r="C111" s="125">
        <v>249</v>
      </c>
      <c r="D111" s="125" t="s">
        <v>5302</v>
      </c>
      <c r="E111" s="125" t="s">
        <v>5303</v>
      </c>
      <c r="F111" s="125" t="s">
        <v>5304</v>
      </c>
      <c r="G111" s="125" t="s">
        <v>5297</v>
      </c>
      <c r="H111" s="125" t="s">
        <v>5322</v>
      </c>
      <c r="I111" s="125" t="s">
        <v>5318</v>
      </c>
    </row>
    <row r="112" spans="1:9" x14ac:dyDescent="0.25">
      <c r="A112" s="125" t="s">
        <v>2340</v>
      </c>
      <c r="B112" s="125" t="s">
        <v>5301</v>
      </c>
      <c r="C112" s="125">
        <v>249</v>
      </c>
      <c r="D112" s="125" t="s">
        <v>5302</v>
      </c>
      <c r="E112" s="125" t="s">
        <v>5303</v>
      </c>
      <c r="F112" s="125" t="s">
        <v>5304</v>
      </c>
      <c r="G112" s="125" t="s">
        <v>5297</v>
      </c>
      <c r="H112" s="125" t="s">
        <v>1046</v>
      </c>
      <c r="I112" s="125" t="s">
        <v>1083</v>
      </c>
    </row>
    <row r="113" spans="1:9" x14ac:dyDescent="0.25">
      <c r="A113" s="125" t="s">
        <v>1182</v>
      </c>
      <c r="B113" s="125" t="s">
        <v>5301</v>
      </c>
      <c r="C113" s="125">
        <v>249</v>
      </c>
      <c r="D113" s="125" t="s">
        <v>5302</v>
      </c>
      <c r="E113" s="125" t="s">
        <v>5303</v>
      </c>
      <c r="F113" s="125" t="s">
        <v>5304</v>
      </c>
      <c r="G113" s="125" t="s">
        <v>5297</v>
      </c>
      <c r="H113" s="125" t="s">
        <v>1181</v>
      </c>
      <c r="I113" s="125" t="s">
        <v>1083</v>
      </c>
    </row>
    <row r="114" spans="1:9" x14ac:dyDescent="0.25">
      <c r="A114" s="125" t="s">
        <v>3133</v>
      </c>
      <c r="B114" s="125" t="s">
        <v>5301</v>
      </c>
      <c r="C114" s="125">
        <v>249</v>
      </c>
      <c r="D114" s="125" t="s">
        <v>5302</v>
      </c>
      <c r="E114" s="125" t="s">
        <v>5303</v>
      </c>
      <c r="F114" s="125" t="s">
        <v>5304</v>
      </c>
      <c r="G114" s="125" t="s">
        <v>5297</v>
      </c>
      <c r="H114" s="125" t="s">
        <v>1181</v>
      </c>
      <c r="I114" s="125" t="s">
        <v>1083</v>
      </c>
    </row>
    <row r="115" spans="1:9" x14ac:dyDescent="0.25">
      <c r="A115" s="125" t="s">
        <v>2291</v>
      </c>
      <c r="B115" s="125" t="s">
        <v>5301</v>
      </c>
      <c r="C115" s="125">
        <v>249</v>
      </c>
      <c r="D115" s="125" t="s">
        <v>5302</v>
      </c>
      <c r="E115" s="125" t="s">
        <v>5303</v>
      </c>
      <c r="F115" s="125" t="s">
        <v>5304</v>
      </c>
      <c r="G115" s="125" t="s">
        <v>5297</v>
      </c>
      <c r="H115" s="125" t="s">
        <v>1181</v>
      </c>
      <c r="I115" s="125" t="s">
        <v>1083</v>
      </c>
    </row>
    <row r="116" spans="1:9" x14ac:dyDescent="0.25">
      <c r="A116" s="125" t="s">
        <v>3169</v>
      </c>
      <c r="B116" s="125" t="s">
        <v>5301</v>
      </c>
      <c r="C116" s="125">
        <v>249</v>
      </c>
      <c r="D116" s="125" t="s">
        <v>5302</v>
      </c>
      <c r="E116" s="125" t="s">
        <v>5303</v>
      </c>
      <c r="F116" s="125" t="s">
        <v>5304</v>
      </c>
      <c r="G116" s="125" t="s">
        <v>5297</v>
      </c>
      <c r="H116" s="125" t="s">
        <v>1181</v>
      </c>
      <c r="I116" s="125" t="s">
        <v>1083</v>
      </c>
    </row>
    <row r="117" spans="1:9" x14ac:dyDescent="0.25">
      <c r="A117" s="125" t="s">
        <v>3126</v>
      </c>
      <c r="B117" s="125" t="s">
        <v>5301</v>
      </c>
      <c r="C117" s="125">
        <v>249</v>
      </c>
      <c r="D117" s="125" t="s">
        <v>5302</v>
      </c>
      <c r="E117" s="125" t="s">
        <v>5303</v>
      </c>
      <c r="F117" s="125" t="s">
        <v>5304</v>
      </c>
      <c r="G117" s="125" t="s">
        <v>5297</v>
      </c>
      <c r="H117" s="125" t="s">
        <v>5322</v>
      </c>
      <c r="I117" s="125" t="s">
        <v>5318</v>
      </c>
    </row>
    <row r="118" spans="1:9" x14ac:dyDescent="0.25">
      <c r="A118" s="125" t="s">
        <v>1983</v>
      </c>
      <c r="B118" s="125" t="s">
        <v>5301</v>
      </c>
      <c r="C118" s="125">
        <v>249</v>
      </c>
      <c r="D118" s="125" t="s">
        <v>5302</v>
      </c>
      <c r="E118" s="125" t="s">
        <v>5303</v>
      </c>
      <c r="F118" s="125" t="s">
        <v>5304</v>
      </c>
      <c r="G118" s="125" t="s">
        <v>5297</v>
      </c>
      <c r="H118" s="125" t="s">
        <v>5322</v>
      </c>
      <c r="I118" s="125" t="s">
        <v>5318</v>
      </c>
    </row>
    <row r="119" spans="1:9" x14ac:dyDescent="0.25">
      <c r="A119" s="125" t="s">
        <v>2168</v>
      </c>
      <c r="B119" s="125" t="s">
        <v>5301</v>
      </c>
      <c r="C119" s="125">
        <v>249</v>
      </c>
      <c r="D119" s="125" t="s">
        <v>5326</v>
      </c>
      <c r="E119" s="125" t="s">
        <v>5303</v>
      </c>
      <c r="F119" s="125" t="s">
        <v>5304</v>
      </c>
      <c r="G119" s="125" t="s">
        <v>5297</v>
      </c>
      <c r="H119" s="125" t="s">
        <v>1188</v>
      </c>
      <c r="I119" s="125" t="s">
        <v>3223</v>
      </c>
    </row>
    <row r="120" spans="1:9" x14ac:dyDescent="0.25">
      <c r="A120" s="125" t="s">
        <v>1780</v>
      </c>
      <c r="B120" s="125" t="s">
        <v>5301</v>
      </c>
      <c r="C120" s="125">
        <v>249</v>
      </c>
      <c r="D120" s="125" t="s">
        <v>5302</v>
      </c>
      <c r="E120" s="125" t="s">
        <v>5303</v>
      </c>
      <c r="F120" s="125" t="s">
        <v>5304</v>
      </c>
      <c r="G120" s="125" t="s">
        <v>5297</v>
      </c>
      <c r="H120" s="125" t="s">
        <v>1188</v>
      </c>
      <c r="I120" s="125" t="s">
        <v>3223</v>
      </c>
    </row>
    <row r="121" spans="1:9" x14ac:dyDescent="0.25">
      <c r="A121" s="125" t="s">
        <v>1189</v>
      </c>
      <c r="B121" s="125" t="s">
        <v>5301</v>
      </c>
      <c r="C121" s="125">
        <v>249</v>
      </c>
      <c r="D121" s="125" t="s">
        <v>5302</v>
      </c>
      <c r="E121" s="125" t="s">
        <v>5303</v>
      </c>
      <c r="F121" s="125" t="s">
        <v>5304</v>
      </c>
      <c r="G121" s="125" t="s">
        <v>5297</v>
      </c>
      <c r="H121" s="125" t="s">
        <v>2103</v>
      </c>
      <c r="I121" s="125" t="s">
        <v>3223</v>
      </c>
    </row>
    <row r="122" spans="1:9" x14ac:dyDescent="0.25">
      <c r="A122" s="125" t="s">
        <v>1136</v>
      </c>
      <c r="B122" s="125" t="s">
        <v>5327</v>
      </c>
      <c r="C122" s="125">
        <v>227</v>
      </c>
      <c r="D122" s="125" t="s">
        <v>5328</v>
      </c>
      <c r="E122" s="125" t="s">
        <v>5303</v>
      </c>
      <c r="F122" s="125" t="s">
        <v>5304</v>
      </c>
      <c r="G122" s="125" t="s">
        <v>5297</v>
      </c>
      <c r="H122" s="125" t="s">
        <v>5329</v>
      </c>
      <c r="I122" s="125" t="s">
        <v>3575</v>
      </c>
    </row>
    <row r="123" spans="1:9" x14ac:dyDescent="0.25">
      <c r="A123" s="125" t="s">
        <v>5330</v>
      </c>
      <c r="B123" s="125" t="s">
        <v>5327</v>
      </c>
      <c r="C123" s="125">
        <v>227</v>
      </c>
      <c r="D123" s="125" t="s">
        <v>5328</v>
      </c>
      <c r="E123" s="125" t="s">
        <v>5303</v>
      </c>
      <c r="F123" s="125" t="s">
        <v>5304</v>
      </c>
      <c r="G123" s="125" t="s">
        <v>5297</v>
      </c>
      <c r="H123" s="125" t="s">
        <v>371</v>
      </c>
      <c r="I123" s="125" t="s">
        <v>371</v>
      </c>
    </row>
    <row r="124" spans="1:9" x14ac:dyDescent="0.25">
      <c r="A124" s="125" t="s">
        <v>1111</v>
      </c>
      <c r="B124" s="125" t="s">
        <v>5327</v>
      </c>
      <c r="C124" s="125">
        <v>227</v>
      </c>
      <c r="D124" s="125" t="s">
        <v>5328</v>
      </c>
      <c r="E124" s="125" t="s">
        <v>5303</v>
      </c>
      <c r="F124" s="125" t="s">
        <v>5304</v>
      </c>
      <c r="G124" s="125" t="s">
        <v>5297</v>
      </c>
      <c r="H124" s="125" t="s">
        <v>5331</v>
      </c>
      <c r="I124" s="125" t="s">
        <v>3575</v>
      </c>
    </row>
    <row r="125" spans="1:9" x14ac:dyDescent="0.25">
      <c r="A125" s="125" t="s">
        <v>2364</v>
      </c>
      <c r="B125" s="125" t="s">
        <v>5327</v>
      </c>
      <c r="C125" s="125">
        <v>227</v>
      </c>
      <c r="D125" s="125" t="s">
        <v>5328</v>
      </c>
      <c r="E125" s="125" t="s">
        <v>5303</v>
      </c>
      <c r="F125" s="125" t="s">
        <v>5304</v>
      </c>
      <c r="G125" s="125" t="s">
        <v>5297</v>
      </c>
      <c r="H125" s="125" t="s">
        <v>5332</v>
      </c>
      <c r="I125" s="125" t="s">
        <v>5332</v>
      </c>
    </row>
    <row r="126" spans="1:9" x14ac:dyDescent="0.25">
      <c r="A126" s="125" t="s">
        <v>1442</v>
      </c>
      <c r="B126" s="125" t="s">
        <v>5327</v>
      </c>
      <c r="C126" s="125">
        <v>227</v>
      </c>
      <c r="D126" s="125" t="s">
        <v>5328</v>
      </c>
      <c r="E126" s="125" t="s">
        <v>5303</v>
      </c>
      <c r="F126" s="125" t="s">
        <v>5304</v>
      </c>
      <c r="G126" s="125" t="s">
        <v>5297</v>
      </c>
      <c r="H126" s="125" t="s">
        <v>5332</v>
      </c>
      <c r="I126" s="125" t="s">
        <v>5332</v>
      </c>
    </row>
    <row r="127" spans="1:9" x14ac:dyDescent="0.25">
      <c r="A127" s="125" t="s">
        <v>2050</v>
      </c>
      <c r="B127" s="125" t="s">
        <v>5327</v>
      </c>
      <c r="C127" s="125">
        <v>227</v>
      </c>
      <c r="D127" s="125" t="s">
        <v>5328</v>
      </c>
      <c r="E127" s="125" t="s">
        <v>5303</v>
      </c>
      <c r="F127" s="125" t="s">
        <v>5304</v>
      </c>
      <c r="G127" s="125" t="s">
        <v>5297</v>
      </c>
      <c r="H127" s="125" t="s">
        <v>5332</v>
      </c>
      <c r="I127" s="125" t="s">
        <v>5332</v>
      </c>
    </row>
    <row r="128" spans="1:9" x14ac:dyDescent="0.25">
      <c r="A128" s="125" t="s">
        <v>1473</v>
      </c>
      <c r="B128" s="125" t="s">
        <v>5327</v>
      </c>
      <c r="C128" s="125">
        <v>227</v>
      </c>
      <c r="D128" s="125" t="s">
        <v>5328</v>
      </c>
      <c r="E128" s="125" t="s">
        <v>5303</v>
      </c>
      <c r="F128" s="125" t="s">
        <v>5304</v>
      </c>
      <c r="G128" s="125" t="s">
        <v>5297</v>
      </c>
      <c r="H128" s="125" t="s">
        <v>5332</v>
      </c>
      <c r="I128" s="125" t="s">
        <v>5332</v>
      </c>
    </row>
    <row r="129" spans="1:9" x14ac:dyDescent="0.25">
      <c r="A129" s="125" t="s">
        <v>2784</v>
      </c>
      <c r="B129" s="125" t="s">
        <v>5327</v>
      </c>
      <c r="C129" s="125">
        <v>227</v>
      </c>
      <c r="D129" s="125" t="s">
        <v>5328</v>
      </c>
      <c r="E129" s="125" t="s">
        <v>5303</v>
      </c>
      <c r="F129" s="125" t="s">
        <v>5304</v>
      </c>
      <c r="G129" s="125" t="s">
        <v>5297</v>
      </c>
      <c r="H129" s="125" t="s">
        <v>371</v>
      </c>
      <c r="I129" s="125" t="s">
        <v>371</v>
      </c>
    </row>
    <row r="130" spans="1:9" x14ac:dyDescent="0.25">
      <c r="A130" s="125" t="s">
        <v>1085</v>
      </c>
      <c r="B130" s="125" t="s">
        <v>5327</v>
      </c>
      <c r="C130" s="125">
        <v>227</v>
      </c>
      <c r="D130" s="125" t="s">
        <v>5328</v>
      </c>
      <c r="E130" s="125" t="s">
        <v>5303</v>
      </c>
      <c r="F130" s="125" t="s">
        <v>5304</v>
      </c>
      <c r="G130" s="125" t="s">
        <v>5297</v>
      </c>
      <c r="H130" s="125" t="s">
        <v>5329</v>
      </c>
      <c r="I130" s="125" t="s">
        <v>3575</v>
      </c>
    </row>
    <row r="131" spans="1:9" x14ac:dyDescent="0.25">
      <c r="A131" s="125" t="s">
        <v>1145</v>
      </c>
      <c r="B131" s="125" t="s">
        <v>5333</v>
      </c>
      <c r="C131" s="125">
        <v>233</v>
      </c>
      <c r="D131" s="125" t="s">
        <v>5334</v>
      </c>
      <c r="E131" s="125" t="s">
        <v>5303</v>
      </c>
      <c r="F131" s="125" t="s">
        <v>5304</v>
      </c>
      <c r="G131" s="125" t="s">
        <v>5297</v>
      </c>
      <c r="H131" s="125" t="s">
        <v>5335</v>
      </c>
      <c r="I131" s="125" t="s">
        <v>3575</v>
      </c>
    </row>
    <row r="132" spans="1:9" x14ac:dyDescent="0.25">
      <c r="A132" s="125" t="s">
        <v>1381</v>
      </c>
      <c r="B132" s="125" t="s">
        <v>5327</v>
      </c>
      <c r="C132" s="125">
        <v>227</v>
      </c>
      <c r="D132" s="125" t="s">
        <v>5328</v>
      </c>
      <c r="E132" s="125" t="s">
        <v>5303</v>
      </c>
      <c r="F132" s="125" t="s">
        <v>5304</v>
      </c>
      <c r="G132" s="125" t="s">
        <v>5297</v>
      </c>
      <c r="H132" s="125" t="s">
        <v>371</v>
      </c>
      <c r="I132" s="125" t="s">
        <v>371</v>
      </c>
    </row>
    <row r="133" spans="1:9" x14ac:dyDescent="0.25">
      <c r="A133" s="125" t="s">
        <v>2252</v>
      </c>
      <c r="B133" s="125" t="s">
        <v>5336</v>
      </c>
      <c r="C133" s="125">
        <v>222</v>
      </c>
      <c r="D133" s="125" t="s">
        <v>5337</v>
      </c>
      <c r="E133" s="125" t="s">
        <v>5303</v>
      </c>
      <c r="F133" s="125" t="s">
        <v>5304</v>
      </c>
      <c r="G133" s="125" t="s">
        <v>5297</v>
      </c>
      <c r="H133" s="125" t="s">
        <v>5335</v>
      </c>
      <c r="I133" s="125" t="s">
        <v>3575</v>
      </c>
    </row>
    <row r="134" spans="1:9" x14ac:dyDescent="0.25">
      <c r="A134" s="125" t="s">
        <v>2040</v>
      </c>
      <c r="B134" s="125" t="s">
        <v>5327</v>
      </c>
      <c r="C134" s="125">
        <v>227</v>
      </c>
      <c r="D134" s="125" t="s">
        <v>5328</v>
      </c>
      <c r="E134" s="125" t="s">
        <v>5303</v>
      </c>
      <c r="F134" s="125" t="s">
        <v>5304</v>
      </c>
      <c r="G134" s="125" t="s">
        <v>5297</v>
      </c>
      <c r="H134" s="125" t="s">
        <v>5329</v>
      </c>
      <c r="I134" s="125" t="s">
        <v>3575</v>
      </c>
    </row>
    <row r="135" spans="1:9" x14ac:dyDescent="0.25">
      <c r="A135" s="125" t="s">
        <v>1093</v>
      </c>
      <c r="B135" s="125" t="s">
        <v>5327</v>
      </c>
      <c r="C135" s="125">
        <v>227</v>
      </c>
      <c r="D135" s="125" t="s">
        <v>5328</v>
      </c>
      <c r="E135" s="125" t="s">
        <v>5303</v>
      </c>
      <c r="F135" s="125" t="s">
        <v>5304</v>
      </c>
      <c r="G135" s="125" t="s">
        <v>5297</v>
      </c>
      <c r="H135" s="125" t="s">
        <v>5331</v>
      </c>
      <c r="I135" s="125" t="s">
        <v>3575</v>
      </c>
    </row>
    <row r="136" spans="1:9" x14ac:dyDescent="0.25">
      <c r="A136" s="125" t="s">
        <v>1096</v>
      </c>
      <c r="B136" s="125" t="s">
        <v>5327</v>
      </c>
      <c r="C136" s="125">
        <v>227</v>
      </c>
      <c r="D136" s="125" t="s">
        <v>5328</v>
      </c>
      <c r="E136" s="125" t="s">
        <v>5303</v>
      </c>
      <c r="F136" s="125" t="s">
        <v>5304</v>
      </c>
      <c r="G136" s="125" t="s">
        <v>5297</v>
      </c>
      <c r="H136" s="125" t="s">
        <v>5331</v>
      </c>
      <c r="I136" s="125" t="s">
        <v>3575</v>
      </c>
    </row>
    <row r="137" spans="1:9" x14ac:dyDescent="0.25">
      <c r="A137" s="125" t="s">
        <v>2290</v>
      </c>
      <c r="B137" s="125" t="s">
        <v>5327</v>
      </c>
      <c r="C137" s="125">
        <v>227</v>
      </c>
      <c r="D137" s="125" t="s">
        <v>5328</v>
      </c>
      <c r="E137" s="125" t="s">
        <v>5303</v>
      </c>
      <c r="F137" s="125" t="s">
        <v>5304</v>
      </c>
      <c r="G137" s="125" t="s">
        <v>5297</v>
      </c>
      <c r="H137" s="125" t="s">
        <v>5331</v>
      </c>
      <c r="I137" s="125" t="s">
        <v>3575</v>
      </c>
    </row>
    <row r="138" spans="1:9" x14ac:dyDescent="0.25">
      <c r="A138" s="125" t="s">
        <v>3146</v>
      </c>
      <c r="B138" s="125" t="s">
        <v>5327</v>
      </c>
      <c r="C138" s="125">
        <v>227</v>
      </c>
      <c r="D138" s="125" t="s">
        <v>5328</v>
      </c>
      <c r="E138" s="125" t="s">
        <v>5303</v>
      </c>
      <c r="F138" s="125" t="s">
        <v>5304</v>
      </c>
      <c r="G138" s="125" t="s">
        <v>5297</v>
      </c>
      <c r="H138" s="125" t="s">
        <v>5335</v>
      </c>
      <c r="I138" s="125" t="s">
        <v>3575</v>
      </c>
    </row>
    <row r="139" spans="1:9" x14ac:dyDescent="0.25">
      <c r="A139" s="125" t="s">
        <v>5338</v>
      </c>
      <c r="B139" s="125" t="s">
        <v>5327</v>
      </c>
      <c r="C139" s="125">
        <v>227</v>
      </c>
      <c r="D139" s="125" t="s">
        <v>5328</v>
      </c>
      <c r="E139" s="125" t="s">
        <v>5303</v>
      </c>
      <c r="F139" s="125" t="s">
        <v>5304</v>
      </c>
      <c r="G139" s="125" t="s">
        <v>5297</v>
      </c>
      <c r="H139" s="125" t="s">
        <v>5335</v>
      </c>
      <c r="I139" s="125" t="s">
        <v>3575</v>
      </c>
    </row>
    <row r="140" spans="1:9" x14ac:dyDescent="0.25">
      <c r="A140" s="125" t="s">
        <v>2768</v>
      </c>
      <c r="B140" s="125" t="s">
        <v>5336</v>
      </c>
      <c r="C140" s="125">
        <v>222</v>
      </c>
      <c r="D140" s="125" t="s">
        <v>5337</v>
      </c>
      <c r="E140" s="125" t="s">
        <v>5303</v>
      </c>
      <c r="F140" s="125" t="s">
        <v>5304</v>
      </c>
      <c r="G140" s="125" t="s">
        <v>5297</v>
      </c>
      <c r="H140" s="125" t="s">
        <v>5335</v>
      </c>
      <c r="I140" s="125" t="s">
        <v>3575</v>
      </c>
    </row>
    <row r="141" spans="1:9" x14ac:dyDescent="0.25">
      <c r="A141" s="125" t="s">
        <v>2476</v>
      </c>
      <c r="B141" s="125" t="s">
        <v>5339</v>
      </c>
      <c r="C141" s="125">
        <v>235</v>
      </c>
      <c r="D141" s="140" t="s">
        <v>5340</v>
      </c>
      <c r="E141" s="125" t="s">
        <v>5341</v>
      </c>
      <c r="F141" s="140" t="s">
        <v>5342</v>
      </c>
      <c r="G141" s="125" t="s">
        <v>5297</v>
      </c>
      <c r="H141" s="125" t="s">
        <v>5343</v>
      </c>
      <c r="I141" s="125" t="s">
        <v>5344</v>
      </c>
    </row>
    <row r="142" spans="1:9" x14ac:dyDescent="0.25">
      <c r="A142" s="125" t="s">
        <v>2480</v>
      </c>
      <c r="B142" s="125" t="s">
        <v>5339</v>
      </c>
      <c r="C142" s="125">
        <v>235</v>
      </c>
      <c r="D142" s="140" t="s">
        <v>5340</v>
      </c>
      <c r="E142" s="125" t="s">
        <v>5341</v>
      </c>
      <c r="F142" s="140" t="s">
        <v>5342</v>
      </c>
      <c r="G142" s="125" t="s">
        <v>5297</v>
      </c>
      <c r="H142" s="125" t="s">
        <v>371</v>
      </c>
      <c r="I142" s="125" t="s">
        <v>371</v>
      </c>
    </row>
    <row r="143" spans="1:9" x14ac:dyDescent="0.25">
      <c r="A143" s="125" t="s">
        <v>1347</v>
      </c>
      <c r="B143" s="125" t="s">
        <v>5339</v>
      </c>
      <c r="C143" s="125">
        <v>235</v>
      </c>
      <c r="D143" s="140" t="s">
        <v>5340</v>
      </c>
      <c r="E143" s="125" t="s">
        <v>5341</v>
      </c>
      <c r="F143" s="140" t="s">
        <v>5342</v>
      </c>
      <c r="G143" s="125" t="s">
        <v>5297</v>
      </c>
      <c r="H143" s="125" t="s">
        <v>1346</v>
      </c>
      <c r="I143" s="125" t="s">
        <v>5344</v>
      </c>
    </row>
    <row r="144" spans="1:9" x14ac:dyDescent="0.25">
      <c r="A144" s="125" t="s">
        <v>1849</v>
      </c>
      <c r="B144" s="125" t="s">
        <v>5339</v>
      </c>
      <c r="C144" s="125">
        <v>235</v>
      </c>
      <c r="D144" s="140" t="s">
        <v>5340</v>
      </c>
      <c r="E144" s="125" t="s">
        <v>5341</v>
      </c>
      <c r="F144" s="140" t="s">
        <v>5342</v>
      </c>
      <c r="G144" s="125" t="s">
        <v>5297</v>
      </c>
      <c r="H144" s="125" t="s">
        <v>1346</v>
      </c>
      <c r="I144" s="125" t="s">
        <v>5344</v>
      </c>
    </row>
    <row r="145" spans="1:9" x14ac:dyDescent="0.25">
      <c r="A145" s="125" t="s">
        <v>2467</v>
      </c>
      <c r="B145" s="125" t="s">
        <v>5339</v>
      </c>
      <c r="C145" s="125">
        <v>235</v>
      </c>
      <c r="D145" s="140" t="s">
        <v>5340</v>
      </c>
      <c r="E145" s="125" t="s">
        <v>5341</v>
      </c>
      <c r="F145" s="140" t="s">
        <v>5342</v>
      </c>
      <c r="G145" s="125" t="s">
        <v>5297</v>
      </c>
      <c r="H145" s="125" t="s">
        <v>371</v>
      </c>
      <c r="I145" s="125" t="s">
        <v>371</v>
      </c>
    </row>
    <row r="146" spans="1:9" x14ac:dyDescent="0.25">
      <c r="A146" s="125" t="s">
        <v>1526</v>
      </c>
      <c r="B146" s="125" t="s">
        <v>5339</v>
      </c>
      <c r="C146" s="125">
        <v>235</v>
      </c>
      <c r="D146" s="140" t="s">
        <v>5340</v>
      </c>
      <c r="E146" s="125" t="s">
        <v>5341</v>
      </c>
      <c r="F146" s="140" t="s">
        <v>5342</v>
      </c>
      <c r="G146" s="125" t="s">
        <v>5297</v>
      </c>
      <c r="H146" s="125" t="s">
        <v>5343</v>
      </c>
      <c r="I146" s="125" t="s">
        <v>5344</v>
      </c>
    </row>
    <row r="147" spans="1:9" x14ac:dyDescent="0.25">
      <c r="A147" s="125" t="s">
        <v>2138</v>
      </c>
      <c r="B147" s="125" t="s">
        <v>5339</v>
      </c>
      <c r="C147" s="125">
        <v>235</v>
      </c>
      <c r="D147" s="140" t="s">
        <v>5340</v>
      </c>
      <c r="E147" s="125" t="s">
        <v>5341</v>
      </c>
      <c r="F147" s="140" t="s">
        <v>5342</v>
      </c>
      <c r="G147" s="125" t="s">
        <v>5297</v>
      </c>
      <c r="H147" s="125" t="s">
        <v>5343</v>
      </c>
      <c r="I147" s="125" t="s">
        <v>5344</v>
      </c>
    </row>
    <row r="148" spans="1:9" x14ac:dyDescent="0.25">
      <c r="A148" s="125" t="s">
        <v>1528</v>
      </c>
      <c r="B148" s="125" t="s">
        <v>5339</v>
      </c>
      <c r="C148" s="125">
        <v>235</v>
      </c>
      <c r="D148" s="140" t="s">
        <v>5340</v>
      </c>
      <c r="E148" s="125" t="s">
        <v>5341</v>
      </c>
      <c r="F148" s="140" t="s">
        <v>5342</v>
      </c>
      <c r="G148" s="125" t="s">
        <v>5297</v>
      </c>
      <c r="H148" s="125" t="s">
        <v>1527</v>
      </c>
      <c r="I148" s="125" t="s">
        <v>5344</v>
      </c>
    </row>
    <row r="149" spans="1:9" x14ac:dyDescent="0.25">
      <c r="A149" s="125" t="s">
        <v>1525</v>
      </c>
      <c r="B149" s="125" t="s">
        <v>5339</v>
      </c>
      <c r="C149" s="125">
        <v>235</v>
      </c>
      <c r="D149" s="140" t="s">
        <v>5340</v>
      </c>
      <c r="E149" s="125" t="s">
        <v>5341</v>
      </c>
      <c r="F149" s="140" t="s">
        <v>5342</v>
      </c>
      <c r="G149" s="125" t="s">
        <v>5297</v>
      </c>
      <c r="H149" s="125" t="s">
        <v>5345</v>
      </c>
      <c r="I149" s="125" t="s">
        <v>5344</v>
      </c>
    </row>
    <row r="150" spans="1:9" x14ac:dyDescent="0.25">
      <c r="A150" s="125" t="s">
        <v>1647</v>
      </c>
      <c r="B150" s="125" t="s">
        <v>5339</v>
      </c>
      <c r="C150" s="125">
        <v>235</v>
      </c>
      <c r="D150" s="140" t="s">
        <v>5340</v>
      </c>
      <c r="E150" s="125" t="s">
        <v>5341</v>
      </c>
      <c r="F150" s="140" t="s">
        <v>5342</v>
      </c>
      <c r="G150" s="125" t="s">
        <v>5297</v>
      </c>
      <c r="H150" s="125" t="s">
        <v>5345</v>
      </c>
      <c r="I150" s="125" t="s">
        <v>5344</v>
      </c>
    </row>
    <row r="151" spans="1:9" x14ac:dyDescent="0.25">
      <c r="A151" s="125" t="s">
        <v>1305</v>
      </c>
      <c r="B151" s="125" t="s">
        <v>5339</v>
      </c>
      <c r="C151" s="125">
        <v>235</v>
      </c>
      <c r="D151" s="140" t="s">
        <v>5340</v>
      </c>
      <c r="E151" s="125" t="s">
        <v>5341</v>
      </c>
      <c r="F151" s="140" t="s">
        <v>5342</v>
      </c>
      <c r="G151" s="125" t="s">
        <v>5297</v>
      </c>
      <c r="H151" s="125" t="s">
        <v>5346</v>
      </c>
      <c r="I151" s="125" t="s">
        <v>5344</v>
      </c>
    </row>
    <row r="152" spans="1:9" x14ac:dyDescent="0.25">
      <c r="A152" s="125" t="s">
        <v>1848</v>
      </c>
      <c r="B152" s="125" t="s">
        <v>5339</v>
      </c>
      <c r="C152" s="125">
        <v>235</v>
      </c>
      <c r="D152" s="140" t="s">
        <v>5340</v>
      </c>
      <c r="E152" s="125" t="s">
        <v>5341</v>
      </c>
      <c r="F152" s="140" t="s">
        <v>5342</v>
      </c>
      <c r="G152" s="125" t="s">
        <v>5297</v>
      </c>
      <c r="H152" s="125" t="s">
        <v>5347</v>
      </c>
      <c r="I152" s="125" t="s">
        <v>5344</v>
      </c>
    </row>
    <row r="153" spans="1:9" x14ac:dyDescent="0.25">
      <c r="A153" s="125" t="s">
        <v>3315</v>
      </c>
      <c r="B153" s="125" t="s">
        <v>5339</v>
      </c>
      <c r="C153" s="125">
        <v>235</v>
      </c>
      <c r="D153" s="140" t="s">
        <v>5340</v>
      </c>
      <c r="E153" s="125" t="s">
        <v>5341</v>
      </c>
      <c r="F153" s="140" t="s">
        <v>5342</v>
      </c>
      <c r="G153" s="125" t="s">
        <v>5297</v>
      </c>
      <c r="H153" s="125" t="s">
        <v>5347</v>
      </c>
      <c r="I153" s="125" t="s">
        <v>5344</v>
      </c>
    </row>
    <row r="154" spans="1:9" x14ac:dyDescent="0.25">
      <c r="A154" s="125" t="s">
        <v>3395</v>
      </c>
      <c r="B154" s="125" t="s">
        <v>5348</v>
      </c>
      <c r="C154" s="125">
        <v>284</v>
      </c>
      <c r="D154" s="125" t="s">
        <v>5349</v>
      </c>
      <c r="E154" s="125" t="s">
        <v>5341</v>
      </c>
      <c r="F154" s="140" t="s">
        <v>5342</v>
      </c>
      <c r="G154" s="125" t="s">
        <v>5297</v>
      </c>
      <c r="H154" s="125" t="s">
        <v>5350</v>
      </c>
      <c r="I154" s="125" t="s">
        <v>5351</v>
      </c>
    </row>
    <row r="155" spans="1:9" x14ac:dyDescent="0.25">
      <c r="A155" s="125" t="s">
        <v>1299</v>
      </c>
      <c r="B155" s="125" t="s">
        <v>5348</v>
      </c>
      <c r="C155" s="125">
        <v>284</v>
      </c>
      <c r="D155" s="125" t="s">
        <v>5349</v>
      </c>
      <c r="E155" s="125" t="s">
        <v>5341</v>
      </c>
      <c r="F155" s="140" t="s">
        <v>5342</v>
      </c>
      <c r="G155" s="125" t="s">
        <v>5297</v>
      </c>
      <c r="H155" s="125" t="s">
        <v>371</v>
      </c>
      <c r="I155" s="125" t="s">
        <v>371</v>
      </c>
    </row>
    <row r="156" spans="1:9" x14ac:dyDescent="0.25">
      <c r="A156" s="125" t="s">
        <v>1838</v>
      </c>
      <c r="B156" s="125" t="s">
        <v>5348</v>
      </c>
      <c r="C156" s="125">
        <v>284</v>
      </c>
      <c r="D156" s="125" t="s">
        <v>5349</v>
      </c>
      <c r="E156" s="125" t="s">
        <v>5341</v>
      </c>
      <c r="F156" s="140" t="s">
        <v>5342</v>
      </c>
      <c r="G156" s="125" t="s">
        <v>5297</v>
      </c>
      <c r="H156" s="125" t="s">
        <v>5352</v>
      </c>
      <c r="I156" s="125" t="s">
        <v>5351</v>
      </c>
    </row>
    <row r="157" spans="1:9" x14ac:dyDescent="0.25">
      <c r="A157" s="125" t="s">
        <v>2314</v>
      </c>
      <c r="B157" s="125" t="s">
        <v>5348</v>
      </c>
      <c r="C157" s="125">
        <v>284</v>
      </c>
      <c r="D157" s="125" t="s">
        <v>5349</v>
      </c>
      <c r="E157" s="125" t="s">
        <v>5341</v>
      </c>
      <c r="F157" s="140" t="s">
        <v>5342</v>
      </c>
      <c r="G157" s="125" t="s">
        <v>5297</v>
      </c>
      <c r="H157" s="125" t="s">
        <v>1183</v>
      </c>
      <c r="I157" s="125" t="s">
        <v>5351</v>
      </c>
    </row>
    <row r="158" spans="1:9" x14ac:dyDescent="0.25">
      <c r="A158" s="125" t="s">
        <v>1184</v>
      </c>
      <c r="B158" s="125" t="s">
        <v>5348</v>
      </c>
      <c r="C158" s="125">
        <v>284</v>
      </c>
      <c r="D158" s="125" t="s">
        <v>5349</v>
      </c>
      <c r="E158" s="125" t="s">
        <v>5341</v>
      </c>
      <c r="F158" s="140" t="s">
        <v>5342</v>
      </c>
      <c r="G158" s="125" t="s">
        <v>5297</v>
      </c>
      <c r="H158" s="125" t="s">
        <v>5350</v>
      </c>
      <c r="I158" s="125" t="s">
        <v>5351</v>
      </c>
    </row>
    <row r="159" spans="1:9" x14ac:dyDescent="0.25">
      <c r="A159" s="125" t="s">
        <v>2815</v>
      </c>
      <c r="B159" s="125" t="s">
        <v>5348</v>
      </c>
      <c r="C159" s="125">
        <v>284</v>
      </c>
      <c r="D159" s="125" t="s">
        <v>5349</v>
      </c>
      <c r="E159" s="125" t="s">
        <v>5341</v>
      </c>
      <c r="F159" s="140" t="s">
        <v>5342</v>
      </c>
      <c r="G159" s="125" t="s">
        <v>5297</v>
      </c>
      <c r="H159" s="125" t="s">
        <v>1183</v>
      </c>
      <c r="I159" s="125" t="s">
        <v>5351</v>
      </c>
    </row>
    <row r="160" spans="1:9" x14ac:dyDescent="0.25">
      <c r="A160" s="125" t="s">
        <v>1315</v>
      </c>
      <c r="B160" s="125" t="s">
        <v>5348</v>
      </c>
      <c r="C160" s="125">
        <v>284</v>
      </c>
      <c r="D160" s="125" t="s">
        <v>5349</v>
      </c>
      <c r="E160" s="125" t="s">
        <v>5341</v>
      </c>
      <c r="F160" s="140" t="s">
        <v>5342</v>
      </c>
      <c r="G160" s="125" t="s">
        <v>5297</v>
      </c>
      <c r="H160" s="125" t="s">
        <v>371</v>
      </c>
      <c r="I160" s="125" t="s">
        <v>371</v>
      </c>
    </row>
    <row r="161" spans="1:9" x14ac:dyDescent="0.25">
      <c r="A161" s="125" t="s">
        <v>2077</v>
      </c>
      <c r="B161" s="125" t="s">
        <v>5348</v>
      </c>
      <c r="C161" s="125">
        <v>284</v>
      </c>
      <c r="D161" s="125" t="s">
        <v>5349</v>
      </c>
      <c r="E161" s="125" t="s">
        <v>5341</v>
      </c>
      <c r="F161" s="140" t="s">
        <v>5342</v>
      </c>
      <c r="G161" s="125" t="s">
        <v>5297</v>
      </c>
      <c r="H161" s="125" t="s">
        <v>1183</v>
      </c>
      <c r="I161" s="125" t="s">
        <v>5351</v>
      </c>
    </row>
    <row r="162" spans="1:9" x14ac:dyDescent="0.25">
      <c r="A162" s="125" t="s">
        <v>3441</v>
      </c>
      <c r="B162" s="125" t="s">
        <v>5348</v>
      </c>
      <c r="C162" s="125">
        <v>284</v>
      </c>
      <c r="D162" s="125" t="s">
        <v>5349</v>
      </c>
      <c r="E162" s="125" t="s">
        <v>5341</v>
      </c>
      <c r="F162" s="140" t="s">
        <v>5342</v>
      </c>
      <c r="G162" s="125" t="s">
        <v>5297</v>
      </c>
      <c r="H162" s="125" t="s">
        <v>1183</v>
      </c>
      <c r="I162" s="125" t="s">
        <v>5351</v>
      </c>
    </row>
    <row r="163" spans="1:9" x14ac:dyDescent="0.25">
      <c r="A163" s="125" t="s">
        <v>2653</v>
      </c>
      <c r="B163" s="125" t="s">
        <v>5348</v>
      </c>
      <c r="C163" s="125">
        <v>284</v>
      </c>
      <c r="D163" s="125" t="s">
        <v>5349</v>
      </c>
      <c r="E163" s="125" t="s">
        <v>5341</v>
      </c>
      <c r="F163" s="140" t="s">
        <v>5353</v>
      </c>
      <c r="G163" s="125" t="s">
        <v>5297</v>
      </c>
      <c r="H163" s="125" t="s">
        <v>1183</v>
      </c>
      <c r="I163" s="125" t="s">
        <v>5351</v>
      </c>
    </row>
    <row r="164" spans="1:9" x14ac:dyDescent="0.25">
      <c r="A164" s="125" t="s">
        <v>2621</v>
      </c>
      <c r="B164" s="125" t="s">
        <v>5348</v>
      </c>
      <c r="C164" s="125">
        <v>284</v>
      </c>
      <c r="D164" s="125" t="s">
        <v>5349</v>
      </c>
      <c r="E164" s="125" t="s">
        <v>5341</v>
      </c>
      <c r="F164" s="140" t="s">
        <v>5342</v>
      </c>
      <c r="G164" s="125" t="s">
        <v>5297</v>
      </c>
      <c r="H164" s="125" t="s">
        <v>5352</v>
      </c>
      <c r="I164" s="125" t="s">
        <v>5351</v>
      </c>
    </row>
    <row r="165" spans="1:9" x14ac:dyDescent="0.25">
      <c r="A165" s="125" t="s">
        <v>1521</v>
      </c>
      <c r="B165" s="125" t="s">
        <v>5348</v>
      </c>
      <c r="C165" s="125">
        <v>284</v>
      </c>
      <c r="D165" s="125" t="s">
        <v>5349</v>
      </c>
      <c r="E165" s="125" t="s">
        <v>5341</v>
      </c>
      <c r="F165" s="140" t="s">
        <v>5342</v>
      </c>
      <c r="G165" s="125" t="s">
        <v>5297</v>
      </c>
      <c r="H165" s="125" t="s">
        <v>1183</v>
      </c>
      <c r="I165" s="125" t="s">
        <v>5351</v>
      </c>
    </row>
    <row r="166" spans="1:9" x14ac:dyDescent="0.25">
      <c r="A166" s="125" t="s">
        <v>1287</v>
      </c>
      <c r="B166" s="125" t="s">
        <v>5348</v>
      </c>
      <c r="C166" s="125">
        <v>284</v>
      </c>
      <c r="D166" s="125" t="s">
        <v>5349</v>
      </c>
      <c r="E166" s="125" t="s">
        <v>5341</v>
      </c>
      <c r="F166" s="140" t="s">
        <v>5342</v>
      </c>
      <c r="G166" s="125" t="s">
        <v>5297</v>
      </c>
      <c r="H166" s="125" t="s">
        <v>371</v>
      </c>
      <c r="I166" s="125" t="s">
        <v>371</v>
      </c>
    </row>
    <row r="167" spans="1:9" x14ac:dyDescent="0.25">
      <c r="A167" s="125" t="s">
        <v>2482</v>
      </c>
      <c r="B167" s="125" t="s">
        <v>5348</v>
      </c>
      <c r="C167" s="125">
        <v>284</v>
      </c>
      <c r="D167" s="125" t="s">
        <v>5349</v>
      </c>
      <c r="E167" s="125" t="s">
        <v>5341</v>
      </c>
      <c r="F167" s="140" t="s">
        <v>5342</v>
      </c>
      <c r="G167" s="125" t="s">
        <v>5297</v>
      </c>
      <c r="H167" s="125" t="s">
        <v>5350</v>
      </c>
      <c r="I167" s="125" t="s">
        <v>5351</v>
      </c>
    </row>
    <row r="168" spans="1:9" x14ac:dyDescent="0.25">
      <c r="A168" s="125" t="s">
        <v>1548</v>
      </c>
      <c r="B168" s="125" t="s">
        <v>5348</v>
      </c>
      <c r="C168" s="125">
        <v>284</v>
      </c>
      <c r="D168" s="125" t="s">
        <v>5349</v>
      </c>
      <c r="E168" s="125" t="s">
        <v>5341</v>
      </c>
      <c r="F168" s="140" t="s">
        <v>5342</v>
      </c>
      <c r="G168" s="125" t="s">
        <v>5297</v>
      </c>
      <c r="H168" s="125" t="s">
        <v>1183</v>
      </c>
      <c r="I168" s="125" t="s">
        <v>5351</v>
      </c>
    </row>
    <row r="169" spans="1:9" x14ac:dyDescent="0.25">
      <c r="A169" s="125" t="s">
        <v>1330</v>
      </c>
      <c r="B169" s="125" t="s">
        <v>5348</v>
      </c>
      <c r="C169" s="125">
        <v>284</v>
      </c>
      <c r="D169" s="125" t="s">
        <v>5349</v>
      </c>
      <c r="E169" s="125" t="s">
        <v>5341</v>
      </c>
      <c r="F169" s="140" t="s">
        <v>5342</v>
      </c>
      <c r="G169" s="125" t="s">
        <v>5297</v>
      </c>
      <c r="H169" s="125" t="s">
        <v>5354</v>
      </c>
      <c r="I169" s="125" t="s">
        <v>5355</v>
      </c>
    </row>
    <row r="170" spans="1:9" x14ac:dyDescent="0.25">
      <c r="A170" s="125" t="s">
        <v>1348</v>
      </c>
      <c r="B170" s="125" t="s">
        <v>5348</v>
      </c>
      <c r="C170" s="125">
        <v>284</v>
      </c>
      <c r="D170" s="125" t="s">
        <v>5349</v>
      </c>
      <c r="E170" s="125" t="s">
        <v>5341</v>
      </c>
      <c r="F170" s="140" t="s">
        <v>5342</v>
      </c>
      <c r="G170" s="125" t="s">
        <v>5297</v>
      </c>
      <c r="H170" s="125" t="s">
        <v>5354</v>
      </c>
      <c r="I170" s="125" t="s">
        <v>5355</v>
      </c>
    </row>
    <row r="171" spans="1:9" x14ac:dyDescent="0.25">
      <c r="A171" s="125" t="s">
        <v>3518</v>
      </c>
      <c r="B171" s="125" t="s">
        <v>5348</v>
      </c>
      <c r="C171" s="125">
        <v>284</v>
      </c>
      <c r="D171" s="125" t="s">
        <v>5349</v>
      </c>
      <c r="E171" s="125" t="s">
        <v>5341</v>
      </c>
      <c r="F171" s="140" t="s">
        <v>5342</v>
      </c>
      <c r="G171" s="125" t="s">
        <v>5297</v>
      </c>
      <c r="H171" s="125" t="s">
        <v>5350</v>
      </c>
      <c r="I171" s="125" t="s">
        <v>5351</v>
      </c>
    </row>
    <row r="172" spans="1:9" x14ac:dyDescent="0.25">
      <c r="A172" s="125" t="s">
        <v>1951</v>
      </c>
      <c r="B172" s="125" t="s">
        <v>5348</v>
      </c>
      <c r="C172" s="125">
        <v>284</v>
      </c>
      <c r="D172" s="125" t="s">
        <v>5349</v>
      </c>
      <c r="E172" s="125" t="s">
        <v>5341</v>
      </c>
      <c r="F172" s="140" t="s">
        <v>5342</v>
      </c>
      <c r="G172" s="125" t="s">
        <v>5297</v>
      </c>
      <c r="H172" s="125" t="s">
        <v>1183</v>
      </c>
      <c r="I172" s="125" t="s">
        <v>5351</v>
      </c>
    </row>
    <row r="173" spans="1:9" x14ac:dyDescent="0.25">
      <c r="A173" s="125" t="s">
        <v>2366</v>
      </c>
      <c r="B173" s="125" t="s">
        <v>5348</v>
      </c>
      <c r="C173" s="125">
        <v>284</v>
      </c>
      <c r="D173" s="125" t="s">
        <v>5349</v>
      </c>
      <c r="E173" s="125" t="s">
        <v>5341</v>
      </c>
      <c r="F173" s="140" t="s">
        <v>5342</v>
      </c>
      <c r="G173" s="125" t="s">
        <v>5297</v>
      </c>
      <c r="H173" s="125" t="s">
        <v>5350</v>
      </c>
      <c r="I173" s="125" t="s">
        <v>5351</v>
      </c>
    </row>
    <row r="174" spans="1:9" x14ac:dyDescent="0.25">
      <c r="A174" s="125" t="s">
        <v>2367</v>
      </c>
      <c r="B174" s="125" t="s">
        <v>5348</v>
      </c>
      <c r="C174" s="125">
        <v>284</v>
      </c>
      <c r="D174" s="125" t="s">
        <v>5349</v>
      </c>
      <c r="E174" s="125" t="s">
        <v>5341</v>
      </c>
      <c r="F174" s="140" t="s">
        <v>5342</v>
      </c>
      <c r="G174" s="125" t="s">
        <v>5297</v>
      </c>
      <c r="H174" s="125" t="s">
        <v>1183</v>
      </c>
      <c r="I174" s="125" t="s">
        <v>5351</v>
      </c>
    </row>
    <row r="175" spans="1:9" x14ac:dyDescent="0.25">
      <c r="A175" s="125" t="s">
        <v>3387</v>
      </c>
      <c r="B175" s="125" t="s">
        <v>5348</v>
      </c>
      <c r="C175" s="125">
        <v>284</v>
      </c>
      <c r="D175" s="125" t="s">
        <v>5349</v>
      </c>
      <c r="E175" s="125" t="s">
        <v>5341</v>
      </c>
      <c r="F175" s="140" t="s">
        <v>5342</v>
      </c>
      <c r="G175" s="125" t="s">
        <v>5297</v>
      </c>
      <c r="H175" s="125" t="s">
        <v>1183</v>
      </c>
      <c r="I175" s="125" t="s">
        <v>5351</v>
      </c>
    </row>
    <row r="176" spans="1:9" x14ac:dyDescent="0.25">
      <c r="A176" s="125" t="s">
        <v>2479</v>
      </c>
      <c r="B176" s="125" t="s">
        <v>5348</v>
      </c>
      <c r="C176" s="125">
        <v>284</v>
      </c>
      <c r="D176" s="125" t="s">
        <v>5349</v>
      </c>
      <c r="E176" s="125" t="s">
        <v>5341</v>
      </c>
      <c r="F176" s="140" t="s">
        <v>5342</v>
      </c>
      <c r="G176" s="125" t="s">
        <v>5297</v>
      </c>
      <c r="H176" s="125" t="s">
        <v>5350</v>
      </c>
      <c r="I176" s="125" t="s">
        <v>5351</v>
      </c>
    </row>
    <row r="177" spans="1:9" x14ac:dyDescent="0.25">
      <c r="A177" s="125" t="s">
        <v>5356</v>
      </c>
      <c r="B177" s="125" t="s">
        <v>5348</v>
      </c>
      <c r="C177" s="125">
        <v>284</v>
      </c>
      <c r="D177" s="125" t="s">
        <v>5349</v>
      </c>
      <c r="E177" s="125" t="s">
        <v>5341</v>
      </c>
      <c r="F177" s="140" t="s">
        <v>5342</v>
      </c>
      <c r="G177" s="125" t="s">
        <v>5297</v>
      </c>
      <c r="H177" s="125" t="s">
        <v>5350</v>
      </c>
      <c r="I177" s="125" t="s">
        <v>5351</v>
      </c>
    </row>
    <row r="178" spans="1:9" x14ac:dyDescent="0.25">
      <c r="A178" s="125" t="s">
        <v>2908</v>
      </c>
      <c r="B178" s="125" t="s">
        <v>5333</v>
      </c>
      <c r="C178" s="125">
        <v>233</v>
      </c>
      <c r="D178" s="125" t="s">
        <v>5334</v>
      </c>
      <c r="E178" s="125" t="s">
        <v>5303</v>
      </c>
      <c r="F178" s="125" t="s">
        <v>5304</v>
      </c>
      <c r="G178" s="125" t="s">
        <v>5297</v>
      </c>
      <c r="H178" s="125" t="s">
        <v>5357</v>
      </c>
      <c r="I178" s="125" t="s">
        <v>3269</v>
      </c>
    </row>
    <row r="179" spans="1:9" x14ac:dyDescent="0.25">
      <c r="A179" s="125" t="s">
        <v>3253</v>
      </c>
      <c r="B179" s="125" t="s">
        <v>5333</v>
      </c>
      <c r="C179" s="125">
        <v>233</v>
      </c>
      <c r="D179" s="125" t="s">
        <v>5334</v>
      </c>
      <c r="E179" s="125" t="s">
        <v>5303</v>
      </c>
      <c r="F179" s="125" t="s">
        <v>5304</v>
      </c>
      <c r="G179" s="125" t="s">
        <v>5297</v>
      </c>
      <c r="H179" s="125" t="s">
        <v>5357</v>
      </c>
      <c r="I179" s="125" t="s">
        <v>3269</v>
      </c>
    </row>
    <row r="180" spans="1:9" x14ac:dyDescent="0.25">
      <c r="A180" s="125" t="s">
        <v>3444</v>
      </c>
      <c r="B180" s="125" t="s">
        <v>5333</v>
      </c>
      <c r="C180" s="125">
        <v>233</v>
      </c>
      <c r="D180" s="125" t="s">
        <v>5334</v>
      </c>
      <c r="E180" s="125" t="s">
        <v>5303</v>
      </c>
      <c r="F180" s="125" t="s">
        <v>5304</v>
      </c>
      <c r="G180" s="125" t="s">
        <v>5297</v>
      </c>
      <c r="H180" s="125" t="s">
        <v>5357</v>
      </c>
      <c r="I180" s="125" t="s">
        <v>3269</v>
      </c>
    </row>
    <row r="181" spans="1:9" x14ac:dyDescent="0.25">
      <c r="A181" s="125" t="s">
        <v>1802</v>
      </c>
      <c r="B181" s="125" t="s">
        <v>5333</v>
      </c>
      <c r="C181" s="125">
        <v>233</v>
      </c>
      <c r="D181" s="125" t="s">
        <v>5334</v>
      </c>
      <c r="E181" s="125" t="s">
        <v>5303</v>
      </c>
      <c r="F181" s="125" t="s">
        <v>5304</v>
      </c>
      <c r="G181" s="125" t="s">
        <v>5297</v>
      </c>
      <c r="H181" s="125" t="s">
        <v>5357</v>
      </c>
      <c r="I181" s="125" t="s">
        <v>3269</v>
      </c>
    </row>
    <row r="182" spans="1:9" x14ac:dyDescent="0.25">
      <c r="A182" s="125" t="s">
        <v>3303</v>
      </c>
      <c r="B182" s="125" t="s">
        <v>5333</v>
      </c>
      <c r="C182" s="125">
        <v>233</v>
      </c>
      <c r="D182" s="125" t="s">
        <v>5334</v>
      </c>
      <c r="E182" s="125" t="s">
        <v>5303</v>
      </c>
      <c r="F182" s="125" t="s">
        <v>5304</v>
      </c>
      <c r="G182" s="125" t="s">
        <v>5297</v>
      </c>
      <c r="H182" s="125" t="s">
        <v>1801</v>
      </c>
      <c r="I182" s="125" t="s">
        <v>3269</v>
      </c>
    </row>
    <row r="183" spans="1:9" x14ac:dyDescent="0.25">
      <c r="A183" s="125" t="s">
        <v>1894</v>
      </c>
      <c r="B183" s="125" t="s">
        <v>5333</v>
      </c>
      <c r="C183" s="125">
        <v>233</v>
      </c>
      <c r="D183" s="125" t="s">
        <v>5334</v>
      </c>
      <c r="E183" s="125" t="s">
        <v>5303</v>
      </c>
      <c r="F183" s="125" t="s">
        <v>5304</v>
      </c>
      <c r="G183" s="125" t="s">
        <v>5297</v>
      </c>
      <c r="H183" s="125" t="s">
        <v>1801</v>
      </c>
      <c r="I183" s="125" t="s">
        <v>3269</v>
      </c>
    </row>
    <row r="184" spans="1:9" x14ac:dyDescent="0.25">
      <c r="A184" s="125" t="s">
        <v>1803</v>
      </c>
      <c r="B184" s="125" t="s">
        <v>5333</v>
      </c>
      <c r="C184" s="125">
        <v>233</v>
      </c>
      <c r="D184" s="125" t="s">
        <v>5334</v>
      </c>
      <c r="E184" s="125" t="s">
        <v>5303</v>
      </c>
      <c r="F184" s="125" t="s">
        <v>5304</v>
      </c>
      <c r="G184" s="125" t="s">
        <v>5297</v>
      </c>
      <c r="H184" s="125" t="s">
        <v>1801</v>
      </c>
      <c r="I184" s="125" t="s">
        <v>3269</v>
      </c>
    </row>
    <row r="185" spans="1:9" x14ac:dyDescent="0.25">
      <c r="A185" s="125" t="s">
        <v>1805</v>
      </c>
      <c r="B185" s="125" t="s">
        <v>5333</v>
      </c>
      <c r="C185" s="125">
        <v>233</v>
      </c>
      <c r="D185" s="125" t="s">
        <v>5334</v>
      </c>
      <c r="E185" s="125" t="s">
        <v>5303</v>
      </c>
      <c r="F185" s="125" t="s">
        <v>5304</v>
      </c>
      <c r="G185" s="125" t="s">
        <v>5297</v>
      </c>
      <c r="H185" s="125" t="s">
        <v>3269</v>
      </c>
      <c r="I185" s="125" t="s">
        <v>3269</v>
      </c>
    </row>
    <row r="186" spans="1:9" x14ac:dyDescent="0.25">
      <c r="A186" s="125" t="s">
        <v>3254</v>
      </c>
      <c r="B186" s="125" t="s">
        <v>5333</v>
      </c>
      <c r="C186" s="125">
        <v>233</v>
      </c>
      <c r="D186" s="125" t="s">
        <v>5334</v>
      </c>
      <c r="E186" s="125" t="s">
        <v>5303</v>
      </c>
      <c r="F186" s="125" t="s">
        <v>5304</v>
      </c>
      <c r="G186" s="125" t="s">
        <v>5297</v>
      </c>
      <c r="H186" s="125" t="s">
        <v>371</v>
      </c>
      <c r="I186" s="125" t="s">
        <v>371</v>
      </c>
    </row>
    <row r="187" spans="1:9" x14ac:dyDescent="0.25">
      <c r="A187" s="125" t="s">
        <v>5358</v>
      </c>
      <c r="B187" s="125" t="s">
        <v>5333</v>
      </c>
      <c r="C187" s="125">
        <v>233</v>
      </c>
      <c r="D187" s="125" t="s">
        <v>5334</v>
      </c>
      <c r="E187" s="125" t="s">
        <v>5303</v>
      </c>
      <c r="F187" s="125" t="s">
        <v>5304</v>
      </c>
      <c r="G187" s="125" t="s">
        <v>5297</v>
      </c>
      <c r="H187" s="125" t="s">
        <v>5357</v>
      </c>
      <c r="I187" s="125" t="s">
        <v>3269</v>
      </c>
    </row>
    <row r="188" spans="1:9" x14ac:dyDescent="0.25">
      <c r="A188" s="125" t="s">
        <v>1804</v>
      </c>
      <c r="B188" s="125" t="s">
        <v>5333</v>
      </c>
      <c r="C188" s="125">
        <v>233</v>
      </c>
      <c r="D188" s="125" t="s">
        <v>5334</v>
      </c>
      <c r="E188" s="125" t="s">
        <v>5303</v>
      </c>
      <c r="F188" s="125" t="s">
        <v>5304</v>
      </c>
      <c r="G188" s="125" t="s">
        <v>5297</v>
      </c>
      <c r="H188" s="125" t="s">
        <v>371</v>
      </c>
      <c r="I188" s="125" t="s">
        <v>371</v>
      </c>
    </row>
    <row r="189" spans="1:9" x14ac:dyDescent="0.25">
      <c r="A189" s="125" t="s">
        <v>3261</v>
      </c>
      <c r="B189" s="125" t="s">
        <v>5333</v>
      </c>
      <c r="C189" s="125">
        <v>233</v>
      </c>
      <c r="D189" s="125" t="s">
        <v>5334</v>
      </c>
      <c r="E189" s="125" t="s">
        <v>5303</v>
      </c>
      <c r="F189" s="125" t="s">
        <v>5304</v>
      </c>
      <c r="G189" s="125" t="s">
        <v>5297</v>
      </c>
      <c r="H189" s="125" t="s">
        <v>1048</v>
      </c>
      <c r="I189" s="125" t="s">
        <v>3269</v>
      </c>
    </row>
    <row r="190" spans="1:9" x14ac:dyDescent="0.25">
      <c r="A190" s="125" t="s">
        <v>1806</v>
      </c>
      <c r="B190" s="125" t="s">
        <v>5333</v>
      </c>
      <c r="C190" s="125">
        <v>233</v>
      </c>
      <c r="D190" s="125" t="s">
        <v>5334</v>
      </c>
      <c r="E190" s="125" t="s">
        <v>5303</v>
      </c>
      <c r="F190" s="125" t="s">
        <v>5304</v>
      </c>
      <c r="G190" s="125" t="s">
        <v>5297</v>
      </c>
      <c r="H190" s="125" t="s">
        <v>3269</v>
      </c>
      <c r="I190" s="125" t="s">
        <v>3269</v>
      </c>
    </row>
    <row r="191" spans="1:9" x14ac:dyDescent="0.25">
      <c r="A191" s="125" t="s">
        <v>1467</v>
      </c>
      <c r="B191" s="125" t="s">
        <v>5333</v>
      </c>
      <c r="C191" s="125">
        <v>233</v>
      </c>
      <c r="D191" s="125" t="s">
        <v>5334</v>
      </c>
      <c r="E191" s="125" t="s">
        <v>5303</v>
      </c>
      <c r="F191" s="125" t="s">
        <v>5304</v>
      </c>
      <c r="G191" s="125" t="s">
        <v>5297</v>
      </c>
      <c r="H191" s="125" t="s">
        <v>3269</v>
      </c>
      <c r="I191" s="125" t="s">
        <v>3269</v>
      </c>
    </row>
    <row r="192" spans="1:9" x14ac:dyDescent="0.25">
      <c r="A192" s="125" t="s">
        <v>3503</v>
      </c>
      <c r="B192" s="125" t="s">
        <v>5333</v>
      </c>
      <c r="C192" s="125">
        <v>233</v>
      </c>
      <c r="D192" s="125" t="s">
        <v>5334</v>
      </c>
      <c r="E192" s="125" t="s">
        <v>5303</v>
      </c>
      <c r="F192" s="125" t="s">
        <v>5304</v>
      </c>
      <c r="G192" s="125" t="s">
        <v>5297</v>
      </c>
      <c r="H192" s="125" t="s">
        <v>3269</v>
      </c>
      <c r="I192" s="125" t="s">
        <v>3269</v>
      </c>
    </row>
    <row r="193" spans="1:9" x14ac:dyDescent="0.25">
      <c r="A193" s="125" t="s">
        <v>1798</v>
      </c>
      <c r="B193" s="125" t="s">
        <v>5333</v>
      </c>
      <c r="C193" s="125">
        <v>233</v>
      </c>
      <c r="D193" s="125" t="s">
        <v>5334</v>
      </c>
      <c r="E193" s="125" t="s">
        <v>5303</v>
      </c>
      <c r="F193" s="125" t="s">
        <v>5304</v>
      </c>
      <c r="G193" s="125" t="s">
        <v>5297</v>
      </c>
      <c r="H193" s="125" t="s">
        <v>1797</v>
      </c>
      <c r="I193" s="125" t="s">
        <v>3269</v>
      </c>
    </row>
    <row r="194" spans="1:9" x14ac:dyDescent="0.25">
      <c r="A194" s="125" t="s">
        <v>1453</v>
      </c>
      <c r="B194" s="125" t="s">
        <v>5333</v>
      </c>
      <c r="C194" s="125">
        <v>233</v>
      </c>
      <c r="D194" s="125" t="s">
        <v>5334</v>
      </c>
      <c r="E194" s="125" t="s">
        <v>5303</v>
      </c>
      <c r="F194" s="125" t="s">
        <v>5304</v>
      </c>
      <c r="G194" s="125" t="s">
        <v>5297</v>
      </c>
      <c r="H194" s="125" t="s">
        <v>5359</v>
      </c>
      <c r="I194" s="125" t="s">
        <v>3017</v>
      </c>
    </row>
    <row r="195" spans="1:9" x14ac:dyDescent="0.25">
      <c r="A195" s="125" t="s">
        <v>3090</v>
      </c>
      <c r="B195" s="125" t="s">
        <v>5333</v>
      </c>
      <c r="C195" s="125">
        <v>233</v>
      </c>
      <c r="D195" s="125" t="s">
        <v>5334</v>
      </c>
      <c r="E195" s="125" t="s">
        <v>5303</v>
      </c>
      <c r="F195" s="125" t="s">
        <v>5304</v>
      </c>
      <c r="G195" s="125" t="s">
        <v>5297</v>
      </c>
      <c r="H195" s="125" t="s">
        <v>5359</v>
      </c>
      <c r="I195" s="125" t="s">
        <v>3017</v>
      </c>
    </row>
    <row r="196" spans="1:9" x14ac:dyDescent="0.25">
      <c r="A196" s="125" t="s">
        <v>5360</v>
      </c>
      <c r="B196" s="125" t="s">
        <v>5333</v>
      </c>
      <c r="C196" s="125">
        <v>233</v>
      </c>
      <c r="D196" s="125" t="s">
        <v>5334</v>
      </c>
      <c r="E196" s="125" t="s">
        <v>5303</v>
      </c>
      <c r="F196" s="125" t="s">
        <v>5304</v>
      </c>
      <c r="G196" s="125" t="s">
        <v>5297</v>
      </c>
      <c r="H196" s="125" t="s">
        <v>5357</v>
      </c>
      <c r="I196" s="125" t="s">
        <v>3269</v>
      </c>
    </row>
    <row r="197" spans="1:9" x14ac:dyDescent="0.25">
      <c r="A197" s="125" t="s">
        <v>2792</v>
      </c>
      <c r="B197" s="125" t="s">
        <v>5333</v>
      </c>
      <c r="C197" s="125">
        <v>233</v>
      </c>
      <c r="D197" s="125" t="s">
        <v>5334</v>
      </c>
      <c r="E197" s="125" t="s">
        <v>5303</v>
      </c>
      <c r="F197" s="125" t="s">
        <v>5304</v>
      </c>
      <c r="G197" s="125" t="s">
        <v>5297</v>
      </c>
      <c r="H197" s="125" t="s">
        <v>371</v>
      </c>
      <c r="I197" s="125" t="s">
        <v>371</v>
      </c>
    </row>
    <row r="198" spans="1:9" x14ac:dyDescent="0.25">
      <c r="A198" s="125" t="s">
        <v>3163</v>
      </c>
      <c r="B198" s="125" t="s">
        <v>5333</v>
      </c>
      <c r="C198" s="125">
        <v>233</v>
      </c>
      <c r="D198" s="125" t="s">
        <v>5334</v>
      </c>
      <c r="E198" s="125" t="s">
        <v>5303</v>
      </c>
      <c r="F198" s="125" t="s">
        <v>5304</v>
      </c>
      <c r="G198" s="125" t="s">
        <v>5297</v>
      </c>
      <c r="H198" s="125" t="s">
        <v>1048</v>
      </c>
      <c r="I198" s="125" t="s">
        <v>3269</v>
      </c>
    </row>
    <row r="199" spans="1:9" x14ac:dyDescent="0.25">
      <c r="A199" s="125" t="s">
        <v>5361</v>
      </c>
      <c r="B199" s="125" t="s">
        <v>5333</v>
      </c>
      <c r="C199" s="125">
        <v>233</v>
      </c>
      <c r="D199" s="125" t="s">
        <v>5334</v>
      </c>
      <c r="E199" s="125" t="s">
        <v>5303</v>
      </c>
      <c r="F199" s="125" t="s">
        <v>5304</v>
      </c>
      <c r="G199" s="125" t="s">
        <v>5297</v>
      </c>
      <c r="H199" s="125" t="s">
        <v>5357</v>
      </c>
      <c r="I199" s="125" t="s">
        <v>3269</v>
      </c>
    </row>
    <row r="200" spans="1:9" x14ac:dyDescent="0.25">
      <c r="A200" s="125" t="s">
        <v>2592</v>
      </c>
      <c r="B200" s="125" t="s">
        <v>5333</v>
      </c>
      <c r="C200" s="125">
        <v>233</v>
      </c>
      <c r="D200" s="125" t="s">
        <v>5334</v>
      </c>
      <c r="E200" s="125" t="s">
        <v>5303</v>
      </c>
      <c r="F200" s="125" t="s">
        <v>5304</v>
      </c>
      <c r="G200" s="125" t="s">
        <v>5297</v>
      </c>
      <c r="H200" s="125" t="s">
        <v>1048</v>
      </c>
      <c r="I200" s="125" t="s">
        <v>3269</v>
      </c>
    </row>
    <row r="201" spans="1:9" x14ac:dyDescent="0.25">
      <c r="A201" s="125" t="s">
        <v>3262</v>
      </c>
      <c r="B201" s="125" t="s">
        <v>5362</v>
      </c>
      <c r="C201" s="125">
        <v>209</v>
      </c>
      <c r="D201" s="125" t="s">
        <v>5363</v>
      </c>
      <c r="E201" s="125" t="s">
        <v>5364</v>
      </c>
      <c r="F201" s="125" t="s">
        <v>5365</v>
      </c>
      <c r="G201" s="125" t="s">
        <v>5297</v>
      </c>
      <c r="H201" s="125" t="s">
        <v>5357</v>
      </c>
      <c r="I201" s="125" t="s">
        <v>3269</v>
      </c>
    </row>
    <row r="202" spans="1:9" x14ac:dyDescent="0.25">
      <c r="A202" s="125" t="s">
        <v>2859</v>
      </c>
      <c r="B202" s="125" t="s">
        <v>5333</v>
      </c>
      <c r="C202" s="125">
        <v>233</v>
      </c>
      <c r="D202" s="125" t="s">
        <v>5334</v>
      </c>
      <c r="E202" s="125" t="s">
        <v>5303</v>
      </c>
      <c r="F202" s="125" t="s">
        <v>5304</v>
      </c>
      <c r="G202" s="125" t="s">
        <v>5297</v>
      </c>
      <c r="H202" s="125" t="s">
        <v>1048</v>
      </c>
      <c r="I202" s="125" t="s">
        <v>3269</v>
      </c>
    </row>
    <row r="203" spans="1:9" x14ac:dyDescent="0.25">
      <c r="A203" s="125" t="s">
        <v>2821</v>
      </c>
      <c r="B203" s="125" t="s">
        <v>5333</v>
      </c>
      <c r="C203" s="125">
        <v>233</v>
      </c>
      <c r="D203" s="125" t="s">
        <v>5334</v>
      </c>
      <c r="E203" s="125" t="s">
        <v>5303</v>
      </c>
      <c r="F203" s="125" t="s">
        <v>5304</v>
      </c>
      <c r="G203" s="125" t="s">
        <v>5297</v>
      </c>
      <c r="H203" s="125" t="s">
        <v>5357</v>
      </c>
      <c r="I203" s="125" t="s">
        <v>3269</v>
      </c>
    </row>
    <row r="204" spans="1:9" x14ac:dyDescent="0.25">
      <c r="A204" s="125" t="s">
        <v>2173</v>
      </c>
      <c r="B204" s="125" t="s">
        <v>5339</v>
      </c>
      <c r="C204" s="125">
        <v>235</v>
      </c>
      <c r="D204" s="140" t="s">
        <v>5340</v>
      </c>
      <c r="E204" s="125" t="s">
        <v>5341</v>
      </c>
      <c r="F204" s="140" t="s">
        <v>5342</v>
      </c>
      <c r="G204" s="125" t="s">
        <v>5297</v>
      </c>
      <c r="H204" s="125" t="s">
        <v>1310</v>
      </c>
      <c r="I204" s="125" t="s">
        <v>5366</v>
      </c>
    </row>
    <row r="205" spans="1:9" x14ac:dyDescent="0.25">
      <c r="A205" s="125" t="s">
        <v>1524</v>
      </c>
      <c r="B205" s="125" t="s">
        <v>5339</v>
      </c>
      <c r="C205" s="125">
        <v>235</v>
      </c>
      <c r="D205" s="140" t="s">
        <v>5340</v>
      </c>
      <c r="E205" s="125" t="s">
        <v>5341</v>
      </c>
      <c r="F205" s="140" t="s">
        <v>5342</v>
      </c>
      <c r="G205" s="125" t="s">
        <v>5297</v>
      </c>
      <c r="H205" s="125" t="s">
        <v>1523</v>
      </c>
      <c r="I205" s="125" t="s">
        <v>5366</v>
      </c>
    </row>
    <row r="206" spans="1:9" x14ac:dyDescent="0.25">
      <c r="A206" s="125" t="s">
        <v>2329</v>
      </c>
      <c r="B206" s="125" t="s">
        <v>5339</v>
      </c>
      <c r="C206" s="125">
        <v>235</v>
      </c>
      <c r="D206" s="140" t="s">
        <v>5340</v>
      </c>
      <c r="E206" s="125" t="s">
        <v>5341</v>
      </c>
      <c r="F206" s="140" t="s">
        <v>5342</v>
      </c>
      <c r="G206" s="125" t="s">
        <v>5297</v>
      </c>
      <c r="H206" s="125" t="s">
        <v>1523</v>
      </c>
      <c r="I206" s="125" t="s">
        <v>5366</v>
      </c>
    </row>
    <row r="207" spans="1:9" x14ac:dyDescent="0.25">
      <c r="A207" s="125" t="s">
        <v>1529</v>
      </c>
      <c r="B207" s="125" t="s">
        <v>5339</v>
      </c>
      <c r="C207" s="125">
        <v>235</v>
      </c>
      <c r="D207" s="140" t="s">
        <v>5340</v>
      </c>
      <c r="E207" s="125" t="s">
        <v>5341</v>
      </c>
      <c r="F207" s="140" t="s">
        <v>5342</v>
      </c>
      <c r="G207" s="125" t="s">
        <v>5297</v>
      </c>
      <c r="H207" s="125" t="s">
        <v>1523</v>
      </c>
      <c r="I207" s="125" t="s">
        <v>5366</v>
      </c>
    </row>
    <row r="208" spans="1:9" x14ac:dyDescent="0.25">
      <c r="A208" s="125" t="s">
        <v>2532</v>
      </c>
      <c r="B208" s="125" t="s">
        <v>5339</v>
      </c>
      <c r="C208" s="125">
        <v>235</v>
      </c>
      <c r="D208" s="140" t="s">
        <v>5340</v>
      </c>
      <c r="E208" s="125" t="s">
        <v>5341</v>
      </c>
      <c r="F208" s="140" t="s">
        <v>5342</v>
      </c>
      <c r="G208" s="125" t="s">
        <v>5297</v>
      </c>
      <c r="H208" s="125" t="s">
        <v>1523</v>
      </c>
      <c r="I208" s="125" t="s">
        <v>5366</v>
      </c>
    </row>
    <row r="209" spans="1:9" x14ac:dyDescent="0.25">
      <c r="A209" s="125" t="s">
        <v>2793</v>
      </c>
      <c r="B209" s="125" t="s">
        <v>5339</v>
      </c>
      <c r="C209" s="125">
        <v>235</v>
      </c>
      <c r="D209" s="140" t="s">
        <v>5340</v>
      </c>
      <c r="E209" s="125" t="s">
        <v>5341</v>
      </c>
      <c r="F209" s="140" t="s">
        <v>5342</v>
      </c>
      <c r="G209" s="125" t="s">
        <v>5297</v>
      </c>
      <c r="H209" s="125" t="s">
        <v>1523</v>
      </c>
      <c r="I209" s="125" t="s">
        <v>5366</v>
      </c>
    </row>
    <row r="210" spans="1:9" x14ac:dyDescent="0.25">
      <c r="A210" s="125" t="s">
        <v>2670</v>
      </c>
      <c r="B210" s="125" t="s">
        <v>5339</v>
      </c>
      <c r="C210" s="125">
        <v>235</v>
      </c>
      <c r="D210" s="140" t="s">
        <v>5340</v>
      </c>
      <c r="E210" s="125" t="s">
        <v>5341</v>
      </c>
      <c r="F210" s="140" t="s">
        <v>5342</v>
      </c>
      <c r="G210" s="125" t="s">
        <v>5297</v>
      </c>
      <c r="H210" s="125" t="s">
        <v>1523</v>
      </c>
      <c r="I210" s="125" t="s">
        <v>5366</v>
      </c>
    </row>
    <row r="211" spans="1:9" x14ac:dyDescent="0.25">
      <c r="A211" s="125" t="s">
        <v>1747</v>
      </c>
      <c r="B211" s="125" t="s">
        <v>5339</v>
      </c>
      <c r="C211" s="125">
        <v>235</v>
      </c>
      <c r="D211" s="140" t="s">
        <v>5340</v>
      </c>
      <c r="E211" s="125" t="s">
        <v>5341</v>
      </c>
      <c r="F211" s="140" t="s">
        <v>5342</v>
      </c>
      <c r="G211" s="125" t="s">
        <v>5297</v>
      </c>
      <c r="H211" s="125" t="s">
        <v>5367</v>
      </c>
      <c r="I211" s="125" t="s">
        <v>5366</v>
      </c>
    </row>
    <row r="212" spans="1:9" x14ac:dyDescent="0.25">
      <c r="A212" s="125" t="s">
        <v>2431</v>
      </c>
      <c r="B212" s="125" t="s">
        <v>5339</v>
      </c>
      <c r="C212" s="125">
        <v>235</v>
      </c>
      <c r="D212" s="140" t="s">
        <v>5340</v>
      </c>
      <c r="E212" s="125" t="s">
        <v>5341</v>
      </c>
      <c r="F212" s="140" t="s">
        <v>5342</v>
      </c>
      <c r="G212" s="125" t="s">
        <v>5297</v>
      </c>
      <c r="H212" s="125" t="s">
        <v>1310</v>
      </c>
      <c r="I212" s="125" t="s">
        <v>5366</v>
      </c>
    </row>
    <row r="213" spans="1:9" x14ac:dyDescent="0.25">
      <c r="A213" s="125" t="s">
        <v>1311</v>
      </c>
      <c r="B213" s="125" t="s">
        <v>5339</v>
      </c>
      <c r="C213" s="125">
        <v>235</v>
      </c>
      <c r="D213" s="140" t="s">
        <v>5340</v>
      </c>
      <c r="E213" s="125" t="s">
        <v>5341</v>
      </c>
      <c r="F213" s="140" t="s">
        <v>5342</v>
      </c>
      <c r="G213" s="125" t="s">
        <v>5297</v>
      </c>
      <c r="H213" s="125" t="s">
        <v>1310</v>
      </c>
      <c r="I213" s="125" t="s">
        <v>5366</v>
      </c>
    </row>
    <row r="214" spans="1:9" x14ac:dyDescent="0.25">
      <c r="A214" s="125" t="s">
        <v>1266</v>
      </c>
      <c r="B214" s="125" t="s">
        <v>5362</v>
      </c>
      <c r="C214" s="125">
        <v>209</v>
      </c>
      <c r="D214" s="125" t="s">
        <v>5363</v>
      </c>
      <c r="E214" s="125" t="s">
        <v>5364</v>
      </c>
      <c r="F214" s="125" t="s">
        <v>5365</v>
      </c>
      <c r="G214" s="125" t="s">
        <v>5297</v>
      </c>
      <c r="H214" s="125" t="s">
        <v>5368</v>
      </c>
      <c r="I214" s="125" t="s">
        <v>1869</v>
      </c>
    </row>
    <row r="215" spans="1:9" x14ac:dyDescent="0.25">
      <c r="A215" s="125" t="s">
        <v>1810</v>
      </c>
      <c r="B215" s="125" t="s">
        <v>5362</v>
      </c>
      <c r="C215" s="125">
        <v>209</v>
      </c>
      <c r="D215" s="125" t="s">
        <v>5363</v>
      </c>
      <c r="E215" s="125" t="s">
        <v>5364</v>
      </c>
      <c r="F215" s="125" t="s">
        <v>5365</v>
      </c>
      <c r="G215" s="125" t="s">
        <v>5297</v>
      </c>
      <c r="H215" s="125" t="s">
        <v>371</v>
      </c>
      <c r="I215" s="125" t="s">
        <v>371</v>
      </c>
    </row>
    <row r="216" spans="1:9" x14ac:dyDescent="0.25">
      <c r="A216" s="125" t="s">
        <v>2777</v>
      </c>
      <c r="B216" s="125" t="s">
        <v>5362</v>
      </c>
      <c r="C216" s="125">
        <v>209</v>
      </c>
      <c r="D216" s="125" t="s">
        <v>5363</v>
      </c>
      <c r="E216" s="125" t="s">
        <v>5364</v>
      </c>
      <c r="F216" s="125" t="s">
        <v>5365</v>
      </c>
      <c r="G216" s="125" t="s">
        <v>5297</v>
      </c>
      <c r="H216" s="125" t="s">
        <v>1106</v>
      </c>
      <c r="I216" s="125" t="s">
        <v>1988</v>
      </c>
    </row>
    <row r="217" spans="1:9" x14ac:dyDescent="0.25">
      <c r="A217" s="125" t="s">
        <v>3471</v>
      </c>
      <c r="B217" s="125" t="s">
        <v>5362</v>
      </c>
      <c r="C217" s="125">
        <v>209</v>
      </c>
      <c r="D217" s="125" t="s">
        <v>5363</v>
      </c>
      <c r="E217" s="125" t="s">
        <v>5364</v>
      </c>
      <c r="F217" s="125" t="s">
        <v>5365</v>
      </c>
      <c r="G217" s="125" t="s">
        <v>5297</v>
      </c>
      <c r="H217" s="125" t="s">
        <v>1106</v>
      </c>
      <c r="I217" s="125" t="s">
        <v>1988</v>
      </c>
    </row>
    <row r="218" spans="1:9" x14ac:dyDescent="0.25">
      <c r="A218" s="125" t="s">
        <v>3334</v>
      </c>
      <c r="B218" s="125" t="s">
        <v>5362</v>
      </c>
      <c r="C218" s="125">
        <v>209</v>
      </c>
      <c r="D218" s="125" t="s">
        <v>5363</v>
      </c>
      <c r="E218" s="125" t="s">
        <v>5364</v>
      </c>
      <c r="F218" s="125" t="s">
        <v>5365</v>
      </c>
      <c r="G218" s="125" t="s">
        <v>5297</v>
      </c>
      <c r="H218" s="125" t="s">
        <v>371</v>
      </c>
      <c r="I218" s="125" t="s">
        <v>371</v>
      </c>
    </row>
    <row r="219" spans="1:9" x14ac:dyDescent="0.25">
      <c r="A219" s="125" t="s">
        <v>1107</v>
      </c>
      <c r="B219" s="125" t="s">
        <v>5362</v>
      </c>
      <c r="C219" s="125">
        <v>209</v>
      </c>
      <c r="D219" s="125" t="s">
        <v>5363</v>
      </c>
      <c r="E219" s="125" t="s">
        <v>5364</v>
      </c>
      <c r="F219" s="125" t="s">
        <v>5365</v>
      </c>
      <c r="G219" s="125" t="s">
        <v>5297</v>
      </c>
      <c r="H219" s="125" t="s">
        <v>1106</v>
      </c>
      <c r="I219" s="125" t="s">
        <v>1988</v>
      </c>
    </row>
    <row r="220" spans="1:9" x14ac:dyDescent="0.25">
      <c r="A220" s="125" t="s">
        <v>3425</v>
      </c>
      <c r="B220" s="125" t="s">
        <v>5362</v>
      </c>
      <c r="C220" s="125">
        <v>209</v>
      </c>
      <c r="D220" s="125" t="s">
        <v>5363</v>
      </c>
      <c r="E220" s="125" t="s">
        <v>5364</v>
      </c>
      <c r="F220" s="125" t="s">
        <v>5365</v>
      </c>
      <c r="G220" s="125" t="s">
        <v>5297</v>
      </c>
      <c r="H220" s="125" t="s">
        <v>5369</v>
      </c>
      <c r="I220" s="125" t="s">
        <v>1988</v>
      </c>
    </row>
    <row r="221" spans="1:9" x14ac:dyDescent="0.25">
      <c r="A221" s="125" t="s">
        <v>3179</v>
      </c>
      <c r="B221" s="125" t="s">
        <v>5362</v>
      </c>
      <c r="C221" s="125">
        <v>209</v>
      </c>
      <c r="D221" s="125" t="s">
        <v>5363</v>
      </c>
      <c r="E221" s="125" t="s">
        <v>5364</v>
      </c>
      <c r="F221" s="125" t="s">
        <v>5365</v>
      </c>
      <c r="G221" s="125" t="s">
        <v>5297</v>
      </c>
      <c r="H221" s="125" t="s">
        <v>5370</v>
      </c>
      <c r="I221" s="125" t="s">
        <v>1988</v>
      </c>
    </row>
    <row r="222" spans="1:9" x14ac:dyDescent="0.25">
      <c r="A222" s="125" t="s">
        <v>2722</v>
      </c>
      <c r="B222" s="125" t="s">
        <v>5362</v>
      </c>
      <c r="C222" s="125">
        <v>209</v>
      </c>
      <c r="D222" s="125" t="s">
        <v>5363</v>
      </c>
      <c r="E222" s="125" t="s">
        <v>5364</v>
      </c>
      <c r="F222" s="125" t="s">
        <v>5365</v>
      </c>
      <c r="G222" s="125" t="s">
        <v>5297</v>
      </c>
      <c r="H222" s="125" t="s">
        <v>5370</v>
      </c>
      <c r="I222" s="125" t="s">
        <v>1988</v>
      </c>
    </row>
    <row r="223" spans="1:9" x14ac:dyDescent="0.25">
      <c r="A223" s="125" t="s">
        <v>3050</v>
      </c>
      <c r="B223" s="125" t="s">
        <v>5362</v>
      </c>
      <c r="C223" s="125">
        <v>209</v>
      </c>
      <c r="D223" s="125" t="s">
        <v>5363</v>
      </c>
      <c r="E223" s="125" t="s">
        <v>5364</v>
      </c>
      <c r="F223" s="125" t="s">
        <v>5365</v>
      </c>
      <c r="G223" s="125" t="s">
        <v>5297</v>
      </c>
      <c r="H223" s="125" t="s">
        <v>5370</v>
      </c>
      <c r="I223" s="125" t="s">
        <v>1988</v>
      </c>
    </row>
    <row r="224" spans="1:9" x14ac:dyDescent="0.25">
      <c r="A224" s="125" t="s">
        <v>1277</v>
      </c>
      <c r="B224" s="125" t="s">
        <v>5362</v>
      </c>
      <c r="C224" s="125">
        <v>209</v>
      </c>
      <c r="D224" s="125" t="s">
        <v>5363</v>
      </c>
      <c r="E224" s="125" t="s">
        <v>5364</v>
      </c>
      <c r="F224" s="125" t="s">
        <v>5365</v>
      </c>
      <c r="G224" s="125" t="s">
        <v>5297</v>
      </c>
      <c r="H224" s="125" t="s">
        <v>5368</v>
      </c>
      <c r="I224" s="125" t="s">
        <v>1869</v>
      </c>
    </row>
    <row r="225" spans="1:9" x14ac:dyDescent="0.25">
      <c r="A225" s="125" t="s">
        <v>2893</v>
      </c>
      <c r="B225" s="125" t="s">
        <v>5362</v>
      </c>
      <c r="C225" s="125">
        <v>209</v>
      </c>
      <c r="D225" s="125" t="s">
        <v>5363</v>
      </c>
      <c r="E225" s="125" t="s">
        <v>5364</v>
      </c>
      <c r="F225" s="125" t="s">
        <v>5365</v>
      </c>
      <c r="G225" s="125" t="s">
        <v>5297</v>
      </c>
      <c r="H225" s="125" t="s">
        <v>371</v>
      </c>
      <c r="I225" s="125" t="s">
        <v>371</v>
      </c>
    </row>
    <row r="226" spans="1:9" x14ac:dyDescent="0.25">
      <c r="A226" s="125" t="s">
        <v>1269</v>
      </c>
      <c r="B226" s="125" t="s">
        <v>5362</v>
      </c>
      <c r="C226" s="125">
        <v>209</v>
      </c>
      <c r="D226" s="125" t="s">
        <v>5363</v>
      </c>
      <c r="E226" s="125" t="s">
        <v>5364</v>
      </c>
      <c r="F226" s="125" t="s">
        <v>5365</v>
      </c>
      <c r="G226" s="125" t="s">
        <v>5297</v>
      </c>
      <c r="H226" s="125" t="s">
        <v>1861</v>
      </c>
      <c r="I226" s="125" t="s">
        <v>1869</v>
      </c>
    </row>
    <row r="227" spans="1:9" x14ac:dyDescent="0.25">
      <c r="A227" s="125" t="s">
        <v>1862</v>
      </c>
      <c r="B227" s="125" t="s">
        <v>5362</v>
      </c>
      <c r="C227" s="125">
        <v>209</v>
      </c>
      <c r="D227" s="125" t="s">
        <v>5363</v>
      </c>
      <c r="E227" s="125" t="s">
        <v>5364</v>
      </c>
      <c r="F227" s="125" t="s">
        <v>5365</v>
      </c>
      <c r="G227" s="125" t="s">
        <v>5297</v>
      </c>
      <c r="H227" s="125" t="s">
        <v>1861</v>
      </c>
      <c r="I227" s="125" t="s">
        <v>1869</v>
      </c>
    </row>
    <row r="228" spans="1:9" x14ac:dyDescent="0.25">
      <c r="A228" s="125" t="s">
        <v>3124</v>
      </c>
      <c r="B228" s="125" t="s">
        <v>5362</v>
      </c>
      <c r="C228" s="125">
        <v>209</v>
      </c>
      <c r="D228" s="125" t="s">
        <v>5363</v>
      </c>
      <c r="E228" s="125" t="s">
        <v>5364</v>
      </c>
      <c r="F228" s="125" t="s">
        <v>5365</v>
      </c>
      <c r="G228" s="125" t="s">
        <v>5297</v>
      </c>
      <c r="H228" s="125" t="s">
        <v>1861</v>
      </c>
      <c r="I228" s="125" t="s">
        <v>1869</v>
      </c>
    </row>
    <row r="229" spans="1:9" x14ac:dyDescent="0.25">
      <c r="A229" s="125" t="s">
        <v>2964</v>
      </c>
      <c r="B229" s="125" t="s">
        <v>5362</v>
      </c>
      <c r="C229" s="125">
        <v>209</v>
      </c>
      <c r="D229" s="125" t="s">
        <v>5363</v>
      </c>
      <c r="E229" s="125" t="s">
        <v>5364</v>
      </c>
      <c r="F229" s="125" t="s">
        <v>5365</v>
      </c>
      <c r="G229" s="125" t="s">
        <v>5297</v>
      </c>
      <c r="H229" s="125" t="s">
        <v>5371</v>
      </c>
      <c r="I229" s="125" t="s">
        <v>1869</v>
      </c>
    </row>
    <row r="230" spans="1:9" x14ac:dyDescent="0.25">
      <c r="A230" s="125" t="s">
        <v>2415</v>
      </c>
      <c r="B230" s="125" t="s">
        <v>5362</v>
      </c>
      <c r="C230" s="125">
        <v>209</v>
      </c>
      <c r="D230" s="125" t="s">
        <v>5363</v>
      </c>
      <c r="E230" s="125" t="s">
        <v>5364</v>
      </c>
      <c r="F230" s="125" t="s">
        <v>5365</v>
      </c>
      <c r="G230" s="125" t="s">
        <v>5297</v>
      </c>
      <c r="H230" s="125" t="s">
        <v>1734</v>
      </c>
      <c r="I230" s="125" t="s">
        <v>1869</v>
      </c>
    </row>
    <row r="231" spans="1:9" x14ac:dyDescent="0.25">
      <c r="A231" s="125" t="s">
        <v>2804</v>
      </c>
      <c r="B231" s="125" t="s">
        <v>5362</v>
      </c>
      <c r="C231" s="125">
        <v>209</v>
      </c>
      <c r="D231" s="125" t="s">
        <v>5363</v>
      </c>
      <c r="E231" s="125" t="s">
        <v>5364</v>
      </c>
      <c r="F231" s="125" t="s">
        <v>5365</v>
      </c>
      <c r="G231" s="125" t="s">
        <v>5297</v>
      </c>
      <c r="H231" s="125" t="s">
        <v>5371</v>
      </c>
      <c r="I231" s="125" t="s">
        <v>1869</v>
      </c>
    </row>
    <row r="232" spans="1:9" x14ac:dyDescent="0.25">
      <c r="A232" s="125" t="s">
        <v>3012</v>
      </c>
      <c r="B232" s="125" t="s">
        <v>5362</v>
      </c>
      <c r="C232" s="125">
        <v>209</v>
      </c>
      <c r="D232" s="125" t="s">
        <v>5363</v>
      </c>
      <c r="E232" s="125" t="s">
        <v>5364</v>
      </c>
      <c r="F232" s="125" t="s">
        <v>5365</v>
      </c>
      <c r="G232" s="125" t="s">
        <v>5297</v>
      </c>
      <c r="H232" s="125" t="s">
        <v>5371</v>
      </c>
      <c r="I232" s="125" t="s">
        <v>1869</v>
      </c>
    </row>
    <row r="233" spans="1:9" x14ac:dyDescent="0.25">
      <c r="A233" s="125" t="s">
        <v>2343</v>
      </c>
      <c r="B233" s="125" t="s">
        <v>5362</v>
      </c>
      <c r="C233" s="125">
        <v>209</v>
      </c>
      <c r="D233" s="125" t="s">
        <v>5363</v>
      </c>
      <c r="E233" s="125" t="s">
        <v>5364</v>
      </c>
      <c r="F233" s="125" t="s">
        <v>5365</v>
      </c>
      <c r="G233" s="125" t="s">
        <v>5297</v>
      </c>
      <c r="H233" s="125" t="s">
        <v>5368</v>
      </c>
      <c r="I233" s="125" t="s">
        <v>1869</v>
      </c>
    </row>
    <row r="234" spans="1:9" x14ac:dyDescent="0.25">
      <c r="A234" s="125" t="s">
        <v>1808</v>
      </c>
      <c r="B234" s="125" t="s">
        <v>5362</v>
      </c>
      <c r="C234" s="125">
        <v>209</v>
      </c>
      <c r="D234" s="125" t="s">
        <v>5363</v>
      </c>
      <c r="E234" s="125" t="s">
        <v>5364</v>
      </c>
      <c r="F234" s="125" t="s">
        <v>5365</v>
      </c>
      <c r="G234" s="125" t="s">
        <v>5297</v>
      </c>
      <c r="H234" s="125" t="s">
        <v>5368</v>
      </c>
      <c r="I234" s="125" t="s">
        <v>1869</v>
      </c>
    </row>
    <row r="235" spans="1:9" x14ac:dyDescent="0.25">
      <c r="A235" s="125" t="s">
        <v>3115</v>
      </c>
      <c r="B235" s="125" t="s">
        <v>5362</v>
      </c>
      <c r="C235" s="125">
        <v>209</v>
      </c>
      <c r="D235" s="125" t="s">
        <v>5363</v>
      </c>
      <c r="E235" s="125" t="s">
        <v>5364</v>
      </c>
      <c r="F235" s="125" t="s">
        <v>5365</v>
      </c>
      <c r="G235" s="125" t="s">
        <v>5297</v>
      </c>
      <c r="H235" s="125" t="s">
        <v>5369</v>
      </c>
      <c r="I235" s="125" t="s">
        <v>1988</v>
      </c>
    </row>
    <row r="236" spans="1:9" x14ac:dyDescent="0.25">
      <c r="A236" s="125" t="s">
        <v>1280</v>
      </c>
      <c r="B236" s="125" t="s">
        <v>5362</v>
      </c>
      <c r="C236" s="125">
        <v>209</v>
      </c>
      <c r="D236" s="125" t="s">
        <v>5363</v>
      </c>
      <c r="E236" s="125" t="s">
        <v>5364</v>
      </c>
      <c r="F236" s="125" t="s">
        <v>5365</v>
      </c>
      <c r="G236" s="125" t="s">
        <v>5297</v>
      </c>
      <c r="H236" s="125" t="s">
        <v>5369</v>
      </c>
      <c r="I236" s="125" t="s">
        <v>1988</v>
      </c>
    </row>
    <row r="237" spans="1:9" x14ac:dyDescent="0.25">
      <c r="A237" s="125" t="s">
        <v>2127</v>
      </c>
      <c r="B237" s="125" t="s">
        <v>5362</v>
      </c>
      <c r="C237" s="125">
        <v>209</v>
      </c>
      <c r="D237" s="125" t="s">
        <v>5363</v>
      </c>
      <c r="E237" s="125" t="s">
        <v>5364</v>
      </c>
      <c r="F237" s="125" t="s">
        <v>5365</v>
      </c>
      <c r="G237" s="125" t="s">
        <v>5297</v>
      </c>
      <c r="H237" s="125" t="s">
        <v>1196</v>
      </c>
      <c r="I237" s="125" t="s">
        <v>1988</v>
      </c>
    </row>
    <row r="238" spans="1:9" x14ac:dyDescent="0.25">
      <c r="A238" s="125" t="s">
        <v>2545</v>
      </c>
      <c r="B238" s="125" t="s">
        <v>5362</v>
      </c>
      <c r="C238" s="125">
        <v>209</v>
      </c>
      <c r="D238" s="125" t="s">
        <v>5363</v>
      </c>
      <c r="E238" s="125" t="s">
        <v>5364</v>
      </c>
      <c r="F238" s="125" t="s">
        <v>5365</v>
      </c>
      <c r="G238" s="125" t="s">
        <v>5297</v>
      </c>
      <c r="H238" s="125" t="s">
        <v>5372</v>
      </c>
      <c r="I238" s="125" t="s">
        <v>1988</v>
      </c>
    </row>
    <row r="239" spans="1:9" x14ac:dyDescent="0.25">
      <c r="A239" s="125" t="s">
        <v>1969</v>
      </c>
      <c r="B239" s="125" t="s">
        <v>5362</v>
      </c>
      <c r="C239" s="125">
        <v>209</v>
      </c>
      <c r="D239" s="125" t="s">
        <v>5363</v>
      </c>
      <c r="E239" s="125" t="s">
        <v>5364</v>
      </c>
      <c r="F239" s="125" t="s">
        <v>5365</v>
      </c>
      <c r="G239" s="125" t="s">
        <v>5297</v>
      </c>
      <c r="H239" s="125" t="s">
        <v>1196</v>
      </c>
      <c r="I239" s="125" t="s">
        <v>1988</v>
      </c>
    </row>
    <row r="240" spans="1:9" x14ac:dyDescent="0.25">
      <c r="A240" s="125" t="s">
        <v>2758</v>
      </c>
      <c r="B240" s="125" t="s">
        <v>5362</v>
      </c>
      <c r="C240" s="125">
        <v>209</v>
      </c>
      <c r="D240" s="125" t="s">
        <v>5363</v>
      </c>
      <c r="E240" s="125" t="s">
        <v>5364</v>
      </c>
      <c r="F240" s="125" t="s">
        <v>5365</v>
      </c>
      <c r="G240" s="125" t="s">
        <v>5297</v>
      </c>
      <c r="H240" s="125" t="s">
        <v>1734</v>
      </c>
      <c r="I240" s="125" t="s">
        <v>1869</v>
      </c>
    </row>
    <row r="241" spans="1:9" x14ac:dyDescent="0.25">
      <c r="A241" s="125" t="s">
        <v>1735</v>
      </c>
      <c r="B241" s="125" t="s">
        <v>5362</v>
      </c>
      <c r="C241" s="125">
        <v>209</v>
      </c>
      <c r="D241" s="125" t="s">
        <v>5363</v>
      </c>
      <c r="E241" s="125" t="s">
        <v>5364</v>
      </c>
      <c r="F241" s="125" t="s">
        <v>5365</v>
      </c>
      <c r="G241" s="125" t="s">
        <v>5297</v>
      </c>
      <c r="H241" s="125" t="s">
        <v>1734</v>
      </c>
      <c r="I241" s="125" t="s">
        <v>1869</v>
      </c>
    </row>
    <row r="242" spans="1:9" x14ac:dyDescent="0.25">
      <c r="A242" s="125" t="s">
        <v>3155</v>
      </c>
      <c r="B242" s="125" t="s">
        <v>5362</v>
      </c>
      <c r="C242" s="125">
        <v>209</v>
      </c>
      <c r="D242" s="125" t="s">
        <v>5363</v>
      </c>
      <c r="E242" s="125" t="s">
        <v>5364</v>
      </c>
      <c r="F242" s="125" t="s">
        <v>5365</v>
      </c>
      <c r="G242" s="125" t="s">
        <v>5297</v>
      </c>
      <c r="H242" s="125" t="s">
        <v>1734</v>
      </c>
      <c r="I242" s="125" t="s">
        <v>1869</v>
      </c>
    </row>
    <row r="243" spans="1:9" x14ac:dyDescent="0.25">
      <c r="A243" s="125" t="s">
        <v>1542</v>
      </c>
      <c r="B243" s="125" t="s">
        <v>5362</v>
      </c>
      <c r="C243" s="125">
        <v>209</v>
      </c>
      <c r="D243" s="125" t="s">
        <v>5363</v>
      </c>
      <c r="E243" s="125" t="s">
        <v>5364</v>
      </c>
      <c r="F243" s="125" t="s">
        <v>5365</v>
      </c>
      <c r="G243" s="125" t="s">
        <v>5297</v>
      </c>
      <c r="H243" s="125" t="s">
        <v>1734</v>
      </c>
      <c r="I243" s="125" t="s">
        <v>1869</v>
      </c>
    </row>
    <row r="244" spans="1:9" x14ac:dyDescent="0.25">
      <c r="A244" s="125" t="s">
        <v>1435</v>
      </c>
      <c r="B244" s="125" t="s">
        <v>5373</v>
      </c>
      <c r="C244" s="125">
        <v>207</v>
      </c>
      <c r="D244" s="125" t="s">
        <v>5374</v>
      </c>
      <c r="E244" s="125" t="s">
        <v>5364</v>
      </c>
      <c r="F244" s="125" t="s">
        <v>5365</v>
      </c>
      <c r="G244" s="125" t="s">
        <v>5297</v>
      </c>
      <c r="H244" s="125" t="s">
        <v>1434</v>
      </c>
      <c r="I244" s="125" t="s">
        <v>5375</v>
      </c>
    </row>
    <row r="245" spans="1:9" x14ac:dyDescent="0.25">
      <c r="A245" s="125" t="s">
        <v>2980</v>
      </c>
      <c r="B245" s="125" t="s">
        <v>5373</v>
      </c>
      <c r="C245" s="125">
        <v>207</v>
      </c>
      <c r="D245" s="125" t="s">
        <v>5374</v>
      </c>
      <c r="E245" s="125" t="s">
        <v>5364</v>
      </c>
      <c r="F245" s="125" t="s">
        <v>5365</v>
      </c>
      <c r="G245" s="125" t="s">
        <v>5297</v>
      </c>
      <c r="H245" s="125" t="s">
        <v>1434</v>
      </c>
      <c r="I245" s="125" t="s">
        <v>5375</v>
      </c>
    </row>
    <row r="246" spans="1:9" x14ac:dyDescent="0.25">
      <c r="A246" s="125" t="s">
        <v>2825</v>
      </c>
      <c r="B246" s="125" t="s">
        <v>5373</v>
      </c>
      <c r="C246" s="125">
        <v>207</v>
      </c>
      <c r="D246" s="125" t="s">
        <v>5374</v>
      </c>
      <c r="E246" s="125" t="s">
        <v>5364</v>
      </c>
      <c r="F246" s="125" t="s">
        <v>5365</v>
      </c>
      <c r="G246" s="125" t="s">
        <v>5297</v>
      </c>
      <c r="H246" s="125" t="s">
        <v>1434</v>
      </c>
      <c r="I246" s="125" t="s">
        <v>5375</v>
      </c>
    </row>
    <row r="247" spans="1:9" x14ac:dyDescent="0.25">
      <c r="A247" s="125" t="s">
        <v>2375</v>
      </c>
      <c r="B247" s="125" t="s">
        <v>5373</v>
      </c>
      <c r="C247" s="125">
        <v>207</v>
      </c>
      <c r="D247" s="125" t="s">
        <v>5374</v>
      </c>
      <c r="E247" s="125" t="s">
        <v>5364</v>
      </c>
      <c r="F247" s="125" t="s">
        <v>5365</v>
      </c>
      <c r="G247" s="125" t="s">
        <v>5297</v>
      </c>
      <c r="H247" s="125" t="s">
        <v>1434</v>
      </c>
      <c r="I247" s="125" t="s">
        <v>5375</v>
      </c>
    </row>
    <row r="248" spans="1:9" x14ac:dyDescent="0.25">
      <c r="A248" s="125" t="s">
        <v>2721</v>
      </c>
      <c r="B248" s="125" t="s">
        <v>5373</v>
      </c>
      <c r="C248" s="125">
        <v>207</v>
      </c>
      <c r="D248" s="125" t="s">
        <v>5374</v>
      </c>
      <c r="E248" s="125" t="s">
        <v>5364</v>
      </c>
      <c r="F248" s="125" t="s">
        <v>5365</v>
      </c>
      <c r="G248" s="125" t="s">
        <v>5297</v>
      </c>
      <c r="H248" s="125" t="s">
        <v>1434</v>
      </c>
      <c r="I248" s="125" t="s">
        <v>5375</v>
      </c>
    </row>
    <row r="249" spans="1:9" x14ac:dyDescent="0.25">
      <c r="A249" s="125" t="s">
        <v>1722</v>
      </c>
      <c r="B249" s="125" t="s">
        <v>5373</v>
      </c>
      <c r="C249" s="125">
        <v>207</v>
      </c>
      <c r="D249" s="125" t="s">
        <v>5374</v>
      </c>
      <c r="E249" s="125" t="s">
        <v>5364</v>
      </c>
      <c r="F249" s="125" t="s">
        <v>5365</v>
      </c>
      <c r="G249" s="125" t="s">
        <v>5297</v>
      </c>
      <c r="H249" s="125" t="s">
        <v>1434</v>
      </c>
      <c r="I249" s="125" t="s">
        <v>5375</v>
      </c>
    </row>
    <row r="250" spans="1:9" x14ac:dyDescent="0.25">
      <c r="A250" s="125" t="s">
        <v>3297</v>
      </c>
      <c r="B250" s="125" t="s">
        <v>5373</v>
      </c>
      <c r="C250" s="125">
        <v>207</v>
      </c>
      <c r="D250" s="125" t="s">
        <v>5374</v>
      </c>
      <c r="E250" s="125" t="s">
        <v>5364</v>
      </c>
      <c r="F250" s="125" t="s">
        <v>5365</v>
      </c>
      <c r="G250" s="125" t="s">
        <v>5297</v>
      </c>
      <c r="H250" s="125" t="s">
        <v>1434</v>
      </c>
      <c r="I250" s="125" t="s">
        <v>5375</v>
      </c>
    </row>
    <row r="251" spans="1:9" x14ac:dyDescent="0.25">
      <c r="A251" s="125" t="s">
        <v>3120</v>
      </c>
      <c r="B251" s="125" t="s">
        <v>5376</v>
      </c>
      <c r="C251" s="125">
        <v>223</v>
      </c>
      <c r="D251" s="125" t="s">
        <v>5377</v>
      </c>
      <c r="E251" s="125" t="s">
        <v>5364</v>
      </c>
      <c r="F251" s="125" t="s">
        <v>5365</v>
      </c>
      <c r="G251" s="125" t="s">
        <v>5297</v>
      </c>
      <c r="H251" s="125" t="s">
        <v>1478</v>
      </c>
      <c r="I251" s="125" t="s">
        <v>2263</v>
      </c>
    </row>
    <row r="252" spans="1:9" x14ac:dyDescent="0.25">
      <c r="A252" s="125" t="s">
        <v>1958</v>
      </c>
      <c r="B252" s="125" t="s">
        <v>5327</v>
      </c>
      <c r="C252" s="125">
        <v>227</v>
      </c>
      <c r="D252" s="125" t="s">
        <v>5328</v>
      </c>
      <c r="E252" s="125" t="s">
        <v>5303</v>
      </c>
      <c r="F252" s="125" t="s">
        <v>5304</v>
      </c>
      <c r="G252" s="125" t="s">
        <v>5297</v>
      </c>
      <c r="H252" s="125" t="s">
        <v>5378</v>
      </c>
      <c r="I252" s="125" t="s">
        <v>1050</v>
      </c>
    </row>
    <row r="253" spans="1:9" x14ac:dyDescent="0.25">
      <c r="A253" s="125" t="s">
        <v>3338</v>
      </c>
      <c r="B253" s="125" t="s">
        <v>5327</v>
      </c>
      <c r="C253" s="125">
        <v>227</v>
      </c>
      <c r="D253" s="125" t="s">
        <v>5328</v>
      </c>
      <c r="E253" s="125" t="s">
        <v>5303</v>
      </c>
      <c r="F253" s="125" t="s">
        <v>5304</v>
      </c>
      <c r="G253" s="125" t="s">
        <v>5297</v>
      </c>
      <c r="H253" s="125" t="s">
        <v>5378</v>
      </c>
      <c r="I253" s="125" t="s">
        <v>2640</v>
      </c>
    </row>
    <row r="254" spans="1:9" x14ac:dyDescent="0.25">
      <c r="A254" s="125" t="s">
        <v>2782</v>
      </c>
      <c r="B254" s="125" t="s">
        <v>5327</v>
      </c>
      <c r="C254" s="125">
        <v>227</v>
      </c>
      <c r="D254" s="125" t="s">
        <v>5328</v>
      </c>
      <c r="E254" s="125" t="s">
        <v>5303</v>
      </c>
      <c r="F254" s="125" t="s">
        <v>5304</v>
      </c>
      <c r="G254" s="125" t="s">
        <v>5297</v>
      </c>
      <c r="H254" s="125" t="s">
        <v>5378</v>
      </c>
      <c r="I254" s="125" t="s">
        <v>1050</v>
      </c>
    </row>
    <row r="255" spans="1:9" x14ac:dyDescent="0.25">
      <c r="A255" s="125" t="s">
        <v>3539</v>
      </c>
      <c r="B255" s="125" t="s">
        <v>5327</v>
      </c>
      <c r="C255" s="125">
        <v>227</v>
      </c>
      <c r="D255" s="125" t="s">
        <v>5328</v>
      </c>
      <c r="E255" s="125" t="s">
        <v>5303</v>
      </c>
      <c r="F255" s="125" t="s">
        <v>5304</v>
      </c>
      <c r="G255" s="125" t="s">
        <v>5297</v>
      </c>
      <c r="H255" s="125" t="s">
        <v>371</v>
      </c>
      <c r="I255" s="125" t="s">
        <v>371</v>
      </c>
    </row>
    <row r="256" spans="1:9" x14ac:dyDescent="0.25">
      <c r="A256" s="125" t="s">
        <v>1955</v>
      </c>
      <c r="B256" s="125" t="s">
        <v>5327</v>
      </c>
      <c r="C256" s="125">
        <v>227</v>
      </c>
      <c r="D256" s="125" t="s">
        <v>5328</v>
      </c>
      <c r="E256" s="125" t="s">
        <v>5303</v>
      </c>
      <c r="F256" s="125" t="s">
        <v>5304</v>
      </c>
      <c r="G256" s="125" t="s">
        <v>5297</v>
      </c>
      <c r="H256" s="125" t="s">
        <v>5378</v>
      </c>
      <c r="I256" s="125" t="s">
        <v>1050</v>
      </c>
    </row>
    <row r="257" spans="1:9" x14ac:dyDescent="0.25">
      <c r="A257" s="125" t="s">
        <v>2313</v>
      </c>
      <c r="B257" s="125" t="s">
        <v>5327</v>
      </c>
      <c r="C257" s="125">
        <v>227</v>
      </c>
      <c r="D257" s="125" t="s">
        <v>5328</v>
      </c>
      <c r="E257" s="125" t="s">
        <v>5303</v>
      </c>
      <c r="F257" s="125" t="s">
        <v>5304</v>
      </c>
      <c r="G257" s="125" t="s">
        <v>5297</v>
      </c>
      <c r="H257" s="125" t="s">
        <v>5378</v>
      </c>
      <c r="I257" s="125" t="s">
        <v>2640</v>
      </c>
    </row>
    <row r="258" spans="1:9" x14ac:dyDescent="0.25">
      <c r="A258" s="125" t="s">
        <v>1223</v>
      </c>
      <c r="B258" s="125" t="s">
        <v>5327</v>
      </c>
      <c r="C258" s="125">
        <v>227</v>
      </c>
      <c r="D258" s="125" t="s">
        <v>5328</v>
      </c>
      <c r="E258" s="125" t="s">
        <v>5303</v>
      </c>
      <c r="F258" s="125" t="s">
        <v>5304</v>
      </c>
      <c r="G258" s="125" t="s">
        <v>5297</v>
      </c>
      <c r="H258" s="125" t="s">
        <v>5379</v>
      </c>
      <c r="I258" s="125" t="s">
        <v>2640</v>
      </c>
    </row>
    <row r="259" spans="1:9" x14ac:dyDescent="0.25">
      <c r="A259" s="125" t="s">
        <v>2353</v>
      </c>
      <c r="B259" s="125" t="s">
        <v>5327</v>
      </c>
      <c r="C259" s="125">
        <v>227</v>
      </c>
      <c r="D259" s="125" t="s">
        <v>5328</v>
      </c>
      <c r="E259" s="125" t="s">
        <v>5303</v>
      </c>
      <c r="F259" s="125" t="s">
        <v>5304</v>
      </c>
      <c r="G259" s="125" t="s">
        <v>5297</v>
      </c>
      <c r="H259" s="125" t="s">
        <v>5378</v>
      </c>
      <c r="I259" s="125" t="s">
        <v>1050</v>
      </c>
    </row>
    <row r="260" spans="1:9" x14ac:dyDescent="0.25">
      <c r="A260" s="125" t="s">
        <v>1796</v>
      </c>
      <c r="B260" s="125" t="s">
        <v>5327</v>
      </c>
      <c r="C260" s="125">
        <v>227</v>
      </c>
      <c r="D260" s="125" t="s">
        <v>5328</v>
      </c>
      <c r="E260" s="125" t="s">
        <v>5303</v>
      </c>
      <c r="F260" s="125" t="s">
        <v>5304</v>
      </c>
      <c r="G260" s="125" t="s">
        <v>5297</v>
      </c>
      <c r="H260" s="125" t="s">
        <v>3195</v>
      </c>
      <c r="I260" s="125" t="s">
        <v>3575</v>
      </c>
    </row>
    <row r="261" spans="1:9" x14ac:dyDescent="0.25">
      <c r="A261" s="125" t="s">
        <v>2530</v>
      </c>
      <c r="B261" s="125" t="s">
        <v>5327</v>
      </c>
      <c r="C261" s="125">
        <v>227</v>
      </c>
      <c r="D261" s="125" t="s">
        <v>5328</v>
      </c>
      <c r="E261" s="125" t="s">
        <v>5303</v>
      </c>
      <c r="F261" s="125" t="s">
        <v>5304</v>
      </c>
      <c r="G261" s="125" t="s">
        <v>5297</v>
      </c>
      <c r="H261" s="125" t="s">
        <v>3195</v>
      </c>
      <c r="I261" s="125" t="s">
        <v>3575</v>
      </c>
    </row>
    <row r="262" spans="1:9" x14ac:dyDescent="0.25">
      <c r="A262" s="125" t="s">
        <v>1750</v>
      </c>
      <c r="B262" s="125" t="s">
        <v>5327</v>
      </c>
      <c r="C262" s="125">
        <v>227</v>
      </c>
      <c r="D262" s="125" t="s">
        <v>5328</v>
      </c>
      <c r="E262" s="125" t="s">
        <v>5303</v>
      </c>
      <c r="F262" s="125" t="s">
        <v>5304</v>
      </c>
      <c r="G262" s="125" t="s">
        <v>5297</v>
      </c>
      <c r="H262" s="125" t="s">
        <v>3195</v>
      </c>
      <c r="I262" s="125" t="s">
        <v>3575</v>
      </c>
    </row>
    <row r="263" spans="1:9" x14ac:dyDescent="0.25">
      <c r="A263" s="125" t="s">
        <v>3296</v>
      </c>
      <c r="B263" s="125" t="s">
        <v>5327</v>
      </c>
      <c r="C263" s="125">
        <v>227</v>
      </c>
      <c r="D263" s="125" t="s">
        <v>5328</v>
      </c>
      <c r="E263" s="125" t="s">
        <v>5303</v>
      </c>
      <c r="F263" s="125" t="s">
        <v>5304</v>
      </c>
      <c r="G263" s="125" t="s">
        <v>5297</v>
      </c>
      <c r="H263" s="125" t="s">
        <v>3195</v>
      </c>
      <c r="I263" s="125" t="s">
        <v>3575</v>
      </c>
    </row>
    <row r="264" spans="1:9" x14ac:dyDescent="0.25">
      <c r="A264" s="125" t="s">
        <v>2681</v>
      </c>
      <c r="B264" s="125" t="s">
        <v>5327</v>
      </c>
      <c r="C264" s="125">
        <v>227</v>
      </c>
      <c r="D264" s="125" t="s">
        <v>5328</v>
      </c>
      <c r="E264" s="125" t="s">
        <v>5303</v>
      </c>
      <c r="F264" s="125" t="s">
        <v>5304</v>
      </c>
      <c r="G264" s="125" t="s">
        <v>5297</v>
      </c>
      <c r="H264" s="125" t="s">
        <v>3195</v>
      </c>
      <c r="I264" s="125" t="s">
        <v>3575</v>
      </c>
    </row>
    <row r="265" spans="1:9" x14ac:dyDescent="0.25">
      <c r="A265" s="125" t="s">
        <v>1661</v>
      </c>
      <c r="B265" s="125" t="s">
        <v>5327</v>
      </c>
      <c r="C265" s="125">
        <v>227</v>
      </c>
      <c r="D265" s="125" t="s">
        <v>5328</v>
      </c>
      <c r="E265" s="125" t="s">
        <v>5303</v>
      </c>
      <c r="F265" s="125" t="s">
        <v>5304</v>
      </c>
      <c r="G265" s="125" t="s">
        <v>5297</v>
      </c>
      <c r="H265" s="125" t="s">
        <v>371</v>
      </c>
      <c r="I265" s="125" t="s">
        <v>371</v>
      </c>
    </row>
    <row r="266" spans="1:9" x14ac:dyDescent="0.25">
      <c r="A266" s="125" t="s">
        <v>3560</v>
      </c>
      <c r="B266" s="125" t="s">
        <v>5327</v>
      </c>
      <c r="C266" s="125">
        <v>227</v>
      </c>
      <c r="D266" s="125" t="s">
        <v>5328</v>
      </c>
      <c r="E266" s="125" t="s">
        <v>5303</v>
      </c>
      <c r="F266" s="125" t="s">
        <v>5304</v>
      </c>
      <c r="G266" s="125" t="s">
        <v>5297</v>
      </c>
      <c r="H266" s="125" t="s">
        <v>371</v>
      </c>
      <c r="I266" s="125" t="s">
        <v>371</v>
      </c>
    </row>
    <row r="267" spans="1:9" x14ac:dyDescent="0.25">
      <c r="A267" s="125" t="s">
        <v>3028</v>
      </c>
      <c r="B267" s="125" t="s">
        <v>5327</v>
      </c>
      <c r="C267" s="125">
        <v>227</v>
      </c>
      <c r="D267" s="125" t="s">
        <v>5328</v>
      </c>
      <c r="E267" s="125" t="s">
        <v>5303</v>
      </c>
      <c r="F267" s="125" t="s">
        <v>5304</v>
      </c>
      <c r="G267" s="125" t="s">
        <v>5297</v>
      </c>
      <c r="H267" s="125" t="s">
        <v>371</v>
      </c>
      <c r="I267" s="125" t="s">
        <v>371</v>
      </c>
    </row>
    <row r="268" spans="1:9" x14ac:dyDescent="0.25">
      <c r="A268" s="125" t="s">
        <v>5380</v>
      </c>
      <c r="B268" s="125" t="s">
        <v>5327</v>
      </c>
      <c r="C268" s="125">
        <v>227</v>
      </c>
      <c r="D268" s="125" t="s">
        <v>5328</v>
      </c>
      <c r="E268" s="125" t="s">
        <v>5303</v>
      </c>
      <c r="F268" s="125" t="s">
        <v>5304</v>
      </c>
      <c r="G268" s="125" t="s">
        <v>5297</v>
      </c>
      <c r="H268" s="125" t="s">
        <v>371</v>
      </c>
      <c r="I268" s="125" t="s">
        <v>371</v>
      </c>
    </row>
    <row r="269" spans="1:9" x14ac:dyDescent="0.25">
      <c r="A269" s="125" t="s">
        <v>3320</v>
      </c>
      <c r="B269" s="125" t="s">
        <v>5327</v>
      </c>
      <c r="C269" s="125">
        <v>227</v>
      </c>
      <c r="D269" s="125" t="s">
        <v>5328</v>
      </c>
      <c r="E269" s="125" t="s">
        <v>5303</v>
      </c>
      <c r="F269" s="125" t="s">
        <v>5304</v>
      </c>
      <c r="G269" s="125" t="s">
        <v>5297</v>
      </c>
      <c r="H269" s="125" t="s">
        <v>371</v>
      </c>
      <c r="I269" s="125" t="s">
        <v>371</v>
      </c>
    </row>
    <row r="270" spans="1:9" x14ac:dyDescent="0.25">
      <c r="A270" s="125" t="s">
        <v>2734</v>
      </c>
      <c r="B270" s="125" t="s">
        <v>5327</v>
      </c>
      <c r="C270" s="125">
        <v>227</v>
      </c>
      <c r="D270" s="125" t="s">
        <v>5328</v>
      </c>
      <c r="E270" s="125" t="s">
        <v>5303</v>
      </c>
      <c r="F270" s="125" t="s">
        <v>5304</v>
      </c>
      <c r="G270" s="125" t="s">
        <v>5297</v>
      </c>
      <c r="H270" s="125" t="s">
        <v>5378</v>
      </c>
      <c r="I270" s="125" t="s">
        <v>1050</v>
      </c>
    </row>
    <row r="271" spans="1:9" x14ac:dyDescent="0.25">
      <c r="A271" s="125" t="s">
        <v>2422</v>
      </c>
      <c r="B271" s="125" t="s">
        <v>5327</v>
      </c>
      <c r="C271" s="125">
        <v>227</v>
      </c>
      <c r="D271" s="125" t="s">
        <v>5328</v>
      </c>
      <c r="E271" s="125" t="s">
        <v>5303</v>
      </c>
      <c r="F271" s="125" t="s">
        <v>5304</v>
      </c>
      <c r="G271" s="125" t="s">
        <v>5297</v>
      </c>
      <c r="H271" s="125" t="s">
        <v>5379</v>
      </c>
      <c r="I271" s="125" t="s">
        <v>2640</v>
      </c>
    </row>
    <row r="272" spans="1:9" x14ac:dyDescent="0.25">
      <c r="A272" s="125" t="s">
        <v>2051</v>
      </c>
      <c r="B272" s="125" t="s">
        <v>5327</v>
      </c>
      <c r="C272" s="125">
        <v>227</v>
      </c>
      <c r="D272" s="125" t="s">
        <v>5328</v>
      </c>
      <c r="E272" s="125" t="s">
        <v>5303</v>
      </c>
      <c r="F272" s="125" t="s">
        <v>5304</v>
      </c>
      <c r="G272" s="125" t="s">
        <v>5297</v>
      </c>
      <c r="H272" s="125" t="s">
        <v>5329</v>
      </c>
      <c r="I272" s="125" t="s">
        <v>3575</v>
      </c>
    </row>
    <row r="273" spans="1:9" x14ac:dyDescent="0.25">
      <c r="A273" s="125" t="s">
        <v>2163</v>
      </c>
      <c r="B273" s="125" t="s">
        <v>5327</v>
      </c>
      <c r="C273" s="125">
        <v>227</v>
      </c>
      <c r="D273" s="125" t="s">
        <v>5328</v>
      </c>
      <c r="E273" s="125" t="s">
        <v>5303</v>
      </c>
      <c r="F273" s="125" t="s">
        <v>5304</v>
      </c>
      <c r="G273" s="125" t="s">
        <v>5297</v>
      </c>
      <c r="H273" s="125" t="s">
        <v>5379</v>
      </c>
      <c r="I273" s="125" t="s">
        <v>2640</v>
      </c>
    </row>
    <row r="274" spans="1:9" x14ac:dyDescent="0.25">
      <c r="A274" s="125" t="s">
        <v>1592</v>
      </c>
      <c r="B274" s="125" t="s">
        <v>5327</v>
      </c>
      <c r="C274" s="125">
        <v>227</v>
      </c>
      <c r="D274" s="125" t="s">
        <v>5328</v>
      </c>
      <c r="E274" s="125" t="s">
        <v>5303</v>
      </c>
      <c r="F274" s="125" t="s">
        <v>5304</v>
      </c>
      <c r="G274" s="125" t="s">
        <v>5297</v>
      </c>
      <c r="H274" s="125" t="s">
        <v>5379</v>
      </c>
      <c r="I274" s="125" t="s">
        <v>2640</v>
      </c>
    </row>
    <row r="275" spans="1:9" x14ac:dyDescent="0.25">
      <c r="A275" s="125" t="s">
        <v>1962</v>
      </c>
      <c r="B275" s="125" t="s">
        <v>5327</v>
      </c>
      <c r="C275" s="125">
        <v>227</v>
      </c>
      <c r="D275" s="125" t="s">
        <v>5328</v>
      </c>
      <c r="E275" s="125" t="s">
        <v>5303</v>
      </c>
      <c r="F275" s="125" t="s">
        <v>5304</v>
      </c>
      <c r="G275" s="125" t="s">
        <v>5297</v>
      </c>
      <c r="H275" s="125" t="s">
        <v>5379</v>
      </c>
      <c r="I275" s="125" t="s">
        <v>2640</v>
      </c>
    </row>
    <row r="276" spans="1:9" x14ac:dyDescent="0.25">
      <c r="A276" s="125" t="s">
        <v>3150</v>
      </c>
      <c r="B276" s="125" t="s">
        <v>5327</v>
      </c>
      <c r="C276" s="125">
        <v>227</v>
      </c>
      <c r="D276" s="125" t="s">
        <v>5328</v>
      </c>
      <c r="E276" s="125" t="s">
        <v>5303</v>
      </c>
      <c r="F276" s="125" t="s">
        <v>5304</v>
      </c>
      <c r="G276" s="125" t="s">
        <v>5297</v>
      </c>
      <c r="H276" s="125" t="s">
        <v>371</v>
      </c>
      <c r="I276" s="125" t="s">
        <v>371</v>
      </c>
    </row>
    <row r="277" spans="1:9" x14ac:dyDescent="0.25">
      <c r="A277" s="125" t="s">
        <v>1335</v>
      </c>
      <c r="B277" s="125" t="s">
        <v>5327</v>
      </c>
      <c r="C277" s="125">
        <v>227</v>
      </c>
      <c r="D277" s="125" t="s">
        <v>5328</v>
      </c>
      <c r="E277" s="125" t="s">
        <v>5303</v>
      </c>
      <c r="F277" s="125" t="s">
        <v>5304</v>
      </c>
      <c r="G277" s="125" t="s">
        <v>5297</v>
      </c>
      <c r="H277" s="125" t="s">
        <v>5379</v>
      </c>
      <c r="I277" s="125" t="s">
        <v>2640</v>
      </c>
    </row>
    <row r="278" spans="1:9" x14ac:dyDescent="0.25">
      <c r="A278" s="125" t="s">
        <v>1086</v>
      </c>
      <c r="B278" s="125" t="s">
        <v>5327</v>
      </c>
      <c r="C278" s="125">
        <v>227</v>
      </c>
      <c r="D278" s="125" t="s">
        <v>5328</v>
      </c>
      <c r="E278" s="125" t="s">
        <v>5303</v>
      </c>
      <c r="F278" s="125" t="s">
        <v>5304</v>
      </c>
      <c r="G278" s="125" t="s">
        <v>5297</v>
      </c>
      <c r="H278" s="125" t="s">
        <v>371</v>
      </c>
      <c r="I278" s="125" t="s">
        <v>371</v>
      </c>
    </row>
    <row r="279" spans="1:9" x14ac:dyDescent="0.25">
      <c r="A279" s="125" t="s">
        <v>1210</v>
      </c>
      <c r="B279" s="125" t="s">
        <v>5327</v>
      </c>
      <c r="C279" s="125">
        <v>227</v>
      </c>
      <c r="D279" s="125" t="s">
        <v>5328</v>
      </c>
      <c r="E279" s="125" t="s">
        <v>5303</v>
      </c>
      <c r="F279" s="125" t="s">
        <v>5304</v>
      </c>
      <c r="G279" s="125" t="s">
        <v>5297</v>
      </c>
      <c r="H279" s="125" t="s">
        <v>5378</v>
      </c>
      <c r="I279" s="125" t="s">
        <v>1050</v>
      </c>
    </row>
    <row r="280" spans="1:9" x14ac:dyDescent="0.25">
      <c r="A280" s="125" t="s">
        <v>2041</v>
      </c>
      <c r="B280" s="125" t="s">
        <v>5327</v>
      </c>
      <c r="C280" s="125">
        <v>227</v>
      </c>
      <c r="D280" s="125" t="s">
        <v>5328</v>
      </c>
      <c r="E280" s="125" t="s">
        <v>5303</v>
      </c>
      <c r="F280" s="125" t="s">
        <v>5304</v>
      </c>
      <c r="G280" s="125" t="s">
        <v>5297</v>
      </c>
      <c r="H280" s="125" t="s">
        <v>371</v>
      </c>
      <c r="I280" s="125" t="s">
        <v>371</v>
      </c>
    </row>
    <row r="281" spans="1:9" x14ac:dyDescent="0.25">
      <c r="A281" s="125" t="s">
        <v>3164</v>
      </c>
      <c r="B281" s="125" t="s">
        <v>5327</v>
      </c>
      <c r="C281" s="125">
        <v>227</v>
      </c>
      <c r="D281" s="125" t="s">
        <v>5328</v>
      </c>
      <c r="E281" s="125" t="s">
        <v>5303</v>
      </c>
      <c r="F281" s="125" t="s">
        <v>5304</v>
      </c>
      <c r="G281" s="125" t="s">
        <v>5297</v>
      </c>
      <c r="H281" s="125" t="s">
        <v>371</v>
      </c>
      <c r="I281" s="125" t="s">
        <v>371</v>
      </c>
    </row>
    <row r="282" spans="1:9" x14ac:dyDescent="0.25">
      <c r="A282" s="125" t="s">
        <v>2097</v>
      </c>
      <c r="B282" s="125" t="s">
        <v>5327</v>
      </c>
      <c r="C282" s="125">
        <v>227</v>
      </c>
      <c r="D282" s="125" t="s">
        <v>5328</v>
      </c>
      <c r="E282" s="125" t="s">
        <v>5303</v>
      </c>
      <c r="F282" s="125" t="s">
        <v>5304</v>
      </c>
      <c r="G282" s="125" t="s">
        <v>5297</v>
      </c>
      <c r="H282" s="125" t="s">
        <v>3195</v>
      </c>
      <c r="I282" s="125" t="s">
        <v>3575</v>
      </c>
    </row>
    <row r="283" spans="1:9" x14ac:dyDescent="0.25">
      <c r="A283" s="125" t="s">
        <v>2976</v>
      </c>
      <c r="B283" s="125" t="s">
        <v>5327</v>
      </c>
      <c r="C283" s="125">
        <v>227</v>
      </c>
      <c r="D283" s="125" t="s">
        <v>5328</v>
      </c>
      <c r="E283" s="125" t="s">
        <v>5303</v>
      </c>
      <c r="F283" s="125" t="s">
        <v>5304</v>
      </c>
      <c r="G283" s="125" t="s">
        <v>5297</v>
      </c>
      <c r="H283" s="125" t="s">
        <v>3195</v>
      </c>
      <c r="I283" s="125" t="s">
        <v>3575</v>
      </c>
    </row>
    <row r="284" spans="1:9" x14ac:dyDescent="0.25">
      <c r="A284" s="125" t="s">
        <v>2259</v>
      </c>
      <c r="B284" s="125" t="s">
        <v>5327</v>
      </c>
      <c r="C284" s="125">
        <v>227</v>
      </c>
      <c r="D284" s="125" t="s">
        <v>5328</v>
      </c>
      <c r="E284" s="125" t="s">
        <v>5303</v>
      </c>
      <c r="F284" s="125" t="s">
        <v>5304</v>
      </c>
      <c r="G284" s="125" t="s">
        <v>5297</v>
      </c>
      <c r="H284" s="125" t="s">
        <v>5378</v>
      </c>
      <c r="I284" s="125" t="s">
        <v>1050</v>
      </c>
    </row>
    <row r="285" spans="1:9" x14ac:dyDescent="0.25">
      <c r="A285" s="125" t="s">
        <v>1957</v>
      </c>
      <c r="B285" s="125" t="s">
        <v>5327</v>
      </c>
      <c r="C285" s="125">
        <v>227</v>
      </c>
      <c r="D285" s="125" t="s">
        <v>5328</v>
      </c>
      <c r="E285" s="125" t="s">
        <v>5303</v>
      </c>
      <c r="F285" s="125" t="s">
        <v>5304</v>
      </c>
      <c r="G285" s="125" t="s">
        <v>5297</v>
      </c>
      <c r="H285" s="125" t="s">
        <v>5378</v>
      </c>
      <c r="I285" s="125" t="s">
        <v>1050</v>
      </c>
    </row>
    <row r="286" spans="1:9" x14ac:dyDescent="0.25">
      <c r="A286" s="125" t="s">
        <v>2442</v>
      </c>
      <c r="B286" s="125" t="s">
        <v>5327</v>
      </c>
      <c r="C286" s="125">
        <v>227</v>
      </c>
      <c r="D286" s="125" t="s">
        <v>5328</v>
      </c>
      <c r="E286" s="125" t="s">
        <v>5303</v>
      </c>
      <c r="F286" s="125" t="s">
        <v>5304</v>
      </c>
      <c r="G286" s="125" t="s">
        <v>5297</v>
      </c>
      <c r="H286" s="125" t="s">
        <v>5378</v>
      </c>
      <c r="I286" s="125" t="s">
        <v>1050</v>
      </c>
    </row>
    <row r="287" spans="1:9" x14ac:dyDescent="0.25">
      <c r="A287" s="125" t="s">
        <v>1956</v>
      </c>
      <c r="B287" s="125" t="s">
        <v>5327</v>
      </c>
      <c r="C287" s="125">
        <v>227</v>
      </c>
      <c r="D287" s="125" t="s">
        <v>5328</v>
      </c>
      <c r="E287" s="125" t="s">
        <v>5303</v>
      </c>
      <c r="F287" s="125" t="s">
        <v>5304</v>
      </c>
      <c r="G287" s="125" t="s">
        <v>5297</v>
      </c>
      <c r="H287" s="125" t="s">
        <v>5378</v>
      </c>
      <c r="I287" s="125" t="s">
        <v>1050</v>
      </c>
    </row>
    <row r="288" spans="1:9" x14ac:dyDescent="0.25">
      <c r="A288" s="125" t="s">
        <v>1433</v>
      </c>
      <c r="B288" s="125" t="s">
        <v>5327</v>
      </c>
      <c r="C288" s="125">
        <v>227</v>
      </c>
      <c r="D288" s="125" t="s">
        <v>5328</v>
      </c>
      <c r="E288" s="125" t="s">
        <v>5303</v>
      </c>
      <c r="F288" s="125" t="s">
        <v>5304</v>
      </c>
      <c r="G288" s="125" t="s">
        <v>5297</v>
      </c>
      <c r="H288" s="125" t="s">
        <v>5378</v>
      </c>
      <c r="I288" s="125" t="s">
        <v>1050</v>
      </c>
    </row>
    <row r="289" spans="1:9" x14ac:dyDescent="0.25">
      <c r="A289" s="125" t="s">
        <v>5381</v>
      </c>
      <c r="B289" s="125" t="s">
        <v>5382</v>
      </c>
      <c r="C289" s="125" t="s">
        <v>5383</v>
      </c>
      <c r="D289" s="125"/>
      <c r="E289" s="125" t="s">
        <v>5384</v>
      </c>
      <c r="F289" s="125" t="s">
        <v>5384</v>
      </c>
      <c r="G289" s="125" t="s">
        <v>5384</v>
      </c>
      <c r="H289" s="125" t="s">
        <v>371</v>
      </c>
      <c r="I289" s="125" t="s">
        <v>371</v>
      </c>
    </row>
    <row r="290" spans="1:9" x14ac:dyDescent="0.25">
      <c r="A290" s="125" t="s">
        <v>5385</v>
      </c>
      <c r="B290" s="125" t="s">
        <v>5382</v>
      </c>
      <c r="C290" s="125" t="s">
        <v>5383</v>
      </c>
      <c r="D290" s="125"/>
      <c r="E290" s="125" t="s">
        <v>5384</v>
      </c>
      <c r="F290" s="125" t="s">
        <v>5384</v>
      </c>
      <c r="G290" s="125" t="s">
        <v>5384</v>
      </c>
      <c r="H290" s="125" t="s">
        <v>371</v>
      </c>
      <c r="I290" s="125" t="s">
        <v>371</v>
      </c>
    </row>
    <row r="291" spans="1:9" x14ac:dyDescent="0.25">
      <c r="A291" s="125" t="s">
        <v>5386</v>
      </c>
      <c r="B291" s="125" t="s">
        <v>5382</v>
      </c>
      <c r="C291" s="125" t="s">
        <v>5383</v>
      </c>
      <c r="D291" s="125"/>
      <c r="E291" s="125" t="s">
        <v>5384</v>
      </c>
      <c r="F291" s="125" t="s">
        <v>5384</v>
      </c>
      <c r="G291" s="125" t="s">
        <v>5384</v>
      </c>
      <c r="H291" s="125" t="s">
        <v>371</v>
      </c>
      <c r="I291" s="125" t="s">
        <v>371</v>
      </c>
    </row>
    <row r="292" spans="1:9" x14ac:dyDescent="0.25">
      <c r="A292" s="125" t="s">
        <v>5387</v>
      </c>
      <c r="B292" s="125" t="s">
        <v>5382</v>
      </c>
      <c r="C292" s="125" t="s">
        <v>5383</v>
      </c>
      <c r="D292" s="125"/>
      <c r="E292" s="125" t="s">
        <v>5384</v>
      </c>
      <c r="F292" s="125" t="s">
        <v>5384</v>
      </c>
      <c r="G292" s="125" t="s">
        <v>5384</v>
      </c>
      <c r="H292" s="125" t="s">
        <v>371</v>
      </c>
      <c r="I292" s="125" t="s">
        <v>371</v>
      </c>
    </row>
    <row r="293" spans="1:9" x14ac:dyDescent="0.25">
      <c r="A293" s="125" t="s">
        <v>5388</v>
      </c>
      <c r="B293" s="125" t="s">
        <v>5382</v>
      </c>
      <c r="C293" s="125" t="s">
        <v>5383</v>
      </c>
      <c r="D293" s="125"/>
      <c r="E293" s="125" t="s">
        <v>5384</v>
      </c>
      <c r="F293" s="125" t="s">
        <v>5384</v>
      </c>
      <c r="G293" s="125" t="s">
        <v>5384</v>
      </c>
      <c r="H293" s="125" t="s">
        <v>371</v>
      </c>
      <c r="I293" s="125" t="s">
        <v>371</v>
      </c>
    </row>
    <row r="294" spans="1:9" x14ac:dyDescent="0.25">
      <c r="A294" s="125" t="s">
        <v>5389</v>
      </c>
      <c r="B294" s="125" t="s">
        <v>5382</v>
      </c>
      <c r="C294" s="125" t="s">
        <v>5383</v>
      </c>
      <c r="D294" s="125"/>
      <c r="E294" s="125" t="s">
        <v>5384</v>
      </c>
      <c r="F294" s="125" t="s">
        <v>5384</v>
      </c>
      <c r="G294" s="125" t="s">
        <v>5384</v>
      </c>
      <c r="H294" s="125" t="s">
        <v>371</v>
      </c>
      <c r="I294" s="125" t="s">
        <v>371</v>
      </c>
    </row>
    <row r="295" spans="1:9" x14ac:dyDescent="0.25">
      <c r="A295" s="125" t="s">
        <v>5390</v>
      </c>
      <c r="B295" s="125" t="s">
        <v>5382</v>
      </c>
      <c r="C295" s="125" t="s">
        <v>5383</v>
      </c>
      <c r="D295" s="125"/>
      <c r="E295" s="125" t="s">
        <v>5384</v>
      </c>
      <c r="F295" s="125" t="s">
        <v>5384</v>
      </c>
      <c r="G295" s="125" t="s">
        <v>5384</v>
      </c>
      <c r="H295" s="125" t="s">
        <v>371</v>
      </c>
      <c r="I295" s="125" t="s">
        <v>371</v>
      </c>
    </row>
    <row r="296" spans="1:9" x14ac:dyDescent="0.25">
      <c r="A296" s="125" t="s">
        <v>5391</v>
      </c>
      <c r="B296" s="125" t="s">
        <v>5382</v>
      </c>
      <c r="C296" s="125" t="s">
        <v>5383</v>
      </c>
      <c r="D296" s="125"/>
      <c r="E296" s="125" t="s">
        <v>5384</v>
      </c>
      <c r="F296" s="125" t="s">
        <v>5384</v>
      </c>
      <c r="G296" s="125" t="s">
        <v>5384</v>
      </c>
      <c r="H296" s="125" t="s">
        <v>371</v>
      </c>
      <c r="I296" s="125" t="s">
        <v>371</v>
      </c>
    </row>
    <row r="297" spans="1:9" x14ac:dyDescent="0.25">
      <c r="A297" s="125" t="s">
        <v>5392</v>
      </c>
      <c r="B297" s="125" t="s">
        <v>5382</v>
      </c>
      <c r="C297" s="125" t="s">
        <v>5383</v>
      </c>
      <c r="D297" s="125"/>
      <c r="E297" s="125" t="s">
        <v>5384</v>
      </c>
      <c r="F297" s="125" t="s">
        <v>5384</v>
      </c>
      <c r="G297" s="125" t="s">
        <v>5384</v>
      </c>
      <c r="H297" s="125" t="s">
        <v>371</v>
      </c>
      <c r="I297" s="125" t="s">
        <v>371</v>
      </c>
    </row>
    <row r="298" spans="1:9" x14ac:dyDescent="0.25">
      <c r="A298" s="125" t="s">
        <v>5393</v>
      </c>
      <c r="B298" s="125" t="s">
        <v>5382</v>
      </c>
      <c r="C298" s="125" t="s">
        <v>5383</v>
      </c>
      <c r="D298" s="125"/>
      <c r="E298" s="125" t="s">
        <v>5384</v>
      </c>
      <c r="F298" s="125" t="s">
        <v>5384</v>
      </c>
      <c r="G298" s="125" t="s">
        <v>5384</v>
      </c>
      <c r="H298" s="125" t="s">
        <v>371</v>
      </c>
      <c r="I298" s="125" t="s">
        <v>371</v>
      </c>
    </row>
    <row r="299" spans="1:9" x14ac:dyDescent="0.25">
      <c r="A299" s="125" t="s">
        <v>5394</v>
      </c>
      <c r="B299" s="125" t="s">
        <v>5382</v>
      </c>
      <c r="C299" s="125" t="s">
        <v>5383</v>
      </c>
      <c r="D299" s="125"/>
      <c r="E299" s="125" t="s">
        <v>5384</v>
      </c>
      <c r="F299" s="125" t="s">
        <v>5384</v>
      </c>
      <c r="G299" s="125" t="s">
        <v>5384</v>
      </c>
      <c r="H299" s="125" t="s">
        <v>371</v>
      </c>
      <c r="I299" s="125" t="s">
        <v>371</v>
      </c>
    </row>
    <row r="300" spans="1:9" x14ac:dyDescent="0.25">
      <c r="A300" s="125" t="s">
        <v>5395</v>
      </c>
      <c r="B300" s="125" t="s">
        <v>5382</v>
      </c>
      <c r="C300" s="125" t="s">
        <v>5383</v>
      </c>
      <c r="D300" s="125"/>
      <c r="E300" s="125" t="s">
        <v>5384</v>
      </c>
      <c r="F300" s="125" t="s">
        <v>5384</v>
      </c>
      <c r="G300" s="125" t="s">
        <v>5384</v>
      </c>
      <c r="H300" s="125" t="s">
        <v>371</v>
      </c>
      <c r="I300" s="125" t="s">
        <v>371</v>
      </c>
    </row>
    <row r="301" spans="1:9" x14ac:dyDescent="0.25">
      <c r="A301" s="125" t="s">
        <v>5396</v>
      </c>
      <c r="B301" s="125" t="s">
        <v>5382</v>
      </c>
      <c r="C301" s="125" t="s">
        <v>5383</v>
      </c>
      <c r="D301" s="125"/>
      <c r="E301" s="125" t="s">
        <v>5384</v>
      </c>
      <c r="F301" s="125" t="s">
        <v>5384</v>
      </c>
      <c r="G301" s="125" t="s">
        <v>5384</v>
      </c>
      <c r="H301" s="125" t="s">
        <v>371</v>
      </c>
      <c r="I301" s="125" t="s">
        <v>371</v>
      </c>
    </row>
    <row r="302" spans="1:9" x14ac:dyDescent="0.25">
      <c r="A302" s="125" t="s">
        <v>5397</v>
      </c>
      <c r="B302" s="125" t="s">
        <v>5382</v>
      </c>
      <c r="C302" s="125" t="s">
        <v>5383</v>
      </c>
      <c r="D302" s="125"/>
      <c r="E302" s="125" t="s">
        <v>5384</v>
      </c>
      <c r="F302" s="125" t="s">
        <v>5384</v>
      </c>
      <c r="G302" s="125" t="s">
        <v>5384</v>
      </c>
      <c r="H302" s="125" t="s">
        <v>371</v>
      </c>
      <c r="I302" s="125" t="s">
        <v>371</v>
      </c>
    </row>
    <row r="303" spans="1:9" x14ac:dyDescent="0.25">
      <c r="A303" s="125" t="s">
        <v>5398</v>
      </c>
      <c r="B303" s="125" t="s">
        <v>5382</v>
      </c>
      <c r="C303" s="125" t="s">
        <v>5383</v>
      </c>
      <c r="D303" s="125"/>
      <c r="E303" s="125" t="s">
        <v>5384</v>
      </c>
      <c r="F303" s="125" t="s">
        <v>5384</v>
      </c>
      <c r="G303" s="125" t="s">
        <v>5384</v>
      </c>
      <c r="H303" s="125" t="s">
        <v>371</v>
      </c>
      <c r="I303" s="125" t="s">
        <v>371</v>
      </c>
    </row>
    <row r="304" spans="1:9" x14ac:dyDescent="0.25">
      <c r="A304" s="125" t="s">
        <v>5399</v>
      </c>
      <c r="B304" s="125" t="s">
        <v>5382</v>
      </c>
      <c r="C304" s="125" t="s">
        <v>5383</v>
      </c>
      <c r="D304" s="125"/>
      <c r="E304" s="125" t="s">
        <v>5384</v>
      </c>
      <c r="F304" s="125" t="s">
        <v>5384</v>
      </c>
      <c r="G304" s="125" t="s">
        <v>5384</v>
      </c>
      <c r="H304" s="125" t="s">
        <v>371</v>
      </c>
      <c r="I304" s="125" t="s">
        <v>371</v>
      </c>
    </row>
    <row r="305" spans="1:9" x14ac:dyDescent="0.25">
      <c r="A305" s="125" t="s">
        <v>5400</v>
      </c>
      <c r="B305" s="125" t="s">
        <v>5382</v>
      </c>
      <c r="C305" s="125" t="s">
        <v>5383</v>
      </c>
      <c r="D305" s="125"/>
      <c r="E305" s="125" t="s">
        <v>5384</v>
      </c>
      <c r="F305" s="125" t="s">
        <v>5384</v>
      </c>
      <c r="G305" s="125" t="s">
        <v>5384</v>
      </c>
      <c r="H305" s="125" t="s">
        <v>371</v>
      </c>
      <c r="I305" s="125" t="s">
        <v>371</v>
      </c>
    </row>
    <row r="306" spans="1:9" x14ac:dyDescent="0.25">
      <c r="A306" s="125" t="s">
        <v>5401</v>
      </c>
      <c r="B306" s="125" t="s">
        <v>5382</v>
      </c>
      <c r="C306" s="125" t="s">
        <v>5383</v>
      </c>
      <c r="D306" s="125"/>
      <c r="E306" s="125" t="s">
        <v>5384</v>
      </c>
      <c r="F306" s="125" t="s">
        <v>5384</v>
      </c>
      <c r="G306" s="125" t="s">
        <v>5384</v>
      </c>
      <c r="H306" s="125" t="s">
        <v>371</v>
      </c>
      <c r="I306" s="125" t="s">
        <v>371</v>
      </c>
    </row>
    <row r="307" spans="1:9" x14ac:dyDescent="0.25">
      <c r="A307" s="125" t="s">
        <v>5402</v>
      </c>
      <c r="B307" s="125" t="s">
        <v>5382</v>
      </c>
      <c r="C307" s="125" t="s">
        <v>5383</v>
      </c>
      <c r="D307" s="125"/>
      <c r="E307" s="125" t="s">
        <v>5384</v>
      </c>
      <c r="F307" s="125" t="s">
        <v>5384</v>
      </c>
      <c r="G307" s="125" t="s">
        <v>5384</v>
      </c>
      <c r="H307" s="125" t="s">
        <v>371</v>
      </c>
      <c r="I307" s="125" t="s">
        <v>371</v>
      </c>
    </row>
    <row r="308" spans="1:9" x14ac:dyDescent="0.25">
      <c r="A308" s="125" t="s">
        <v>5403</v>
      </c>
      <c r="B308" s="125" t="s">
        <v>5382</v>
      </c>
      <c r="C308" s="125" t="s">
        <v>5383</v>
      </c>
      <c r="D308" s="125"/>
      <c r="E308" s="125" t="s">
        <v>5384</v>
      </c>
      <c r="F308" s="125" t="s">
        <v>5384</v>
      </c>
      <c r="G308" s="125" t="s">
        <v>5384</v>
      </c>
      <c r="H308" s="125" t="s">
        <v>371</v>
      </c>
      <c r="I308" s="125" t="s">
        <v>371</v>
      </c>
    </row>
    <row r="309" spans="1:9" x14ac:dyDescent="0.25">
      <c r="A309" s="125" t="s">
        <v>5404</v>
      </c>
      <c r="B309" s="125" t="s">
        <v>5382</v>
      </c>
      <c r="C309" s="125" t="s">
        <v>5383</v>
      </c>
      <c r="D309" s="125"/>
      <c r="E309" s="125" t="s">
        <v>5384</v>
      </c>
      <c r="F309" s="125" t="s">
        <v>5384</v>
      </c>
      <c r="G309" s="125" t="s">
        <v>5384</v>
      </c>
      <c r="H309" s="125" t="s">
        <v>371</v>
      </c>
      <c r="I309" s="125" t="s">
        <v>371</v>
      </c>
    </row>
    <row r="310" spans="1:9" x14ac:dyDescent="0.25">
      <c r="A310" s="125" t="s">
        <v>5405</v>
      </c>
      <c r="B310" s="125" t="s">
        <v>5382</v>
      </c>
      <c r="C310" s="125" t="s">
        <v>5383</v>
      </c>
      <c r="D310" s="125"/>
      <c r="E310" s="125" t="s">
        <v>5384</v>
      </c>
      <c r="F310" s="125" t="s">
        <v>5384</v>
      </c>
      <c r="G310" s="125" t="s">
        <v>5384</v>
      </c>
      <c r="H310" s="125" t="s">
        <v>371</v>
      </c>
      <c r="I310" s="125" t="s">
        <v>371</v>
      </c>
    </row>
    <row r="311" spans="1:9" x14ac:dyDescent="0.25">
      <c r="A311" s="125" t="s">
        <v>5406</v>
      </c>
      <c r="B311" s="125" t="s">
        <v>5382</v>
      </c>
      <c r="C311" s="125" t="s">
        <v>5383</v>
      </c>
      <c r="D311" s="125"/>
      <c r="E311" s="125" t="s">
        <v>5384</v>
      </c>
      <c r="F311" s="125" t="s">
        <v>5384</v>
      </c>
      <c r="G311" s="125" t="s">
        <v>5384</v>
      </c>
      <c r="H311" s="125" t="s">
        <v>371</v>
      </c>
      <c r="I311" s="125" t="s">
        <v>371</v>
      </c>
    </row>
    <row r="312" spans="1:9" x14ac:dyDescent="0.25">
      <c r="A312" s="125" t="s">
        <v>5407</v>
      </c>
      <c r="B312" s="125" t="s">
        <v>5382</v>
      </c>
      <c r="C312" s="125" t="s">
        <v>5383</v>
      </c>
      <c r="D312" s="125"/>
      <c r="E312" s="125" t="s">
        <v>5384</v>
      </c>
      <c r="F312" s="125" t="s">
        <v>5384</v>
      </c>
      <c r="G312" s="125" t="s">
        <v>5384</v>
      </c>
      <c r="H312" s="125" t="s">
        <v>371</v>
      </c>
      <c r="I312" s="125" t="s">
        <v>371</v>
      </c>
    </row>
    <row r="313" spans="1:9" x14ac:dyDescent="0.25">
      <c r="A313" s="125" t="s">
        <v>5408</v>
      </c>
      <c r="B313" s="125" t="s">
        <v>5382</v>
      </c>
      <c r="C313" s="125" t="s">
        <v>5383</v>
      </c>
      <c r="D313" s="125"/>
      <c r="E313" s="125" t="s">
        <v>5384</v>
      </c>
      <c r="F313" s="125" t="s">
        <v>5384</v>
      </c>
      <c r="G313" s="125" t="s">
        <v>5384</v>
      </c>
      <c r="H313" s="125" t="s">
        <v>371</v>
      </c>
      <c r="I313" s="125" t="s">
        <v>371</v>
      </c>
    </row>
    <row r="314" spans="1:9" x14ac:dyDescent="0.25">
      <c r="A314" s="125" t="s">
        <v>5409</v>
      </c>
      <c r="B314" s="125" t="s">
        <v>5382</v>
      </c>
      <c r="C314" s="125" t="s">
        <v>5383</v>
      </c>
      <c r="D314" s="125"/>
      <c r="E314" s="125" t="s">
        <v>5384</v>
      </c>
      <c r="F314" s="125" t="s">
        <v>5384</v>
      </c>
      <c r="G314" s="125" t="s">
        <v>5384</v>
      </c>
      <c r="H314" s="125" t="s">
        <v>371</v>
      </c>
      <c r="I314" s="125" t="s">
        <v>371</v>
      </c>
    </row>
    <row r="315" spans="1:9" x14ac:dyDescent="0.25">
      <c r="A315" s="125" t="s">
        <v>5410</v>
      </c>
      <c r="B315" s="125" t="s">
        <v>5382</v>
      </c>
      <c r="C315" s="125" t="s">
        <v>5383</v>
      </c>
      <c r="D315" s="125"/>
      <c r="E315" s="125" t="s">
        <v>5384</v>
      </c>
      <c r="F315" s="125" t="s">
        <v>5384</v>
      </c>
      <c r="G315" s="125" t="s">
        <v>5384</v>
      </c>
      <c r="H315" s="125" t="s">
        <v>371</v>
      </c>
      <c r="I315" s="125" t="s">
        <v>371</v>
      </c>
    </row>
    <row r="316" spans="1:9" x14ac:dyDescent="0.25">
      <c r="A316" s="125" t="s">
        <v>5411</v>
      </c>
      <c r="B316" s="125" t="s">
        <v>5382</v>
      </c>
      <c r="C316" s="125" t="s">
        <v>5383</v>
      </c>
      <c r="D316" s="125"/>
      <c r="E316" s="125" t="s">
        <v>5384</v>
      </c>
      <c r="F316" s="125" t="s">
        <v>5384</v>
      </c>
      <c r="G316" s="125" t="s">
        <v>5384</v>
      </c>
      <c r="H316" s="125" t="s">
        <v>371</v>
      </c>
      <c r="I316" s="125" t="s">
        <v>371</v>
      </c>
    </row>
    <row r="317" spans="1:9" x14ac:dyDescent="0.25">
      <c r="A317" s="125" t="s">
        <v>5412</v>
      </c>
      <c r="B317" s="125" t="s">
        <v>5382</v>
      </c>
      <c r="C317" s="125" t="s">
        <v>5383</v>
      </c>
      <c r="D317" s="125"/>
      <c r="E317" s="125" t="s">
        <v>5384</v>
      </c>
      <c r="F317" s="125" t="s">
        <v>5384</v>
      </c>
      <c r="G317" s="125" t="s">
        <v>5384</v>
      </c>
      <c r="H317" s="125" t="s">
        <v>371</v>
      </c>
      <c r="I317" s="125" t="s">
        <v>371</v>
      </c>
    </row>
    <row r="318" spans="1:9" x14ac:dyDescent="0.25">
      <c r="A318" s="125" t="s">
        <v>5413</v>
      </c>
      <c r="B318" s="125" t="s">
        <v>5382</v>
      </c>
      <c r="C318" s="125" t="s">
        <v>5383</v>
      </c>
      <c r="D318" s="125"/>
      <c r="E318" s="125" t="s">
        <v>5384</v>
      </c>
      <c r="F318" s="125" t="s">
        <v>5384</v>
      </c>
      <c r="G318" s="125" t="s">
        <v>5384</v>
      </c>
      <c r="H318" s="125" t="s">
        <v>371</v>
      </c>
      <c r="I318" s="125" t="s">
        <v>371</v>
      </c>
    </row>
    <row r="319" spans="1:9" x14ac:dyDescent="0.25">
      <c r="A319" s="125" t="s">
        <v>5414</v>
      </c>
      <c r="B319" s="125" t="s">
        <v>5382</v>
      </c>
      <c r="C319" s="125" t="s">
        <v>5383</v>
      </c>
      <c r="D319" s="125"/>
      <c r="E319" s="125" t="s">
        <v>5384</v>
      </c>
      <c r="F319" s="125" t="s">
        <v>5384</v>
      </c>
      <c r="G319" s="125" t="s">
        <v>5384</v>
      </c>
      <c r="H319" s="125" t="s">
        <v>371</v>
      </c>
      <c r="I319" s="125" t="s">
        <v>371</v>
      </c>
    </row>
    <row r="320" spans="1:9" x14ac:dyDescent="0.25">
      <c r="A320" s="125" t="s">
        <v>5415</v>
      </c>
      <c r="B320" s="125" t="s">
        <v>5382</v>
      </c>
      <c r="C320" s="125" t="s">
        <v>5383</v>
      </c>
      <c r="D320" s="125"/>
      <c r="E320" s="125" t="s">
        <v>5384</v>
      </c>
      <c r="F320" s="125" t="s">
        <v>5384</v>
      </c>
      <c r="G320" s="125" t="s">
        <v>5384</v>
      </c>
      <c r="H320" s="125" t="s">
        <v>371</v>
      </c>
      <c r="I320" s="125" t="s">
        <v>371</v>
      </c>
    </row>
    <row r="321" spans="1:9" x14ac:dyDescent="0.25">
      <c r="A321" s="125" t="s">
        <v>5416</v>
      </c>
      <c r="B321" s="125" t="s">
        <v>5382</v>
      </c>
      <c r="C321" s="125" t="s">
        <v>5383</v>
      </c>
      <c r="D321" s="125"/>
      <c r="E321" s="125" t="s">
        <v>5384</v>
      </c>
      <c r="F321" s="125" t="s">
        <v>5384</v>
      </c>
      <c r="G321" s="125" t="s">
        <v>5384</v>
      </c>
      <c r="H321" s="125" t="s">
        <v>371</v>
      </c>
      <c r="I321" s="125" t="s">
        <v>371</v>
      </c>
    </row>
    <row r="322" spans="1:9" x14ac:dyDescent="0.25">
      <c r="A322" s="125" t="s">
        <v>5417</v>
      </c>
      <c r="B322" s="125" t="s">
        <v>5382</v>
      </c>
      <c r="C322" s="125" t="s">
        <v>5383</v>
      </c>
      <c r="D322" s="125"/>
      <c r="E322" s="125" t="s">
        <v>5384</v>
      </c>
      <c r="F322" s="125" t="s">
        <v>5384</v>
      </c>
      <c r="G322" s="125" t="s">
        <v>5384</v>
      </c>
      <c r="H322" s="125" t="s">
        <v>371</v>
      </c>
      <c r="I322" s="125" t="s">
        <v>371</v>
      </c>
    </row>
    <row r="323" spans="1:9" x14ac:dyDescent="0.25">
      <c r="A323" s="125" t="s">
        <v>5418</v>
      </c>
      <c r="B323" s="125" t="s">
        <v>5382</v>
      </c>
      <c r="C323" s="125" t="s">
        <v>5383</v>
      </c>
      <c r="D323" s="125"/>
      <c r="E323" s="125" t="s">
        <v>5384</v>
      </c>
      <c r="F323" s="125" t="s">
        <v>5384</v>
      </c>
      <c r="G323" s="125" t="s">
        <v>5384</v>
      </c>
      <c r="H323" s="125" t="s">
        <v>371</v>
      </c>
      <c r="I323" s="125" t="s">
        <v>371</v>
      </c>
    </row>
    <row r="324" spans="1:9" x14ac:dyDescent="0.25">
      <c r="A324" s="125" t="s">
        <v>5419</v>
      </c>
      <c r="B324" s="125" t="s">
        <v>5382</v>
      </c>
      <c r="C324" s="125" t="s">
        <v>5383</v>
      </c>
      <c r="D324" s="125"/>
      <c r="E324" s="125" t="s">
        <v>5384</v>
      </c>
      <c r="F324" s="125" t="s">
        <v>5384</v>
      </c>
      <c r="G324" s="125" t="s">
        <v>5384</v>
      </c>
      <c r="H324" s="125" t="s">
        <v>371</v>
      </c>
      <c r="I324" s="125" t="s">
        <v>371</v>
      </c>
    </row>
    <row r="325" spans="1:9" x14ac:dyDescent="0.25">
      <c r="A325" s="125" t="s">
        <v>5420</v>
      </c>
      <c r="B325" s="125" t="s">
        <v>5382</v>
      </c>
      <c r="C325" s="125" t="s">
        <v>5383</v>
      </c>
      <c r="D325" s="125"/>
      <c r="E325" s="125" t="s">
        <v>5384</v>
      </c>
      <c r="F325" s="125" t="s">
        <v>5384</v>
      </c>
      <c r="G325" s="125" t="s">
        <v>5384</v>
      </c>
      <c r="H325" s="125" t="s">
        <v>371</v>
      </c>
      <c r="I325" s="125" t="s">
        <v>371</v>
      </c>
    </row>
    <row r="326" spans="1:9" x14ac:dyDescent="0.25">
      <c r="A326" s="125" t="s">
        <v>5421</v>
      </c>
      <c r="B326" s="125" t="s">
        <v>5382</v>
      </c>
      <c r="C326" s="125" t="s">
        <v>5383</v>
      </c>
      <c r="D326" s="125"/>
      <c r="E326" s="125" t="s">
        <v>5384</v>
      </c>
      <c r="F326" s="125" t="s">
        <v>5384</v>
      </c>
      <c r="G326" s="125" t="s">
        <v>5384</v>
      </c>
      <c r="H326" s="125" t="s">
        <v>371</v>
      </c>
      <c r="I326" s="125" t="s">
        <v>371</v>
      </c>
    </row>
    <row r="327" spans="1:9" x14ac:dyDescent="0.25">
      <c r="A327" s="125" t="s">
        <v>5422</v>
      </c>
      <c r="B327" s="125" t="s">
        <v>5382</v>
      </c>
      <c r="C327" s="125" t="s">
        <v>5383</v>
      </c>
      <c r="D327" s="125"/>
      <c r="E327" s="125" t="s">
        <v>5384</v>
      </c>
      <c r="F327" s="125" t="s">
        <v>5384</v>
      </c>
      <c r="G327" s="125" t="s">
        <v>5384</v>
      </c>
      <c r="H327" s="125" t="s">
        <v>371</v>
      </c>
      <c r="I327" s="125" t="s">
        <v>371</v>
      </c>
    </row>
    <row r="328" spans="1:9" x14ac:dyDescent="0.25">
      <c r="A328" s="125" t="s">
        <v>5423</v>
      </c>
      <c r="B328" s="125" t="s">
        <v>5382</v>
      </c>
      <c r="C328" s="125" t="s">
        <v>5383</v>
      </c>
      <c r="D328" s="125"/>
      <c r="E328" s="125" t="s">
        <v>5384</v>
      </c>
      <c r="F328" s="125" t="s">
        <v>5384</v>
      </c>
      <c r="G328" s="125" t="s">
        <v>5384</v>
      </c>
      <c r="H328" s="125" t="s">
        <v>371</v>
      </c>
      <c r="I328" s="125" t="s">
        <v>371</v>
      </c>
    </row>
    <row r="329" spans="1:9" x14ac:dyDescent="0.25">
      <c r="A329" s="125" t="s">
        <v>5424</v>
      </c>
      <c r="B329" s="125" t="s">
        <v>5382</v>
      </c>
      <c r="C329" s="125" t="s">
        <v>5383</v>
      </c>
      <c r="D329" s="125"/>
      <c r="E329" s="125" t="s">
        <v>5384</v>
      </c>
      <c r="F329" s="125" t="s">
        <v>5384</v>
      </c>
      <c r="G329" s="125" t="s">
        <v>5384</v>
      </c>
      <c r="H329" s="125" t="s">
        <v>371</v>
      </c>
      <c r="I329" s="125" t="s">
        <v>371</v>
      </c>
    </row>
    <row r="330" spans="1:9" x14ac:dyDescent="0.25">
      <c r="A330" s="125" t="s">
        <v>5425</v>
      </c>
      <c r="B330" s="125" t="s">
        <v>5382</v>
      </c>
      <c r="C330" s="125" t="s">
        <v>5383</v>
      </c>
      <c r="D330" s="125"/>
      <c r="E330" s="125" t="s">
        <v>5384</v>
      </c>
      <c r="F330" s="125" t="s">
        <v>5384</v>
      </c>
      <c r="G330" s="125" t="s">
        <v>5384</v>
      </c>
      <c r="H330" s="125" t="s">
        <v>371</v>
      </c>
      <c r="I330" s="125" t="s">
        <v>371</v>
      </c>
    </row>
    <row r="331" spans="1:9" x14ac:dyDescent="0.25">
      <c r="A331" s="125" t="s">
        <v>5426</v>
      </c>
      <c r="B331" s="125" t="s">
        <v>5382</v>
      </c>
      <c r="C331" s="125" t="s">
        <v>5383</v>
      </c>
      <c r="D331" s="125"/>
      <c r="E331" s="125" t="s">
        <v>5384</v>
      </c>
      <c r="F331" s="125" t="s">
        <v>5384</v>
      </c>
      <c r="G331" s="125" t="s">
        <v>5384</v>
      </c>
      <c r="H331" s="125" t="s">
        <v>371</v>
      </c>
      <c r="I331" s="125" t="s">
        <v>371</v>
      </c>
    </row>
    <row r="332" spans="1:9" x14ac:dyDescent="0.25">
      <c r="A332" s="125" t="s">
        <v>5427</v>
      </c>
      <c r="B332" s="125" t="s">
        <v>5382</v>
      </c>
      <c r="C332" s="125" t="s">
        <v>5383</v>
      </c>
      <c r="D332" s="125"/>
      <c r="E332" s="125" t="s">
        <v>5384</v>
      </c>
      <c r="F332" s="125" t="s">
        <v>5384</v>
      </c>
      <c r="G332" s="125" t="s">
        <v>5384</v>
      </c>
      <c r="H332" s="125" t="s">
        <v>371</v>
      </c>
      <c r="I332" s="125" t="s">
        <v>371</v>
      </c>
    </row>
    <row r="333" spans="1:9" x14ac:dyDescent="0.25">
      <c r="A333" s="125" t="s">
        <v>5428</v>
      </c>
      <c r="B333" s="125" t="s">
        <v>5382</v>
      </c>
      <c r="C333" s="125" t="s">
        <v>5383</v>
      </c>
      <c r="D333" s="125"/>
      <c r="E333" s="125" t="s">
        <v>5384</v>
      </c>
      <c r="F333" s="125" t="s">
        <v>5384</v>
      </c>
      <c r="G333" s="125" t="s">
        <v>5384</v>
      </c>
      <c r="H333" s="125" t="s">
        <v>371</v>
      </c>
      <c r="I333" s="125" t="s">
        <v>371</v>
      </c>
    </row>
    <row r="334" spans="1:9" x14ac:dyDescent="0.25">
      <c r="A334" s="125" t="s">
        <v>5429</v>
      </c>
      <c r="B334" s="125" t="s">
        <v>5382</v>
      </c>
      <c r="C334" s="125" t="s">
        <v>5383</v>
      </c>
      <c r="D334" s="125"/>
      <c r="E334" s="125" t="s">
        <v>5384</v>
      </c>
      <c r="F334" s="125" t="s">
        <v>5384</v>
      </c>
      <c r="G334" s="125" t="s">
        <v>5384</v>
      </c>
      <c r="H334" s="125" t="s">
        <v>371</v>
      </c>
      <c r="I334" s="125" t="s">
        <v>371</v>
      </c>
    </row>
    <row r="335" spans="1:9" x14ac:dyDescent="0.25">
      <c r="A335" s="125" t="s">
        <v>5430</v>
      </c>
      <c r="B335" s="125" t="s">
        <v>5382</v>
      </c>
      <c r="C335" s="125" t="s">
        <v>5383</v>
      </c>
      <c r="D335" s="125"/>
      <c r="E335" s="125" t="s">
        <v>5384</v>
      </c>
      <c r="F335" s="125" t="s">
        <v>5384</v>
      </c>
      <c r="G335" s="125" t="s">
        <v>5384</v>
      </c>
      <c r="H335" s="125" t="s">
        <v>371</v>
      </c>
      <c r="I335" s="125" t="s">
        <v>371</v>
      </c>
    </row>
    <row r="336" spans="1:9" x14ac:dyDescent="0.25">
      <c r="A336" s="125" t="s">
        <v>5431</v>
      </c>
      <c r="B336" s="125" t="s">
        <v>5382</v>
      </c>
      <c r="C336" s="125" t="s">
        <v>5383</v>
      </c>
      <c r="D336" s="125"/>
      <c r="E336" s="125" t="s">
        <v>5384</v>
      </c>
      <c r="F336" s="125" t="s">
        <v>5384</v>
      </c>
      <c r="G336" s="125" t="s">
        <v>5384</v>
      </c>
      <c r="H336" s="125" t="s">
        <v>371</v>
      </c>
      <c r="I336" s="125" t="s">
        <v>371</v>
      </c>
    </row>
    <row r="337" spans="1:9" x14ac:dyDescent="0.25">
      <c r="A337" s="125" t="s">
        <v>5432</v>
      </c>
      <c r="B337" s="125" t="s">
        <v>5382</v>
      </c>
      <c r="C337" s="125" t="s">
        <v>5383</v>
      </c>
      <c r="D337" s="125"/>
      <c r="E337" s="125" t="s">
        <v>5384</v>
      </c>
      <c r="F337" s="125" t="s">
        <v>5384</v>
      </c>
      <c r="G337" s="125" t="s">
        <v>5384</v>
      </c>
      <c r="H337" s="125" t="s">
        <v>371</v>
      </c>
      <c r="I337" s="125" t="s">
        <v>371</v>
      </c>
    </row>
    <row r="338" spans="1:9" x14ac:dyDescent="0.25">
      <c r="A338" s="125" t="s">
        <v>5433</v>
      </c>
      <c r="B338" s="125" t="s">
        <v>5382</v>
      </c>
      <c r="C338" s="125" t="s">
        <v>5383</v>
      </c>
      <c r="D338" s="125"/>
      <c r="E338" s="125" t="s">
        <v>5384</v>
      </c>
      <c r="F338" s="125" t="s">
        <v>5384</v>
      </c>
      <c r="G338" s="125" t="s">
        <v>5384</v>
      </c>
      <c r="H338" s="125" t="s">
        <v>371</v>
      </c>
      <c r="I338" s="125" t="s">
        <v>371</v>
      </c>
    </row>
    <row r="339" spans="1:9" x14ac:dyDescent="0.25">
      <c r="A339" s="125" t="s">
        <v>5434</v>
      </c>
      <c r="B339" s="125" t="s">
        <v>5382</v>
      </c>
      <c r="C339" s="125" t="s">
        <v>5383</v>
      </c>
      <c r="D339" s="125"/>
      <c r="E339" s="125" t="s">
        <v>5384</v>
      </c>
      <c r="F339" s="125" t="s">
        <v>5384</v>
      </c>
      <c r="G339" s="125" t="s">
        <v>5384</v>
      </c>
      <c r="H339" s="125" t="s">
        <v>371</v>
      </c>
      <c r="I339" s="125" t="s">
        <v>371</v>
      </c>
    </row>
    <row r="340" spans="1:9" x14ac:dyDescent="0.25">
      <c r="A340" s="125" t="s">
        <v>5435</v>
      </c>
      <c r="B340" s="125" t="s">
        <v>5382</v>
      </c>
      <c r="C340" s="125" t="s">
        <v>5383</v>
      </c>
      <c r="D340" s="125"/>
      <c r="E340" s="125" t="s">
        <v>5384</v>
      </c>
      <c r="F340" s="125" t="s">
        <v>5384</v>
      </c>
      <c r="G340" s="125" t="s">
        <v>5384</v>
      </c>
      <c r="H340" s="125" t="s">
        <v>371</v>
      </c>
      <c r="I340" s="125" t="s">
        <v>371</v>
      </c>
    </row>
    <row r="341" spans="1:9" x14ac:dyDescent="0.25">
      <c r="A341" s="125" t="s">
        <v>5436</v>
      </c>
      <c r="B341" s="125" t="s">
        <v>5382</v>
      </c>
      <c r="C341" s="125" t="s">
        <v>5383</v>
      </c>
      <c r="D341" s="125"/>
      <c r="E341" s="125" t="s">
        <v>5384</v>
      </c>
      <c r="F341" s="125" t="s">
        <v>5384</v>
      </c>
      <c r="G341" s="125" t="s">
        <v>5384</v>
      </c>
      <c r="H341" s="125" t="s">
        <v>371</v>
      </c>
      <c r="I341" s="125" t="s">
        <v>371</v>
      </c>
    </row>
    <row r="342" spans="1:9" x14ac:dyDescent="0.25">
      <c r="A342" s="125" t="s">
        <v>5437</v>
      </c>
      <c r="B342" s="125" t="s">
        <v>5382</v>
      </c>
      <c r="C342" s="125" t="s">
        <v>5383</v>
      </c>
      <c r="D342" s="125"/>
      <c r="E342" s="125" t="s">
        <v>5384</v>
      </c>
      <c r="F342" s="125" t="s">
        <v>5384</v>
      </c>
      <c r="G342" s="125" t="s">
        <v>5384</v>
      </c>
      <c r="H342" s="125" t="s">
        <v>371</v>
      </c>
      <c r="I342" s="125" t="s">
        <v>371</v>
      </c>
    </row>
    <row r="343" spans="1:9" x14ac:dyDescent="0.25">
      <c r="A343" s="125" t="s">
        <v>5438</v>
      </c>
      <c r="B343" s="125" t="s">
        <v>5382</v>
      </c>
      <c r="C343" s="125" t="s">
        <v>5383</v>
      </c>
      <c r="D343" s="125"/>
      <c r="E343" s="125" t="s">
        <v>5384</v>
      </c>
      <c r="F343" s="125" t="s">
        <v>5384</v>
      </c>
      <c r="G343" s="125" t="s">
        <v>5384</v>
      </c>
      <c r="H343" s="125" t="s">
        <v>371</v>
      </c>
      <c r="I343" s="125" t="s">
        <v>371</v>
      </c>
    </row>
    <row r="344" spans="1:9" x14ac:dyDescent="0.25">
      <c r="A344" s="125" t="s">
        <v>5439</v>
      </c>
      <c r="B344" s="125" t="s">
        <v>5382</v>
      </c>
      <c r="C344" s="125" t="s">
        <v>5383</v>
      </c>
      <c r="D344" s="125"/>
      <c r="E344" s="125" t="s">
        <v>5384</v>
      </c>
      <c r="F344" s="125" t="s">
        <v>5384</v>
      </c>
      <c r="G344" s="125" t="s">
        <v>5384</v>
      </c>
      <c r="H344" s="125" t="s">
        <v>371</v>
      </c>
      <c r="I344" s="125" t="s">
        <v>371</v>
      </c>
    </row>
    <row r="345" spans="1:9" x14ac:dyDescent="0.25">
      <c r="A345" s="125" t="s">
        <v>5440</v>
      </c>
      <c r="B345" s="125" t="s">
        <v>5382</v>
      </c>
      <c r="C345" s="125" t="s">
        <v>5383</v>
      </c>
      <c r="D345" s="125"/>
      <c r="E345" s="125" t="s">
        <v>5384</v>
      </c>
      <c r="F345" s="125" t="s">
        <v>5384</v>
      </c>
      <c r="G345" s="125" t="s">
        <v>5384</v>
      </c>
      <c r="H345" s="125" t="s">
        <v>371</v>
      </c>
      <c r="I345" s="125" t="s">
        <v>371</v>
      </c>
    </row>
    <row r="346" spans="1:9" x14ac:dyDescent="0.25">
      <c r="A346" s="125" t="s">
        <v>5441</v>
      </c>
      <c r="B346" s="125" t="s">
        <v>5382</v>
      </c>
      <c r="C346" s="125" t="s">
        <v>5383</v>
      </c>
      <c r="D346" s="125"/>
      <c r="E346" s="125" t="s">
        <v>5384</v>
      </c>
      <c r="F346" s="125" t="s">
        <v>5384</v>
      </c>
      <c r="G346" s="125" t="s">
        <v>5384</v>
      </c>
      <c r="H346" s="125" t="s">
        <v>371</v>
      </c>
      <c r="I346" s="125" t="s">
        <v>371</v>
      </c>
    </row>
    <row r="347" spans="1:9" x14ac:dyDescent="0.25">
      <c r="A347" s="125" t="s">
        <v>5442</v>
      </c>
      <c r="B347" s="125" t="s">
        <v>5382</v>
      </c>
      <c r="C347" s="125" t="s">
        <v>5383</v>
      </c>
      <c r="D347" s="125"/>
      <c r="E347" s="125" t="s">
        <v>5384</v>
      </c>
      <c r="F347" s="125" t="s">
        <v>5384</v>
      </c>
      <c r="G347" s="125" t="s">
        <v>5384</v>
      </c>
      <c r="H347" s="125" t="s">
        <v>371</v>
      </c>
      <c r="I347" s="125" t="s">
        <v>371</v>
      </c>
    </row>
    <row r="348" spans="1:9" x14ac:dyDescent="0.25">
      <c r="A348" s="125" t="s">
        <v>5443</v>
      </c>
      <c r="B348" s="125" t="s">
        <v>5382</v>
      </c>
      <c r="C348" s="125" t="s">
        <v>5383</v>
      </c>
      <c r="D348" s="125"/>
      <c r="E348" s="125" t="s">
        <v>5384</v>
      </c>
      <c r="F348" s="125" t="s">
        <v>5384</v>
      </c>
      <c r="G348" s="125" t="s">
        <v>5384</v>
      </c>
      <c r="H348" s="125" t="s">
        <v>371</v>
      </c>
      <c r="I348" s="125" t="s">
        <v>371</v>
      </c>
    </row>
    <row r="349" spans="1:9" x14ac:dyDescent="0.25">
      <c r="A349" s="125" t="s">
        <v>5444</v>
      </c>
      <c r="B349" s="125" t="s">
        <v>5382</v>
      </c>
      <c r="C349" s="125" t="s">
        <v>5383</v>
      </c>
      <c r="D349" s="125"/>
      <c r="E349" s="125" t="s">
        <v>5384</v>
      </c>
      <c r="F349" s="125" t="s">
        <v>5384</v>
      </c>
      <c r="G349" s="125" t="s">
        <v>5384</v>
      </c>
      <c r="H349" s="125" t="s">
        <v>371</v>
      </c>
      <c r="I349" s="125" t="s">
        <v>371</v>
      </c>
    </row>
    <row r="350" spans="1:9" x14ac:dyDescent="0.25">
      <c r="A350" s="125" t="s">
        <v>5445</v>
      </c>
      <c r="B350" s="125" t="s">
        <v>5382</v>
      </c>
      <c r="C350" s="125" t="s">
        <v>5383</v>
      </c>
      <c r="D350" s="125"/>
      <c r="E350" s="125" t="s">
        <v>5384</v>
      </c>
      <c r="F350" s="125" t="s">
        <v>5384</v>
      </c>
      <c r="G350" s="125" t="s">
        <v>5384</v>
      </c>
      <c r="H350" s="125" t="s">
        <v>371</v>
      </c>
      <c r="I350" s="125" t="s">
        <v>371</v>
      </c>
    </row>
    <row r="351" spans="1:9" x14ac:dyDescent="0.25">
      <c r="A351" s="125" t="s">
        <v>5446</v>
      </c>
      <c r="B351" s="125" t="s">
        <v>5382</v>
      </c>
      <c r="C351" s="125" t="s">
        <v>5383</v>
      </c>
      <c r="D351" s="125"/>
      <c r="E351" s="125" t="s">
        <v>5384</v>
      </c>
      <c r="F351" s="125" t="s">
        <v>5384</v>
      </c>
      <c r="G351" s="125" t="s">
        <v>5384</v>
      </c>
      <c r="H351" s="125" t="s">
        <v>371</v>
      </c>
      <c r="I351" s="125" t="s">
        <v>371</v>
      </c>
    </row>
    <row r="352" spans="1:9" x14ac:dyDescent="0.25">
      <c r="A352" s="125" t="s">
        <v>5447</v>
      </c>
      <c r="B352" s="125" t="s">
        <v>5382</v>
      </c>
      <c r="C352" s="125" t="s">
        <v>5383</v>
      </c>
      <c r="D352" s="125"/>
      <c r="E352" s="125" t="s">
        <v>5384</v>
      </c>
      <c r="F352" s="125" t="s">
        <v>5384</v>
      </c>
      <c r="G352" s="125" t="s">
        <v>5384</v>
      </c>
      <c r="H352" s="125" t="s">
        <v>371</v>
      </c>
      <c r="I352" s="125" t="s">
        <v>371</v>
      </c>
    </row>
    <row r="353" spans="1:9" x14ac:dyDescent="0.25">
      <c r="A353" s="125" t="s">
        <v>5448</v>
      </c>
      <c r="B353" s="125" t="s">
        <v>5382</v>
      </c>
      <c r="C353" s="125" t="s">
        <v>5383</v>
      </c>
      <c r="D353" s="125"/>
      <c r="E353" s="125" t="s">
        <v>5384</v>
      </c>
      <c r="F353" s="125" t="s">
        <v>5384</v>
      </c>
      <c r="G353" s="125" t="s">
        <v>5384</v>
      </c>
      <c r="H353" s="125" t="s">
        <v>371</v>
      </c>
      <c r="I353" s="125" t="s">
        <v>371</v>
      </c>
    </row>
    <row r="354" spans="1:9" x14ac:dyDescent="0.25">
      <c r="A354" s="125" t="s">
        <v>5449</v>
      </c>
      <c r="B354" s="125" t="s">
        <v>5382</v>
      </c>
      <c r="C354" s="125" t="s">
        <v>5383</v>
      </c>
      <c r="D354" s="125"/>
      <c r="E354" s="125" t="s">
        <v>5384</v>
      </c>
      <c r="F354" s="125" t="s">
        <v>5384</v>
      </c>
      <c r="G354" s="125" t="s">
        <v>5384</v>
      </c>
      <c r="H354" s="125" t="s">
        <v>371</v>
      </c>
      <c r="I354" s="125" t="s">
        <v>371</v>
      </c>
    </row>
    <row r="355" spans="1:9" x14ac:dyDescent="0.25">
      <c r="A355" s="125" t="s">
        <v>5450</v>
      </c>
      <c r="B355" s="125" t="s">
        <v>5382</v>
      </c>
      <c r="C355" s="125" t="s">
        <v>5383</v>
      </c>
      <c r="D355" s="125"/>
      <c r="E355" s="125" t="s">
        <v>5384</v>
      </c>
      <c r="F355" s="125" t="s">
        <v>5384</v>
      </c>
      <c r="G355" s="125" t="s">
        <v>5384</v>
      </c>
      <c r="H355" s="125" t="s">
        <v>371</v>
      </c>
      <c r="I355" s="125" t="s">
        <v>371</v>
      </c>
    </row>
    <row r="356" spans="1:9" x14ac:dyDescent="0.25">
      <c r="A356" s="125" t="s">
        <v>5451</v>
      </c>
      <c r="B356" s="125" t="s">
        <v>5382</v>
      </c>
      <c r="C356" s="125" t="s">
        <v>5383</v>
      </c>
      <c r="D356" s="125"/>
      <c r="E356" s="125" t="s">
        <v>5384</v>
      </c>
      <c r="F356" s="125" t="s">
        <v>5384</v>
      </c>
      <c r="G356" s="125" t="s">
        <v>5384</v>
      </c>
      <c r="H356" s="125" t="s">
        <v>371</v>
      </c>
      <c r="I356" s="125" t="s">
        <v>371</v>
      </c>
    </row>
    <row r="357" spans="1:9" x14ac:dyDescent="0.25">
      <c r="A357" s="125" t="s">
        <v>5452</v>
      </c>
      <c r="B357" s="125" t="s">
        <v>5382</v>
      </c>
      <c r="C357" s="125" t="s">
        <v>5383</v>
      </c>
      <c r="D357" s="125"/>
      <c r="E357" s="125" t="s">
        <v>5384</v>
      </c>
      <c r="F357" s="125" t="s">
        <v>5384</v>
      </c>
      <c r="G357" s="125" t="s">
        <v>5384</v>
      </c>
      <c r="H357" s="125" t="s">
        <v>371</v>
      </c>
      <c r="I357" s="125" t="s">
        <v>371</v>
      </c>
    </row>
    <row r="358" spans="1:9" x14ac:dyDescent="0.25">
      <c r="A358" s="125" t="s">
        <v>5453</v>
      </c>
      <c r="B358" s="125" t="s">
        <v>5382</v>
      </c>
      <c r="C358" s="125" t="s">
        <v>5383</v>
      </c>
      <c r="D358" s="125"/>
      <c r="E358" s="125" t="s">
        <v>5384</v>
      </c>
      <c r="F358" s="125" t="s">
        <v>5384</v>
      </c>
      <c r="G358" s="125" t="s">
        <v>5384</v>
      </c>
      <c r="H358" s="125" t="s">
        <v>371</v>
      </c>
      <c r="I358" s="125" t="s">
        <v>371</v>
      </c>
    </row>
    <row r="359" spans="1:9" x14ac:dyDescent="0.25">
      <c r="A359" s="125" t="s">
        <v>5454</v>
      </c>
      <c r="B359" s="125" t="s">
        <v>5382</v>
      </c>
      <c r="C359" s="125" t="s">
        <v>5383</v>
      </c>
      <c r="D359" s="125"/>
      <c r="E359" s="125" t="s">
        <v>5384</v>
      </c>
      <c r="F359" s="125" t="s">
        <v>5384</v>
      </c>
      <c r="G359" s="125" t="s">
        <v>5384</v>
      </c>
      <c r="H359" s="125" t="s">
        <v>371</v>
      </c>
      <c r="I359" s="125" t="s">
        <v>371</v>
      </c>
    </row>
    <row r="360" spans="1:9" x14ac:dyDescent="0.25">
      <c r="A360" s="125" t="s">
        <v>5455</v>
      </c>
      <c r="B360" s="125" t="s">
        <v>5382</v>
      </c>
      <c r="C360" s="125" t="s">
        <v>5383</v>
      </c>
      <c r="D360" s="125"/>
      <c r="E360" s="125" t="s">
        <v>5384</v>
      </c>
      <c r="F360" s="125" t="s">
        <v>5384</v>
      </c>
      <c r="G360" s="125" t="s">
        <v>5384</v>
      </c>
      <c r="H360" s="125" t="s">
        <v>371</v>
      </c>
      <c r="I360" s="125" t="s">
        <v>371</v>
      </c>
    </row>
    <row r="361" spans="1:9" x14ac:dyDescent="0.25">
      <c r="A361" s="125" t="s">
        <v>5456</v>
      </c>
      <c r="B361" s="125" t="s">
        <v>5382</v>
      </c>
      <c r="C361" s="125" t="s">
        <v>5383</v>
      </c>
      <c r="D361" s="125"/>
      <c r="E361" s="125" t="s">
        <v>5384</v>
      </c>
      <c r="F361" s="125" t="s">
        <v>5384</v>
      </c>
      <c r="G361" s="125" t="s">
        <v>5384</v>
      </c>
      <c r="H361" s="125" t="s">
        <v>371</v>
      </c>
      <c r="I361" s="125" t="s">
        <v>371</v>
      </c>
    </row>
    <row r="362" spans="1:9" x14ac:dyDescent="0.25">
      <c r="A362" s="125" t="s">
        <v>5457</v>
      </c>
      <c r="B362" s="125" t="s">
        <v>5382</v>
      </c>
      <c r="C362" s="125" t="s">
        <v>5383</v>
      </c>
      <c r="D362" s="125"/>
      <c r="E362" s="125" t="s">
        <v>5384</v>
      </c>
      <c r="F362" s="125" t="s">
        <v>5384</v>
      </c>
      <c r="G362" s="125" t="s">
        <v>5384</v>
      </c>
      <c r="H362" s="125" t="s">
        <v>371</v>
      </c>
      <c r="I362" s="125" t="s">
        <v>371</v>
      </c>
    </row>
    <row r="363" spans="1:9" x14ac:dyDescent="0.25">
      <c r="A363" s="125" t="s">
        <v>5458</v>
      </c>
      <c r="B363" s="125" t="s">
        <v>5382</v>
      </c>
      <c r="C363" s="125" t="s">
        <v>5383</v>
      </c>
      <c r="D363" s="125"/>
      <c r="E363" s="125" t="s">
        <v>5384</v>
      </c>
      <c r="F363" s="125" t="s">
        <v>5384</v>
      </c>
      <c r="G363" s="125" t="s">
        <v>5384</v>
      </c>
      <c r="H363" s="125" t="s">
        <v>371</v>
      </c>
      <c r="I363" s="125" t="s">
        <v>371</v>
      </c>
    </row>
    <row r="364" spans="1:9" x14ac:dyDescent="0.25">
      <c r="A364" s="125" t="s">
        <v>5459</v>
      </c>
      <c r="B364" s="125" t="s">
        <v>5382</v>
      </c>
      <c r="C364" s="125" t="s">
        <v>5383</v>
      </c>
      <c r="D364" s="125"/>
      <c r="E364" s="125" t="s">
        <v>5384</v>
      </c>
      <c r="F364" s="125" t="s">
        <v>5384</v>
      </c>
      <c r="G364" s="125" t="s">
        <v>5384</v>
      </c>
      <c r="H364" s="125" t="s">
        <v>371</v>
      </c>
      <c r="I364" s="125" t="s">
        <v>371</v>
      </c>
    </row>
    <row r="365" spans="1:9" x14ac:dyDescent="0.25">
      <c r="A365" s="125" t="s">
        <v>3574</v>
      </c>
      <c r="B365" s="125" t="s">
        <v>5382</v>
      </c>
      <c r="C365" s="125" t="s">
        <v>5383</v>
      </c>
      <c r="D365" s="125"/>
      <c r="E365" s="125" t="s">
        <v>5384</v>
      </c>
      <c r="F365" s="125" t="s">
        <v>5384</v>
      </c>
      <c r="G365" s="125" t="s">
        <v>5384</v>
      </c>
      <c r="H365" s="125" t="s">
        <v>371</v>
      </c>
      <c r="I365" s="125" t="s">
        <v>371</v>
      </c>
    </row>
    <row r="366" spans="1:9" x14ac:dyDescent="0.25">
      <c r="A366" s="125" t="s">
        <v>5460</v>
      </c>
      <c r="B366" s="125" t="s">
        <v>5382</v>
      </c>
      <c r="C366" s="125" t="s">
        <v>5383</v>
      </c>
      <c r="D366" s="125"/>
      <c r="E366" s="125" t="s">
        <v>5384</v>
      </c>
      <c r="F366" s="125" t="s">
        <v>5384</v>
      </c>
      <c r="G366" s="125" t="s">
        <v>5384</v>
      </c>
      <c r="H366" s="125" t="s">
        <v>371</v>
      </c>
      <c r="I366" s="125" t="s">
        <v>371</v>
      </c>
    </row>
    <row r="367" spans="1:9" x14ac:dyDescent="0.25">
      <c r="A367" s="125" t="s">
        <v>5461</v>
      </c>
      <c r="B367" s="125" t="s">
        <v>5382</v>
      </c>
      <c r="C367" s="125" t="s">
        <v>5383</v>
      </c>
      <c r="D367" s="125"/>
      <c r="E367" s="125" t="s">
        <v>5384</v>
      </c>
      <c r="F367" s="125" t="s">
        <v>5384</v>
      </c>
      <c r="G367" s="125" t="s">
        <v>5384</v>
      </c>
      <c r="H367" s="125" t="s">
        <v>371</v>
      </c>
      <c r="I367" s="125" t="s">
        <v>371</v>
      </c>
    </row>
    <row r="368" spans="1:9" x14ac:dyDescent="0.25">
      <c r="A368" s="125" t="s">
        <v>5462</v>
      </c>
      <c r="B368" s="125" t="s">
        <v>5382</v>
      </c>
      <c r="C368" s="125" t="s">
        <v>5383</v>
      </c>
      <c r="D368" s="125"/>
      <c r="E368" s="125" t="s">
        <v>5384</v>
      </c>
      <c r="F368" s="125" t="s">
        <v>5384</v>
      </c>
      <c r="G368" s="125" t="s">
        <v>5384</v>
      </c>
      <c r="H368" s="125" t="s">
        <v>371</v>
      </c>
      <c r="I368" s="125" t="s">
        <v>371</v>
      </c>
    </row>
    <row r="369" spans="1:9" x14ac:dyDescent="0.25">
      <c r="A369" s="125" t="s">
        <v>2054</v>
      </c>
      <c r="B369" s="125" t="s">
        <v>5463</v>
      </c>
      <c r="C369" s="125">
        <v>709</v>
      </c>
      <c r="D369" s="125" t="s">
        <v>5464</v>
      </c>
      <c r="E369" s="125" t="s">
        <v>5465</v>
      </c>
      <c r="F369" s="125" t="s">
        <v>5466</v>
      </c>
      <c r="G369" s="125" t="s">
        <v>5270</v>
      </c>
      <c r="H369" s="125" t="s">
        <v>2053</v>
      </c>
      <c r="I369" s="125" t="s">
        <v>2672</v>
      </c>
    </row>
    <row r="370" spans="1:9" x14ac:dyDescent="0.25">
      <c r="A370" s="125" t="s">
        <v>2742</v>
      </c>
      <c r="B370" s="125" t="s">
        <v>5463</v>
      </c>
      <c r="C370" s="125">
        <v>709</v>
      </c>
      <c r="D370" s="125" t="s">
        <v>5464</v>
      </c>
      <c r="E370" s="125" t="s">
        <v>5465</v>
      </c>
      <c r="F370" s="125" t="s">
        <v>5466</v>
      </c>
      <c r="G370" s="125" t="s">
        <v>5270</v>
      </c>
      <c r="H370" s="125" t="s">
        <v>1102</v>
      </c>
      <c r="I370" s="125" t="s">
        <v>1102</v>
      </c>
    </row>
    <row r="371" spans="1:9" x14ac:dyDescent="0.25">
      <c r="A371" s="125" t="s">
        <v>1309</v>
      </c>
      <c r="B371" s="125" t="s">
        <v>5463</v>
      </c>
      <c r="C371" s="125">
        <v>709</v>
      </c>
      <c r="D371" s="125" t="s">
        <v>5464</v>
      </c>
      <c r="E371" s="125" t="s">
        <v>5465</v>
      </c>
      <c r="F371" s="125" t="s">
        <v>5466</v>
      </c>
      <c r="G371" s="125" t="s">
        <v>5270</v>
      </c>
      <c r="H371" s="125" t="s">
        <v>5467</v>
      </c>
      <c r="I371" s="125" t="s">
        <v>2672</v>
      </c>
    </row>
    <row r="372" spans="1:9" x14ac:dyDescent="0.25">
      <c r="A372" s="125" t="s">
        <v>1657</v>
      </c>
      <c r="B372" s="125" t="s">
        <v>5463</v>
      </c>
      <c r="C372" s="125">
        <v>709</v>
      </c>
      <c r="D372" s="125" t="s">
        <v>5464</v>
      </c>
      <c r="E372" s="125" t="s">
        <v>5465</v>
      </c>
      <c r="F372" s="125" t="s">
        <v>5466</v>
      </c>
      <c r="G372" s="125" t="s">
        <v>5270</v>
      </c>
      <c r="H372" s="125" t="s">
        <v>5468</v>
      </c>
      <c r="I372" s="125" t="s">
        <v>2672</v>
      </c>
    </row>
    <row r="373" spans="1:9" x14ac:dyDescent="0.25">
      <c r="A373" s="125" t="s">
        <v>2181</v>
      </c>
      <c r="B373" s="125" t="s">
        <v>5463</v>
      </c>
      <c r="C373" s="125">
        <v>709</v>
      </c>
      <c r="D373" s="125" t="s">
        <v>5464</v>
      </c>
      <c r="E373" s="125" t="s">
        <v>5465</v>
      </c>
      <c r="F373" s="125" t="s">
        <v>5466</v>
      </c>
      <c r="G373" s="125" t="s">
        <v>5270</v>
      </c>
      <c r="H373" s="125" t="s">
        <v>5468</v>
      </c>
      <c r="I373" s="125" t="s">
        <v>2672</v>
      </c>
    </row>
    <row r="374" spans="1:9" x14ac:dyDescent="0.25">
      <c r="A374" s="125" t="s">
        <v>3255</v>
      </c>
      <c r="B374" s="125" t="s">
        <v>5463</v>
      </c>
      <c r="C374" s="125">
        <v>709</v>
      </c>
      <c r="D374" s="125" t="s">
        <v>5464</v>
      </c>
      <c r="E374" s="125" t="s">
        <v>5465</v>
      </c>
      <c r="F374" s="125" t="s">
        <v>5466</v>
      </c>
      <c r="G374" s="125" t="s">
        <v>5270</v>
      </c>
      <c r="H374" s="125" t="s">
        <v>1102</v>
      </c>
      <c r="I374" s="125" t="s">
        <v>1102</v>
      </c>
    </row>
    <row r="375" spans="1:9" x14ac:dyDescent="0.25">
      <c r="A375" s="125" t="s">
        <v>2136</v>
      </c>
      <c r="B375" s="125" t="s">
        <v>5463</v>
      </c>
      <c r="C375" s="125">
        <v>709</v>
      </c>
      <c r="D375" s="125" t="s">
        <v>5464</v>
      </c>
      <c r="E375" s="125" t="s">
        <v>5465</v>
      </c>
      <c r="F375" s="125" t="s">
        <v>5466</v>
      </c>
      <c r="G375" s="125" t="s">
        <v>5270</v>
      </c>
      <c r="H375" s="125" t="s">
        <v>5468</v>
      </c>
      <c r="I375" s="125" t="s">
        <v>2672</v>
      </c>
    </row>
    <row r="376" spans="1:9" x14ac:dyDescent="0.25">
      <c r="A376" s="125" t="s">
        <v>2551</v>
      </c>
      <c r="B376" s="125" t="s">
        <v>5463</v>
      </c>
      <c r="C376" s="125">
        <v>709</v>
      </c>
      <c r="D376" s="125" t="s">
        <v>5464</v>
      </c>
      <c r="E376" s="125" t="s">
        <v>5465</v>
      </c>
      <c r="F376" s="125" t="s">
        <v>5466</v>
      </c>
      <c r="G376" s="125" t="s">
        <v>5270</v>
      </c>
      <c r="H376" s="125" t="s">
        <v>5467</v>
      </c>
      <c r="I376" s="125" t="s">
        <v>2672</v>
      </c>
    </row>
    <row r="377" spans="1:9" x14ac:dyDescent="0.25">
      <c r="A377" s="125" t="s">
        <v>2608</v>
      </c>
      <c r="B377" s="125" t="s">
        <v>5463</v>
      </c>
      <c r="C377" s="125">
        <v>709</v>
      </c>
      <c r="D377" s="125" t="s">
        <v>5464</v>
      </c>
      <c r="E377" s="125" t="s">
        <v>5465</v>
      </c>
      <c r="F377" s="125" t="s">
        <v>5466</v>
      </c>
      <c r="G377" s="125" t="s">
        <v>5270</v>
      </c>
      <c r="H377" s="125" t="s">
        <v>5467</v>
      </c>
      <c r="I377" s="125" t="s">
        <v>2672</v>
      </c>
    </row>
    <row r="378" spans="1:9" x14ac:dyDescent="0.25">
      <c r="A378" s="125" t="s">
        <v>3553</v>
      </c>
      <c r="B378" s="125" t="s">
        <v>5463</v>
      </c>
      <c r="C378" s="125">
        <v>709</v>
      </c>
      <c r="D378" s="125" t="s">
        <v>5464</v>
      </c>
      <c r="E378" s="125" t="s">
        <v>5465</v>
      </c>
      <c r="F378" s="125" t="s">
        <v>5466</v>
      </c>
      <c r="G378" s="125" t="s">
        <v>5270</v>
      </c>
      <c r="H378" s="125" t="s">
        <v>1102</v>
      </c>
      <c r="I378" s="125" t="s">
        <v>1102</v>
      </c>
    </row>
    <row r="379" spans="1:9" x14ac:dyDescent="0.25">
      <c r="A379" s="125" t="s">
        <v>3348</v>
      </c>
      <c r="B379" s="125" t="s">
        <v>5463</v>
      </c>
      <c r="C379" s="125">
        <v>709</v>
      </c>
      <c r="D379" s="125" t="s">
        <v>5464</v>
      </c>
      <c r="E379" s="125" t="s">
        <v>5465</v>
      </c>
      <c r="F379" s="125" t="s">
        <v>5466</v>
      </c>
      <c r="G379" s="125" t="s">
        <v>5270</v>
      </c>
      <c r="H379" s="125" t="s">
        <v>1102</v>
      </c>
      <c r="I379" s="125" t="s">
        <v>1102</v>
      </c>
    </row>
    <row r="380" spans="1:9" x14ac:dyDescent="0.25">
      <c r="A380" s="125" t="s">
        <v>2862</v>
      </c>
      <c r="B380" s="125" t="s">
        <v>5463</v>
      </c>
      <c r="C380" s="125">
        <v>709</v>
      </c>
      <c r="D380" s="125" t="s">
        <v>5464</v>
      </c>
      <c r="E380" s="125" t="s">
        <v>5465</v>
      </c>
      <c r="F380" s="125" t="s">
        <v>5466</v>
      </c>
      <c r="G380" s="125" t="s">
        <v>5270</v>
      </c>
      <c r="H380" s="125" t="s">
        <v>2053</v>
      </c>
      <c r="I380" s="125" t="s">
        <v>2672</v>
      </c>
    </row>
    <row r="381" spans="1:9" x14ac:dyDescent="0.25">
      <c r="A381" s="125" t="s">
        <v>5469</v>
      </c>
      <c r="B381" s="125" t="s">
        <v>5463</v>
      </c>
      <c r="C381" s="125">
        <v>709</v>
      </c>
      <c r="D381" s="125" t="s">
        <v>5464</v>
      </c>
      <c r="E381" s="125" t="s">
        <v>5465</v>
      </c>
      <c r="F381" s="125" t="s">
        <v>5466</v>
      </c>
      <c r="G381" s="125" t="s">
        <v>5270</v>
      </c>
      <c r="H381" s="125" t="s">
        <v>1102</v>
      </c>
      <c r="I381" s="125" t="s">
        <v>1102</v>
      </c>
    </row>
    <row r="382" spans="1:9" x14ac:dyDescent="0.25">
      <c r="A382" s="125" t="s">
        <v>2579</v>
      </c>
      <c r="B382" s="125" t="s">
        <v>5463</v>
      </c>
      <c r="C382" s="125">
        <v>709</v>
      </c>
      <c r="D382" s="125" t="s">
        <v>5464</v>
      </c>
      <c r="E382" s="125" t="s">
        <v>5465</v>
      </c>
      <c r="F382" s="125" t="s">
        <v>5466</v>
      </c>
      <c r="G382" s="125" t="s">
        <v>5270</v>
      </c>
      <c r="H382" s="125" t="s">
        <v>1102</v>
      </c>
      <c r="I382" s="125" t="s">
        <v>1102</v>
      </c>
    </row>
    <row r="383" spans="1:9" x14ac:dyDescent="0.25">
      <c r="A383" s="125" t="s">
        <v>3532</v>
      </c>
      <c r="B383" s="125" t="s">
        <v>5463</v>
      </c>
      <c r="C383" s="125">
        <v>709</v>
      </c>
      <c r="D383" s="125" t="s">
        <v>5464</v>
      </c>
      <c r="E383" s="125" t="s">
        <v>5465</v>
      </c>
      <c r="F383" s="125" t="s">
        <v>5466</v>
      </c>
      <c r="G383" s="125" t="s">
        <v>5270</v>
      </c>
      <c r="H383" s="125" t="s">
        <v>1102</v>
      </c>
      <c r="I383" s="125" t="s">
        <v>1102</v>
      </c>
    </row>
    <row r="384" spans="1:9" x14ac:dyDescent="0.25">
      <c r="A384" s="125" t="s">
        <v>5470</v>
      </c>
      <c r="B384" s="125" t="s">
        <v>5463</v>
      </c>
      <c r="C384" s="125">
        <v>709</v>
      </c>
      <c r="D384" s="125" t="s">
        <v>5464</v>
      </c>
      <c r="E384" s="125" t="s">
        <v>5465</v>
      </c>
      <c r="F384" s="125" t="s">
        <v>5466</v>
      </c>
      <c r="G384" s="125" t="s">
        <v>5270</v>
      </c>
      <c r="H384" s="125" t="s">
        <v>1102</v>
      </c>
      <c r="I384" s="125" t="s">
        <v>1102</v>
      </c>
    </row>
    <row r="385" spans="1:9" x14ac:dyDescent="0.25">
      <c r="A385" s="125" t="s">
        <v>5471</v>
      </c>
      <c r="B385" s="125" t="s">
        <v>5463</v>
      </c>
      <c r="C385" s="125">
        <v>709</v>
      </c>
      <c r="D385" s="125" t="s">
        <v>5464</v>
      </c>
      <c r="E385" s="125" t="s">
        <v>5465</v>
      </c>
      <c r="F385" s="125" t="s">
        <v>5466</v>
      </c>
      <c r="G385" s="125" t="s">
        <v>5270</v>
      </c>
      <c r="H385" s="125" t="s">
        <v>1102</v>
      </c>
      <c r="I385" s="125" t="s">
        <v>1102</v>
      </c>
    </row>
    <row r="386" spans="1:9" x14ac:dyDescent="0.25">
      <c r="A386" s="125" t="s">
        <v>3069</v>
      </c>
      <c r="B386" s="125" t="s">
        <v>5463</v>
      </c>
      <c r="C386" s="125">
        <v>709</v>
      </c>
      <c r="D386" s="125" t="s">
        <v>5464</v>
      </c>
      <c r="E386" s="125" t="s">
        <v>5465</v>
      </c>
      <c r="F386" s="125" t="s">
        <v>5466</v>
      </c>
      <c r="G386" s="125" t="s">
        <v>5270</v>
      </c>
      <c r="H386" s="125" t="s">
        <v>1102</v>
      </c>
      <c r="I386" s="125" t="s">
        <v>1102</v>
      </c>
    </row>
    <row r="387" spans="1:9" x14ac:dyDescent="0.25">
      <c r="A387" s="125" t="s">
        <v>5472</v>
      </c>
      <c r="B387" s="125" t="s">
        <v>5463</v>
      </c>
      <c r="C387" s="125">
        <v>709</v>
      </c>
      <c r="D387" s="125" t="s">
        <v>5464</v>
      </c>
      <c r="E387" s="125" t="s">
        <v>5465</v>
      </c>
      <c r="F387" s="125" t="s">
        <v>5466</v>
      </c>
      <c r="G387" s="125" t="s">
        <v>5270</v>
      </c>
      <c r="H387" s="125" t="s">
        <v>1102</v>
      </c>
      <c r="I387" s="125" t="s">
        <v>1102</v>
      </c>
    </row>
    <row r="388" spans="1:9" x14ac:dyDescent="0.25">
      <c r="A388" s="125" t="s">
        <v>2985</v>
      </c>
      <c r="B388" s="125" t="s">
        <v>5463</v>
      </c>
      <c r="C388" s="125">
        <v>709</v>
      </c>
      <c r="D388" s="125" t="s">
        <v>5464</v>
      </c>
      <c r="E388" s="125" t="s">
        <v>5465</v>
      </c>
      <c r="F388" s="125" t="s">
        <v>5466</v>
      </c>
      <c r="G388" s="125" t="s">
        <v>5270</v>
      </c>
      <c r="H388" s="125" t="s">
        <v>1102</v>
      </c>
      <c r="I388" s="125" t="s">
        <v>1102</v>
      </c>
    </row>
    <row r="389" spans="1:9" x14ac:dyDescent="0.25">
      <c r="A389" s="125" t="s">
        <v>1304</v>
      </c>
      <c r="B389" s="125" t="s">
        <v>5463</v>
      </c>
      <c r="C389" s="125">
        <v>709</v>
      </c>
      <c r="D389" s="125" t="s">
        <v>5464</v>
      </c>
      <c r="E389" s="125" t="s">
        <v>5465</v>
      </c>
      <c r="F389" s="125" t="s">
        <v>5466</v>
      </c>
      <c r="G389" s="125" t="s">
        <v>5270</v>
      </c>
      <c r="H389" s="125" t="s">
        <v>1102</v>
      </c>
      <c r="I389" s="125" t="s">
        <v>1102</v>
      </c>
    </row>
    <row r="390" spans="1:9" x14ac:dyDescent="0.25">
      <c r="A390" s="125" t="s">
        <v>2484</v>
      </c>
      <c r="B390" s="125" t="s">
        <v>5463</v>
      </c>
      <c r="C390" s="125">
        <v>709</v>
      </c>
      <c r="D390" s="125" t="s">
        <v>5464</v>
      </c>
      <c r="E390" s="125" t="s">
        <v>5465</v>
      </c>
      <c r="F390" s="125" t="s">
        <v>5466</v>
      </c>
      <c r="G390" s="125" t="s">
        <v>5270</v>
      </c>
      <c r="H390" s="125" t="s">
        <v>2053</v>
      </c>
      <c r="I390" s="125" t="s">
        <v>2672</v>
      </c>
    </row>
    <row r="391" spans="1:9" x14ac:dyDescent="0.25">
      <c r="A391" s="125" t="s">
        <v>2673</v>
      </c>
      <c r="B391" s="125" t="s">
        <v>5463</v>
      </c>
      <c r="C391" s="125">
        <v>709</v>
      </c>
      <c r="D391" s="125" t="s">
        <v>5464</v>
      </c>
      <c r="E391" s="125" t="s">
        <v>5465</v>
      </c>
      <c r="F391" s="125" t="s">
        <v>5466</v>
      </c>
      <c r="G391" s="125" t="s">
        <v>5270</v>
      </c>
      <c r="H391" s="125" t="s">
        <v>2053</v>
      </c>
      <c r="I391" s="125" t="s">
        <v>2672</v>
      </c>
    </row>
    <row r="392" spans="1:9" x14ac:dyDescent="0.25">
      <c r="A392" s="125" t="s">
        <v>2702</v>
      </c>
      <c r="B392" s="125" t="s">
        <v>5463</v>
      </c>
      <c r="C392" s="125">
        <v>709</v>
      </c>
      <c r="D392" s="125" t="s">
        <v>5464</v>
      </c>
      <c r="E392" s="125" t="s">
        <v>5465</v>
      </c>
      <c r="F392" s="125" t="s">
        <v>5466</v>
      </c>
      <c r="G392" s="125" t="s">
        <v>5270</v>
      </c>
      <c r="H392" s="125" t="s">
        <v>2053</v>
      </c>
      <c r="I392" s="125" t="s">
        <v>2672</v>
      </c>
    </row>
    <row r="393" spans="1:9" x14ac:dyDescent="0.25">
      <c r="A393" s="125" t="s">
        <v>5473</v>
      </c>
      <c r="B393" s="125" t="s">
        <v>5463</v>
      </c>
      <c r="C393" s="125">
        <v>709</v>
      </c>
      <c r="D393" s="125" t="s">
        <v>5464</v>
      </c>
      <c r="E393" s="125" t="s">
        <v>5465</v>
      </c>
      <c r="F393" s="125" t="s">
        <v>5466</v>
      </c>
      <c r="G393" s="125" t="s">
        <v>5270</v>
      </c>
      <c r="H393" s="125" t="s">
        <v>2053</v>
      </c>
      <c r="I393" s="125" t="s">
        <v>2672</v>
      </c>
    </row>
    <row r="394" spans="1:9" x14ac:dyDescent="0.25">
      <c r="A394" s="125" t="s">
        <v>3299</v>
      </c>
      <c r="B394" s="125" t="s">
        <v>5463</v>
      </c>
      <c r="C394" s="125">
        <v>709</v>
      </c>
      <c r="D394" s="125" t="s">
        <v>5464</v>
      </c>
      <c r="E394" s="125" t="s">
        <v>5465</v>
      </c>
      <c r="F394" s="125" t="s">
        <v>5466</v>
      </c>
      <c r="G394" s="125" t="s">
        <v>5270</v>
      </c>
      <c r="H394" s="125" t="s">
        <v>5468</v>
      </c>
      <c r="I394" s="125" t="s">
        <v>2672</v>
      </c>
    </row>
    <row r="395" spans="1:9" x14ac:dyDescent="0.25">
      <c r="A395" s="125" t="s">
        <v>2695</v>
      </c>
      <c r="B395" s="125" t="s">
        <v>5463</v>
      </c>
      <c r="C395" s="125">
        <v>709</v>
      </c>
      <c r="D395" s="125" t="s">
        <v>5464</v>
      </c>
      <c r="E395" s="125" t="s">
        <v>5465</v>
      </c>
      <c r="F395" s="125" t="s">
        <v>5466</v>
      </c>
      <c r="G395" s="125" t="s">
        <v>5270</v>
      </c>
      <c r="H395" s="125" t="s">
        <v>2053</v>
      </c>
      <c r="I395" s="125" t="s">
        <v>2672</v>
      </c>
    </row>
    <row r="396" spans="1:9" x14ac:dyDescent="0.25">
      <c r="A396" s="125" t="s">
        <v>2657</v>
      </c>
      <c r="B396" s="125" t="s">
        <v>5463</v>
      </c>
      <c r="C396" s="125">
        <v>709</v>
      </c>
      <c r="D396" s="125" t="s">
        <v>5464</v>
      </c>
      <c r="E396" s="125" t="s">
        <v>5465</v>
      </c>
      <c r="F396" s="125" t="s">
        <v>5466</v>
      </c>
      <c r="G396" s="125" t="s">
        <v>5270</v>
      </c>
      <c r="H396" s="125" t="s">
        <v>5467</v>
      </c>
      <c r="I396" s="125" t="s">
        <v>2672</v>
      </c>
    </row>
    <row r="397" spans="1:9" x14ac:dyDescent="0.25">
      <c r="A397" s="125" t="s">
        <v>1203</v>
      </c>
      <c r="B397" s="125" t="s">
        <v>5474</v>
      </c>
      <c r="C397" s="125">
        <v>221</v>
      </c>
      <c r="D397" s="125" t="s">
        <v>5475</v>
      </c>
      <c r="E397" s="125" t="s">
        <v>5476</v>
      </c>
      <c r="F397" s="140" t="s">
        <v>5477</v>
      </c>
      <c r="G397" s="125" t="s">
        <v>5297</v>
      </c>
      <c r="H397" s="125" t="s">
        <v>1202</v>
      </c>
      <c r="I397" s="125" t="s">
        <v>3700</v>
      </c>
    </row>
    <row r="398" spans="1:9" x14ac:dyDescent="0.25">
      <c r="A398" s="125" t="s">
        <v>2232</v>
      </c>
      <c r="B398" s="125" t="s">
        <v>5298</v>
      </c>
      <c r="C398" s="125">
        <v>216</v>
      </c>
      <c r="D398" s="125" t="s">
        <v>5478</v>
      </c>
      <c r="E398" s="125" t="s">
        <v>5295</v>
      </c>
      <c r="F398" s="125" t="s">
        <v>5296</v>
      </c>
      <c r="G398" s="125" t="s">
        <v>5297</v>
      </c>
      <c r="H398" s="125" t="s">
        <v>5479</v>
      </c>
      <c r="I398" s="125" t="s">
        <v>3183</v>
      </c>
    </row>
    <row r="399" spans="1:9" x14ac:dyDescent="0.25">
      <c r="A399" s="125" t="s">
        <v>2959</v>
      </c>
      <c r="B399" s="125" t="s">
        <v>5298</v>
      </c>
      <c r="C399" s="125">
        <v>216</v>
      </c>
      <c r="D399" s="125" t="s">
        <v>5478</v>
      </c>
      <c r="E399" s="125" t="s">
        <v>5295</v>
      </c>
      <c r="F399" s="125" t="s">
        <v>5296</v>
      </c>
      <c r="G399" s="125" t="s">
        <v>5297</v>
      </c>
      <c r="H399" s="125" t="s">
        <v>5479</v>
      </c>
      <c r="I399" s="125" t="s">
        <v>3183</v>
      </c>
    </row>
    <row r="400" spans="1:9" x14ac:dyDescent="0.25">
      <c r="A400" s="125" t="s">
        <v>2771</v>
      </c>
      <c r="B400" s="125" t="s">
        <v>5474</v>
      </c>
      <c r="C400" s="125">
        <v>221</v>
      </c>
      <c r="D400" s="125" t="s">
        <v>5475</v>
      </c>
      <c r="E400" s="125" t="s">
        <v>5476</v>
      </c>
      <c r="F400" s="140" t="s">
        <v>5477</v>
      </c>
      <c r="G400" s="125" t="s">
        <v>5297</v>
      </c>
      <c r="H400" s="125" t="s">
        <v>1202</v>
      </c>
      <c r="I400" s="125" t="s">
        <v>3700</v>
      </c>
    </row>
    <row r="401" spans="1:9" x14ac:dyDescent="0.25">
      <c r="A401" s="125" t="s">
        <v>2575</v>
      </c>
      <c r="B401" s="125" t="s">
        <v>5474</v>
      </c>
      <c r="C401" s="125">
        <v>221</v>
      </c>
      <c r="D401" s="125" t="s">
        <v>5475</v>
      </c>
      <c r="E401" s="125" t="s">
        <v>5476</v>
      </c>
      <c r="F401" s="140" t="s">
        <v>5477</v>
      </c>
      <c r="G401" s="125" t="s">
        <v>5297</v>
      </c>
      <c r="H401" s="125" t="s">
        <v>5480</v>
      </c>
      <c r="I401" s="125" t="s">
        <v>3700</v>
      </c>
    </row>
    <row r="402" spans="1:9" x14ac:dyDescent="0.25">
      <c r="A402" s="125" t="s">
        <v>1211</v>
      </c>
      <c r="B402" s="125" t="s">
        <v>5474</v>
      </c>
      <c r="C402" s="125">
        <v>221</v>
      </c>
      <c r="D402" s="125" t="s">
        <v>5475</v>
      </c>
      <c r="E402" s="125" t="s">
        <v>5476</v>
      </c>
      <c r="F402" s="140" t="s">
        <v>5477</v>
      </c>
      <c r="G402" s="125" t="s">
        <v>5297</v>
      </c>
      <c r="H402" s="125" t="s">
        <v>5480</v>
      </c>
      <c r="I402" s="125" t="s">
        <v>3700</v>
      </c>
    </row>
    <row r="403" spans="1:9" x14ac:dyDescent="0.25">
      <c r="A403" s="125" t="s">
        <v>2426</v>
      </c>
      <c r="B403" s="125" t="s">
        <v>5474</v>
      </c>
      <c r="C403" s="125">
        <v>221</v>
      </c>
      <c r="D403" s="125" t="s">
        <v>5475</v>
      </c>
      <c r="E403" s="125" t="s">
        <v>5476</v>
      </c>
      <c r="F403" s="140" t="s">
        <v>5477</v>
      </c>
      <c r="G403" s="125" t="s">
        <v>5297</v>
      </c>
      <c r="H403" s="125" t="s">
        <v>5480</v>
      </c>
      <c r="I403" s="125" t="s">
        <v>3700</v>
      </c>
    </row>
    <row r="404" spans="1:9" x14ac:dyDescent="0.25">
      <c r="A404" s="125" t="s">
        <v>2035</v>
      </c>
      <c r="B404" s="125" t="s">
        <v>5474</v>
      </c>
      <c r="C404" s="125">
        <v>221</v>
      </c>
      <c r="D404" s="125" t="s">
        <v>5475</v>
      </c>
      <c r="E404" s="125" t="s">
        <v>5476</v>
      </c>
      <c r="F404" s="140" t="s">
        <v>5477</v>
      </c>
      <c r="G404" s="125" t="s">
        <v>5297</v>
      </c>
      <c r="H404" s="125" t="s">
        <v>5480</v>
      </c>
      <c r="I404" s="125" t="s">
        <v>3700</v>
      </c>
    </row>
    <row r="405" spans="1:9" x14ac:dyDescent="0.25">
      <c r="A405" s="125" t="s">
        <v>2404</v>
      </c>
      <c r="B405" s="125" t="s">
        <v>5474</v>
      </c>
      <c r="C405" s="125">
        <v>221</v>
      </c>
      <c r="D405" s="125" t="s">
        <v>5475</v>
      </c>
      <c r="E405" s="125" t="s">
        <v>5476</v>
      </c>
      <c r="F405" s="140" t="s">
        <v>5477</v>
      </c>
      <c r="G405" s="125" t="s">
        <v>5297</v>
      </c>
      <c r="H405" s="125" t="s">
        <v>5481</v>
      </c>
      <c r="I405" s="125" t="s">
        <v>3700</v>
      </c>
    </row>
    <row r="406" spans="1:9" x14ac:dyDescent="0.25">
      <c r="A406" s="125" t="s">
        <v>2187</v>
      </c>
      <c r="B406" s="125" t="s">
        <v>5474</v>
      </c>
      <c r="C406" s="125">
        <v>221</v>
      </c>
      <c r="D406" s="125" t="s">
        <v>5475</v>
      </c>
      <c r="E406" s="125" t="s">
        <v>5476</v>
      </c>
      <c r="F406" s="140" t="s">
        <v>5477</v>
      </c>
      <c r="G406" s="125" t="s">
        <v>5297</v>
      </c>
      <c r="H406" s="125" t="s">
        <v>1202</v>
      </c>
      <c r="I406" s="125" t="s">
        <v>3700</v>
      </c>
    </row>
    <row r="407" spans="1:9" x14ac:dyDescent="0.25">
      <c r="A407" s="125" t="s">
        <v>1518</v>
      </c>
      <c r="B407" s="125" t="s">
        <v>5474</v>
      </c>
      <c r="C407" s="125">
        <v>221</v>
      </c>
      <c r="D407" s="125" t="s">
        <v>5475</v>
      </c>
      <c r="E407" s="125" t="s">
        <v>5476</v>
      </c>
      <c r="F407" s="140" t="s">
        <v>5477</v>
      </c>
      <c r="G407" s="125" t="s">
        <v>5297</v>
      </c>
      <c r="H407" s="125" t="s">
        <v>1202</v>
      </c>
      <c r="I407" s="125" t="s">
        <v>3700</v>
      </c>
    </row>
    <row r="408" spans="1:9" x14ac:dyDescent="0.25">
      <c r="A408" s="125" t="s">
        <v>2572</v>
      </c>
      <c r="B408" s="125" t="s">
        <v>5474</v>
      </c>
      <c r="C408" s="125">
        <v>221</v>
      </c>
      <c r="D408" s="125" t="s">
        <v>5475</v>
      </c>
      <c r="E408" s="125" t="s">
        <v>5476</v>
      </c>
      <c r="F408" s="140" t="s">
        <v>5477</v>
      </c>
      <c r="G408" s="125" t="s">
        <v>5297</v>
      </c>
      <c r="H408" s="125" t="s">
        <v>5480</v>
      </c>
      <c r="I408" s="125" t="s">
        <v>3700</v>
      </c>
    </row>
    <row r="409" spans="1:9" x14ac:dyDescent="0.25">
      <c r="A409" s="125" t="s">
        <v>2120</v>
      </c>
      <c r="B409" s="125" t="s">
        <v>5474</v>
      </c>
      <c r="C409" s="125">
        <v>221</v>
      </c>
      <c r="D409" s="125" t="s">
        <v>5475</v>
      </c>
      <c r="E409" s="125" t="s">
        <v>5476</v>
      </c>
      <c r="F409" s="140" t="s">
        <v>5477</v>
      </c>
      <c r="G409" s="125" t="s">
        <v>5297</v>
      </c>
      <c r="H409" s="125" t="s">
        <v>5481</v>
      </c>
      <c r="I409" s="125" t="s">
        <v>3700</v>
      </c>
    </row>
    <row r="410" spans="1:9" x14ac:dyDescent="0.25">
      <c r="A410" s="125" t="s">
        <v>2033</v>
      </c>
      <c r="B410" s="125" t="s">
        <v>5474</v>
      </c>
      <c r="C410" s="125">
        <v>221</v>
      </c>
      <c r="D410" s="125" t="s">
        <v>5475</v>
      </c>
      <c r="E410" s="125" t="s">
        <v>5476</v>
      </c>
      <c r="F410" s="140" t="s">
        <v>5477</v>
      </c>
      <c r="G410" s="125" t="s">
        <v>5297</v>
      </c>
      <c r="H410" s="125" t="s">
        <v>5481</v>
      </c>
      <c r="I410" s="125" t="s">
        <v>3700</v>
      </c>
    </row>
    <row r="411" spans="1:9" x14ac:dyDescent="0.25">
      <c r="A411" s="125" t="s">
        <v>2648</v>
      </c>
      <c r="B411" s="125" t="s">
        <v>5474</v>
      </c>
      <c r="C411" s="125">
        <v>221</v>
      </c>
      <c r="D411" s="125" t="s">
        <v>5475</v>
      </c>
      <c r="E411" s="125" t="s">
        <v>5476</v>
      </c>
      <c r="F411" s="140" t="s">
        <v>5477</v>
      </c>
      <c r="G411" s="125" t="s">
        <v>5297</v>
      </c>
      <c r="H411" s="125" t="s">
        <v>5482</v>
      </c>
      <c r="I411" s="125" t="s">
        <v>45</v>
      </c>
    </row>
    <row r="412" spans="1:9" x14ac:dyDescent="0.25">
      <c r="A412" s="125" t="s">
        <v>2503</v>
      </c>
      <c r="B412" s="125" t="s">
        <v>5474</v>
      </c>
      <c r="C412" s="125">
        <v>221</v>
      </c>
      <c r="D412" s="125" t="s">
        <v>5475</v>
      </c>
      <c r="E412" s="125" t="s">
        <v>5476</v>
      </c>
      <c r="F412" s="140" t="s">
        <v>5477</v>
      </c>
      <c r="G412" s="125" t="s">
        <v>5297</v>
      </c>
      <c r="H412" s="125" t="s">
        <v>5483</v>
      </c>
      <c r="I412" s="125" t="s">
        <v>45</v>
      </c>
    </row>
    <row r="413" spans="1:9" x14ac:dyDescent="0.25">
      <c r="A413" s="125" t="s">
        <v>2912</v>
      </c>
      <c r="B413" s="125" t="s">
        <v>5327</v>
      </c>
      <c r="C413" s="125">
        <v>227</v>
      </c>
      <c r="D413" s="125" t="s">
        <v>5328</v>
      </c>
      <c r="E413" s="125" t="s">
        <v>5303</v>
      </c>
      <c r="F413" s="125" t="s">
        <v>5304</v>
      </c>
      <c r="G413" s="125" t="s">
        <v>5297</v>
      </c>
      <c r="H413" s="125" t="s">
        <v>1053</v>
      </c>
      <c r="I413" s="125" t="s">
        <v>5484</v>
      </c>
    </row>
    <row r="414" spans="1:9" x14ac:dyDescent="0.25">
      <c r="A414" s="125" t="s">
        <v>1696</v>
      </c>
      <c r="B414" s="125" t="s">
        <v>5327</v>
      </c>
      <c r="C414" s="125">
        <v>227</v>
      </c>
      <c r="D414" s="125" t="s">
        <v>5328</v>
      </c>
      <c r="E414" s="125" t="s">
        <v>5303</v>
      </c>
      <c r="F414" s="125" t="s">
        <v>5304</v>
      </c>
      <c r="G414" s="125" t="s">
        <v>5297</v>
      </c>
      <c r="H414" s="125" t="s">
        <v>1053</v>
      </c>
      <c r="I414" s="125" t="s">
        <v>5484</v>
      </c>
    </row>
    <row r="415" spans="1:9" x14ac:dyDescent="0.25">
      <c r="A415" s="125" t="s">
        <v>1411</v>
      </c>
      <c r="B415" s="125" t="s">
        <v>5327</v>
      </c>
      <c r="C415" s="125">
        <v>227</v>
      </c>
      <c r="D415" s="125" t="s">
        <v>5328</v>
      </c>
      <c r="E415" s="125" t="s">
        <v>5303</v>
      </c>
      <c r="F415" s="125" t="s">
        <v>5304</v>
      </c>
      <c r="G415" s="125" t="s">
        <v>5297</v>
      </c>
      <c r="H415" s="125" t="s">
        <v>1053</v>
      </c>
      <c r="I415" s="125" t="s">
        <v>5484</v>
      </c>
    </row>
    <row r="416" spans="1:9" x14ac:dyDescent="0.25">
      <c r="A416" s="125" t="s">
        <v>2913</v>
      </c>
      <c r="B416" s="125" t="s">
        <v>5327</v>
      </c>
      <c r="C416" s="125">
        <v>227</v>
      </c>
      <c r="D416" s="125" t="s">
        <v>5328</v>
      </c>
      <c r="E416" s="125" t="s">
        <v>5303</v>
      </c>
      <c r="F416" s="125" t="s">
        <v>5304</v>
      </c>
      <c r="G416" s="125" t="s">
        <v>5297</v>
      </c>
      <c r="H416" s="125" t="s">
        <v>1092</v>
      </c>
      <c r="I416" s="125" t="s">
        <v>1092</v>
      </c>
    </row>
    <row r="417" spans="1:9" x14ac:dyDescent="0.25">
      <c r="A417" s="125" t="s">
        <v>5485</v>
      </c>
      <c r="B417" s="125" t="s">
        <v>5327</v>
      </c>
      <c r="C417" s="125">
        <v>227</v>
      </c>
      <c r="D417" s="125" t="s">
        <v>5328</v>
      </c>
      <c r="E417" s="125" t="s">
        <v>5303</v>
      </c>
      <c r="F417" s="125" t="s">
        <v>5304</v>
      </c>
      <c r="G417" s="125" t="s">
        <v>5297</v>
      </c>
      <c r="H417" s="125" t="s">
        <v>1092</v>
      </c>
      <c r="I417" s="125" t="s">
        <v>1092</v>
      </c>
    </row>
    <row r="418" spans="1:9" x14ac:dyDescent="0.25">
      <c r="A418" s="125" t="s">
        <v>3229</v>
      </c>
      <c r="B418" s="125" t="s">
        <v>5327</v>
      </c>
      <c r="C418" s="125">
        <v>227</v>
      </c>
      <c r="D418" s="125" t="s">
        <v>5328</v>
      </c>
      <c r="E418" s="125" t="s">
        <v>5303</v>
      </c>
      <c r="F418" s="125" t="s">
        <v>5304</v>
      </c>
      <c r="G418" s="125" t="s">
        <v>5297</v>
      </c>
      <c r="H418" s="125" t="s">
        <v>1053</v>
      </c>
      <c r="I418" s="125" t="s">
        <v>5484</v>
      </c>
    </row>
    <row r="419" spans="1:9" x14ac:dyDescent="0.25">
      <c r="A419" s="125" t="s">
        <v>2149</v>
      </c>
      <c r="B419" s="125" t="s">
        <v>5327</v>
      </c>
      <c r="C419" s="125">
        <v>227</v>
      </c>
      <c r="D419" s="125" t="s">
        <v>5328</v>
      </c>
      <c r="E419" s="125" t="s">
        <v>5303</v>
      </c>
      <c r="F419" s="125" t="s">
        <v>5304</v>
      </c>
      <c r="G419" s="125" t="s">
        <v>5297</v>
      </c>
      <c r="H419" s="125" t="s">
        <v>1053</v>
      </c>
      <c r="I419" s="125" t="s">
        <v>5484</v>
      </c>
    </row>
    <row r="420" spans="1:9" x14ac:dyDescent="0.25">
      <c r="A420" s="125" t="s">
        <v>1606</v>
      </c>
      <c r="B420" s="125" t="s">
        <v>5327</v>
      </c>
      <c r="C420" s="125">
        <v>227</v>
      </c>
      <c r="D420" s="125" t="s">
        <v>5328</v>
      </c>
      <c r="E420" s="125" t="s">
        <v>5303</v>
      </c>
      <c r="F420" s="125" t="s">
        <v>5304</v>
      </c>
      <c r="G420" s="125" t="s">
        <v>5297</v>
      </c>
      <c r="H420" s="125" t="s">
        <v>1092</v>
      </c>
      <c r="I420" s="125" t="s">
        <v>1092</v>
      </c>
    </row>
    <row r="421" spans="1:9" x14ac:dyDescent="0.25">
      <c r="A421" s="125" t="s">
        <v>2433</v>
      </c>
      <c r="B421" s="125" t="s">
        <v>5327</v>
      </c>
      <c r="C421" s="125">
        <v>227</v>
      </c>
      <c r="D421" s="125" t="s">
        <v>5328</v>
      </c>
      <c r="E421" s="125" t="s">
        <v>5303</v>
      </c>
      <c r="F421" s="125" t="s">
        <v>5304</v>
      </c>
      <c r="G421" s="125" t="s">
        <v>5297</v>
      </c>
      <c r="H421" s="125" t="s">
        <v>1092</v>
      </c>
      <c r="I421" s="125" t="s">
        <v>1092</v>
      </c>
    </row>
    <row r="422" spans="1:9" x14ac:dyDescent="0.25">
      <c r="A422" s="125" t="s">
        <v>3449</v>
      </c>
      <c r="B422" s="125" t="s">
        <v>5327</v>
      </c>
      <c r="C422" s="125">
        <v>227</v>
      </c>
      <c r="D422" s="125" t="s">
        <v>5328</v>
      </c>
      <c r="E422" s="125" t="s">
        <v>5303</v>
      </c>
      <c r="F422" s="125" t="s">
        <v>5304</v>
      </c>
      <c r="G422" s="125" t="s">
        <v>5297</v>
      </c>
      <c r="H422" s="125" t="s">
        <v>1092</v>
      </c>
      <c r="I422" s="125" t="s">
        <v>1092</v>
      </c>
    </row>
    <row r="423" spans="1:9" x14ac:dyDescent="0.25">
      <c r="A423" s="125" t="s">
        <v>3391</v>
      </c>
      <c r="B423" s="125" t="s">
        <v>5327</v>
      </c>
      <c r="C423" s="125">
        <v>227</v>
      </c>
      <c r="D423" s="125" t="s">
        <v>5328</v>
      </c>
      <c r="E423" s="125" t="s">
        <v>5303</v>
      </c>
      <c r="F423" s="125" t="s">
        <v>5304</v>
      </c>
      <c r="G423" s="125" t="s">
        <v>5297</v>
      </c>
      <c r="H423" s="125" t="s">
        <v>1092</v>
      </c>
      <c r="I423" s="125" t="s">
        <v>1092</v>
      </c>
    </row>
    <row r="424" spans="1:9" x14ac:dyDescent="0.25">
      <c r="A424" s="125" t="s">
        <v>1884</v>
      </c>
      <c r="B424" s="125" t="s">
        <v>5327</v>
      </c>
      <c r="C424" s="125">
        <v>227</v>
      </c>
      <c r="D424" s="125" t="s">
        <v>5328</v>
      </c>
      <c r="E424" s="125" t="s">
        <v>5303</v>
      </c>
      <c r="F424" s="125" t="s">
        <v>5304</v>
      </c>
      <c r="G424" s="125" t="s">
        <v>5297</v>
      </c>
      <c r="H424" s="125" t="s">
        <v>1092</v>
      </c>
      <c r="I424" s="125" t="s">
        <v>1092</v>
      </c>
    </row>
    <row r="425" spans="1:9" x14ac:dyDescent="0.25">
      <c r="A425" s="125" t="s">
        <v>1745</v>
      </c>
      <c r="B425" s="125" t="s">
        <v>5327</v>
      </c>
      <c r="C425" s="125">
        <v>227</v>
      </c>
      <c r="D425" s="125" t="s">
        <v>5328</v>
      </c>
      <c r="E425" s="125" t="s">
        <v>5303</v>
      </c>
      <c r="F425" s="125" t="s">
        <v>5304</v>
      </c>
      <c r="G425" s="125" t="s">
        <v>5297</v>
      </c>
      <c r="H425" s="125" t="s">
        <v>1092</v>
      </c>
      <c r="I425" s="125" t="s">
        <v>1092</v>
      </c>
    </row>
    <row r="426" spans="1:9" x14ac:dyDescent="0.25">
      <c r="A426" s="125" t="s">
        <v>2750</v>
      </c>
      <c r="B426" s="125" t="s">
        <v>5327</v>
      </c>
      <c r="C426" s="125">
        <v>227</v>
      </c>
      <c r="D426" s="125" t="s">
        <v>5328</v>
      </c>
      <c r="E426" s="125" t="s">
        <v>5303</v>
      </c>
      <c r="F426" s="125" t="s">
        <v>5304</v>
      </c>
      <c r="G426" s="125" t="s">
        <v>5297</v>
      </c>
      <c r="H426" s="125" t="s">
        <v>1092</v>
      </c>
      <c r="I426" s="125" t="s">
        <v>1092</v>
      </c>
    </row>
    <row r="427" spans="1:9" x14ac:dyDescent="0.25">
      <c r="A427" s="125" t="s">
        <v>1886</v>
      </c>
      <c r="B427" s="125" t="s">
        <v>5327</v>
      </c>
      <c r="C427" s="125">
        <v>227</v>
      </c>
      <c r="D427" s="125" t="s">
        <v>5328</v>
      </c>
      <c r="E427" s="125" t="s">
        <v>5303</v>
      </c>
      <c r="F427" s="125" t="s">
        <v>5304</v>
      </c>
      <c r="G427" s="125" t="s">
        <v>5297</v>
      </c>
      <c r="H427" s="125" t="s">
        <v>1092</v>
      </c>
      <c r="I427" s="125" t="s">
        <v>1092</v>
      </c>
    </row>
    <row r="428" spans="1:9" x14ac:dyDescent="0.25">
      <c r="A428" s="125" t="s">
        <v>5486</v>
      </c>
      <c r="B428" s="125" t="s">
        <v>5327</v>
      </c>
      <c r="C428" s="125">
        <v>227</v>
      </c>
      <c r="D428" s="125" t="s">
        <v>5328</v>
      </c>
      <c r="E428" s="125" t="s">
        <v>5303</v>
      </c>
      <c r="F428" s="125" t="s">
        <v>5304</v>
      </c>
      <c r="G428" s="125" t="s">
        <v>5297</v>
      </c>
      <c r="H428" s="125" t="s">
        <v>1092</v>
      </c>
      <c r="I428" s="125" t="s">
        <v>1092</v>
      </c>
    </row>
    <row r="429" spans="1:9" x14ac:dyDescent="0.25">
      <c r="A429" s="125" t="s">
        <v>2132</v>
      </c>
      <c r="B429" s="125" t="s">
        <v>5327</v>
      </c>
      <c r="C429" s="125">
        <v>227</v>
      </c>
      <c r="D429" s="125" t="s">
        <v>5328</v>
      </c>
      <c r="E429" s="125" t="s">
        <v>5303</v>
      </c>
      <c r="F429" s="125" t="s">
        <v>5304</v>
      </c>
      <c r="G429" s="125" t="s">
        <v>5297</v>
      </c>
      <c r="H429" s="125" t="s">
        <v>1092</v>
      </c>
      <c r="I429" s="125" t="s">
        <v>1092</v>
      </c>
    </row>
    <row r="430" spans="1:9" x14ac:dyDescent="0.25">
      <c r="A430" s="125" t="s">
        <v>3327</v>
      </c>
      <c r="B430" s="125" t="s">
        <v>5327</v>
      </c>
      <c r="C430" s="125">
        <v>227</v>
      </c>
      <c r="D430" s="125" t="s">
        <v>5328</v>
      </c>
      <c r="E430" s="125" t="s">
        <v>5303</v>
      </c>
      <c r="F430" s="125" t="s">
        <v>5304</v>
      </c>
      <c r="G430" s="125" t="s">
        <v>5297</v>
      </c>
      <c r="H430" s="125" t="s">
        <v>1092</v>
      </c>
      <c r="I430" s="125" t="s">
        <v>1092</v>
      </c>
    </row>
    <row r="431" spans="1:9" x14ac:dyDescent="0.25">
      <c r="A431" s="125" t="s">
        <v>3087</v>
      </c>
      <c r="B431" s="125" t="s">
        <v>5327</v>
      </c>
      <c r="C431" s="125">
        <v>227</v>
      </c>
      <c r="D431" s="125" t="s">
        <v>5328</v>
      </c>
      <c r="E431" s="125" t="s">
        <v>5303</v>
      </c>
      <c r="F431" s="125" t="s">
        <v>5304</v>
      </c>
      <c r="G431" s="125" t="s">
        <v>5297</v>
      </c>
      <c r="H431" s="125" t="s">
        <v>1092</v>
      </c>
      <c r="I431" s="125" t="s">
        <v>1092</v>
      </c>
    </row>
    <row r="432" spans="1:9" x14ac:dyDescent="0.25">
      <c r="A432" s="125" t="s">
        <v>5487</v>
      </c>
      <c r="B432" s="125" t="s">
        <v>5327</v>
      </c>
      <c r="C432" s="125">
        <v>227</v>
      </c>
      <c r="D432" s="125" t="s">
        <v>5328</v>
      </c>
      <c r="E432" s="125" t="s">
        <v>5303</v>
      </c>
      <c r="F432" s="125" t="s">
        <v>5304</v>
      </c>
      <c r="G432" s="125" t="s">
        <v>5297</v>
      </c>
      <c r="H432" s="125" t="s">
        <v>1092</v>
      </c>
      <c r="I432" s="125" t="s">
        <v>1092</v>
      </c>
    </row>
    <row r="433" spans="1:9" x14ac:dyDescent="0.25">
      <c r="A433" s="125" t="s">
        <v>3216</v>
      </c>
      <c r="B433" s="125" t="s">
        <v>5327</v>
      </c>
      <c r="C433" s="125">
        <v>227</v>
      </c>
      <c r="D433" s="125" t="s">
        <v>5328</v>
      </c>
      <c r="E433" s="125" t="s">
        <v>5303</v>
      </c>
      <c r="F433" s="125" t="s">
        <v>5304</v>
      </c>
      <c r="G433" s="125" t="s">
        <v>5297</v>
      </c>
      <c r="H433" s="125" t="s">
        <v>1092</v>
      </c>
      <c r="I433" s="125" t="s">
        <v>1092</v>
      </c>
    </row>
    <row r="434" spans="1:9" x14ac:dyDescent="0.25">
      <c r="A434" s="125" t="s">
        <v>5488</v>
      </c>
      <c r="B434" s="125" t="s">
        <v>5327</v>
      </c>
      <c r="C434" s="125">
        <v>227</v>
      </c>
      <c r="D434" s="125" t="s">
        <v>5328</v>
      </c>
      <c r="E434" s="125" t="s">
        <v>5303</v>
      </c>
      <c r="F434" s="125" t="s">
        <v>5304</v>
      </c>
      <c r="G434" s="125" t="s">
        <v>5297</v>
      </c>
      <c r="H434" s="125" t="s">
        <v>1092</v>
      </c>
      <c r="I434" s="125" t="s">
        <v>1092</v>
      </c>
    </row>
    <row r="435" spans="1:9" x14ac:dyDescent="0.25">
      <c r="A435" s="125" t="s">
        <v>1550</v>
      </c>
      <c r="B435" s="125" t="s">
        <v>5327</v>
      </c>
      <c r="C435" s="125">
        <v>227</v>
      </c>
      <c r="D435" s="125" t="s">
        <v>5328</v>
      </c>
      <c r="E435" s="125" t="s">
        <v>5303</v>
      </c>
      <c r="F435" s="125" t="s">
        <v>5304</v>
      </c>
      <c r="G435" s="125" t="s">
        <v>5297</v>
      </c>
      <c r="H435" s="125" t="s">
        <v>1092</v>
      </c>
      <c r="I435" s="125" t="s">
        <v>1092</v>
      </c>
    </row>
    <row r="436" spans="1:9" x14ac:dyDescent="0.25">
      <c r="A436" s="125" t="s">
        <v>3517</v>
      </c>
      <c r="B436" s="125" t="s">
        <v>5327</v>
      </c>
      <c r="C436" s="125">
        <v>227</v>
      </c>
      <c r="D436" s="125" t="s">
        <v>5328</v>
      </c>
      <c r="E436" s="125" t="s">
        <v>5303</v>
      </c>
      <c r="F436" s="125" t="s">
        <v>5304</v>
      </c>
      <c r="G436" s="125" t="s">
        <v>5297</v>
      </c>
      <c r="H436" s="125" t="s">
        <v>1092</v>
      </c>
      <c r="I436" s="125" t="s">
        <v>1092</v>
      </c>
    </row>
    <row r="437" spans="1:9" x14ac:dyDescent="0.25">
      <c r="A437" s="125" t="s">
        <v>5489</v>
      </c>
      <c r="B437" s="125" t="s">
        <v>5327</v>
      </c>
      <c r="C437" s="125">
        <v>227</v>
      </c>
      <c r="D437" s="125" t="s">
        <v>5328</v>
      </c>
      <c r="E437" s="125" t="s">
        <v>5303</v>
      </c>
      <c r="F437" s="125" t="s">
        <v>5304</v>
      </c>
      <c r="G437" s="125" t="s">
        <v>5297</v>
      </c>
      <c r="H437" s="125" t="s">
        <v>1092</v>
      </c>
      <c r="I437" s="125" t="s">
        <v>1092</v>
      </c>
    </row>
    <row r="438" spans="1:9" x14ac:dyDescent="0.25">
      <c r="A438" s="125" t="s">
        <v>1622</v>
      </c>
      <c r="B438" s="125" t="s">
        <v>5327</v>
      </c>
      <c r="C438" s="125">
        <v>227</v>
      </c>
      <c r="D438" s="125" t="s">
        <v>5328</v>
      </c>
      <c r="E438" s="125" t="s">
        <v>5303</v>
      </c>
      <c r="F438" s="125" t="s">
        <v>5304</v>
      </c>
      <c r="G438" s="125" t="s">
        <v>5297</v>
      </c>
      <c r="H438" s="125" t="s">
        <v>1053</v>
      </c>
      <c r="I438" s="125" t="s">
        <v>5484</v>
      </c>
    </row>
    <row r="439" spans="1:9" x14ac:dyDescent="0.25">
      <c r="A439" s="125" t="s">
        <v>5490</v>
      </c>
      <c r="B439" s="125" t="s">
        <v>5327</v>
      </c>
      <c r="C439" s="125">
        <v>227</v>
      </c>
      <c r="D439" s="125" t="s">
        <v>5328</v>
      </c>
      <c r="E439" s="125" t="s">
        <v>5303</v>
      </c>
      <c r="F439" s="125" t="s">
        <v>5304</v>
      </c>
      <c r="G439" s="125" t="s">
        <v>5297</v>
      </c>
      <c r="H439" s="125" t="s">
        <v>1092</v>
      </c>
      <c r="I439" s="125" t="s">
        <v>1092</v>
      </c>
    </row>
    <row r="440" spans="1:9" x14ac:dyDescent="0.25">
      <c r="A440" s="125" t="s">
        <v>2562</v>
      </c>
      <c r="B440" s="125" t="s">
        <v>5327</v>
      </c>
      <c r="C440" s="125">
        <v>227</v>
      </c>
      <c r="D440" s="125" t="s">
        <v>5328</v>
      </c>
      <c r="E440" s="125" t="s">
        <v>5303</v>
      </c>
      <c r="F440" s="125" t="s">
        <v>5304</v>
      </c>
      <c r="G440" s="125" t="s">
        <v>5297</v>
      </c>
      <c r="H440" s="125" t="s">
        <v>1092</v>
      </c>
      <c r="I440" s="125" t="s">
        <v>1092</v>
      </c>
    </row>
    <row r="441" spans="1:9" x14ac:dyDescent="0.25">
      <c r="A441" s="125" t="s">
        <v>3176</v>
      </c>
      <c r="B441" s="125" t="s">
        <v>5327</v>
      </c>
      <c r="C441" s="125">
        <v>227</v>
      </c>
      <c r="D441" s="125" t="s">
        <v>5328</v>
      </c>
      <c r="E441" s="125" t="s">
        <v>5303</v>
      </c>
      <c r="F441" s="125" t="s">
        <v>5304</v>
      </c>
      <c r="G441" s="125" t="s">
        <v>5297</v>
      </c>
      <c r="H441" s="125" t="s">
        <v>5491</v>
      </c>
      <c r="I441" s="125" t="s">
        <v>5491</v>
      </c>
    </row>
    <row r="442" spans="1:9" x14ac:dyDescent="0.25">
      <c r="A442" s="125" t="s">
        <v>3566</v>
      </c>
      <c r="B442" s="125" t="s">
        <v>5327</v>
      </c>
      <c r="C442" s="125">
        <v>227</v>
      </c>
      <c r="D442" s="125" t="s">
        <v>5328</v>
      </c>
      <c r="E442" s="125" t="s">
        <v>5303</v>
      </c>
      <c r="F442" s="125" t="s">
        <v>5304</v>
      </c>
      <c r="G442" s="125" t="s">
        <v>5297</v>
      </c>
      <c r="H442" s="125" t="s">
        <v>1092</v>
      </c>
      <c r="I442" s="125" t="s">
        <v>1092</v>
      </c>
    </row>
    <row r="443" spans="1:9" x14ac:dyDescent="0.25">
      <c r="A443" s="125" t="s">
        <v>3134</v>
      </c>
      <c r="B443" s="125" t="s">
        <v>5327</v>
      </c>
      <c r="C443" s="125">
        <v>227</v>
      </c>
      <c r="D443" s="125" t="s">
        <v>5328</v>
      </c>
      <c r="E443" s="125" t="s">
        <v>5303</v>
      </c>
      <c r="F443" s="125" t="s">
        <v>5304</v>
      </c>
      <c r="G443" s="125" t="s">
        <v>5297</v>
      </c>
      <c r="H443" s="125" t="s">
        <v>5491</v>
      </c>
      <c r="I443" s="125" t="s">
        <v>5491</v>
      </c>
    </row>
    <row r="444" spans="1:9" x14ac:dyDescent="0.25">
      <c r="A444" s="125" t="s">
        <v>2934</v>
      </c>
      <c r="B444" s="125" t="s">
        <v>5327</v>
      </c>
      <c r="C444" s="125">
        <v>227</v>
      </c>
      <c r="D444" s="125" t="s">
        <v>5328</v>
      </c>
      <c r="E444" s="125" t="s">
        <v>5303</v>
      </c>
      <c r="F444" s="125" t="s">
        <v>5304</v>
      </c>
      <c r="G444" s="125" t="s">
        <v>5297</v>
      </c>
      <c r="H444" s="125" t="s">
        <v>5491</v>
      </c>
      <c r="I444" s="125" t="s">
        <v>5491</v>
      </c>
    </row>
    <row r="445" spans="1:9" x14ac:dyDescent="0.25">
      <c r="A445" s="125" t="s">
        <v>2202</v>
      </c>
      <c r="B445" s="125" t="s">
        <v>5327</v>
      </c>
      <c r="C445" s="125">
        <v>227</v>
      </c>
      <c r="D445" s="125" t="s">
        <v>5328</v>
      </c>
      <c r="E445" s="125" t="s">
        <v>5303</v>
      </c>
      <c r="F445" s="125" t="s">
        <v>5304</v>
      </c>
      <c r="G445" s="125" t="s">
        <v>5297</v>
      </c>
      <c r="H445" s="125" t="s">
        <v>1092</v>
      </c>
      <c r="I445" s="125" t="s">
        <v>1092</v>
      </c>
    </row>
    <row r="446" spans="1:9" x14ac:dyDescent="0.25">
      <c r="A446" s="125" t="s">
        <v>2807</v>
      </c>
      <c r="B446" s="125" t="s">
        <v>5327</v>
      </c>
      <c r="C446" s="125">
        <v>227</v>
      </c>
      <c r="D446" s="125" t="s">
        <v>5328</v>
      </c>
      <c r="E446" s="125" t="s">
        <v>5303</v>
      </c>
      <c r="F446" s="125" t="s">
        <v>5304</v>
      </c>
      <c r="G446" s="125" t="s">
        <v>5297</v>
      </c>
      <c r="H446" s="125" t="s">
        <v>1092</v>
      </c>
      <c r="I446" s="125" t="s">
        <v>1092</v>
      </c>
    </row>
    <row r="447" spans="1:9" x14ac:dyDescent="0.25">
      <c r="A447" s="125" t="s">
        <v>2508</v>
      </c>
      <c r="B447" s="125" t="s">
        <v>5327</v>
      </c>
      <c r="C447" s="125">
        <v>227</v>
      </c>
      <c r="D447" s="125" t="s">
        <v>5328</v>
      </c>
      <c r="E447" s="125" t="s">
        <v>5303</v>
      </c>
      <c r="F447" s="125" t="s">
        <v>5304</v>
      </c>
      <c r="G447" s="125" t="s">
        <v>5297</v>
      </c>
      <c r="H447" s="125" t="s">
        <v>1092</v>
      </c>
      <c r="I447" s="125" t="s">
        <v>1092</v>
      </c>
    </row>
    <row r="448" spans="1:9" x14ac:dyDescent="0.25">
      <c r="A448" s="125" t="s">
        <v>3148</v>
      </c>
      <c r="B448" s="125" t="s">
        <v>5327</v>
      </c>
      <c r="C448" s="125">
        <v>227</v>
      </c>
      <c r="D448" s="125" t="s">
        <v>5328</v>
      </c>
      <c r="E448" s="125" t="s">
        <v>5303</v>
      </c>
      <c r="F448" s="125" t="s">
        <v>5304</v>
      </c>
      <c r="G448" s="125" t="s">
        <v>5297</v>
      </c>
      <c r="H448" s="125" t="s">
        <v>3147</v>
      </c>
      <c r="I448" s="125" t="s">
        <v>5492</v>
      </c>
    </row>
    <row r="449" spans="1:9" x14ac:dyDescent="0.25">
      <c r="A449" s="125" t="s">
        <v>5493</v>
      </c>
      <c r="B449" s="125" t="s">
        <v>5327</v>
      </c>
      <c r="C449" s="125">
        <v>227</v>
      </c>
      <c r="D449" s="125" t="s">
        <v>5328</v>
      </c>
      <c r="E449" s="125" t="s">
        <v>5303</v>
      </c>
      <c r="F449" s="125" t="s">
        <v>5304</v>
      </c>
      <c r="G449" s="125" t="s">
        <v>5297</v>
      </c>
      <c r="H449" s="125" t="s">
        <v>3147</v>
      </c>
      <c r="I449" s="125" t="s">
        <v>5492</v>
      </c>
    </row>
    <row r="450" spans="1:9" x14ac:dyDescent="0.25">
      <c r="A450" s="125" t="s">
        <v>1755</v>
      </c>
      <c r="B450" s="125" t="s">
        <v>5339</v>
      </c>
      <c r="C450" s="125">
        <v>235</v>
      </c>
      <c r="D450" s="140" t="s">
        <v>5340</v>
      </c>
      <c r="E450" s="125" t="s">
        <v>5341</v>
      </c>
      <c r="F450" s="140" t="s">
        <v>5342</v>
      </c>
      <c r="G450" s="125" t="s">
        <v>5297</v>
      </c>
      <c r="H450" s="125" t="s">
        <v>5494</v>
      </c>
      <c r="I450" s="125" t="s">
        <v>5495</v>
      </c>
    </row>
    <row r="451" spans="1:9" x14ac:dyDescent="0.25">
      <c r="A451" s="125" t="s">
        <v>1779</v>
      </c>
      <c r="B451" s="125" t="s">
        <v>5339</v>
      </c>
      <c r="C451" s="125">
        <v>235</v>
      </c>
      <c r="D451" s="140" t="s">
        <v>5340</v>
      </c>
      <c r="E451" s="125" t="s">
        <v>5341</v>
      </c>
      <c r="F451" s="140" t="s">
        <v>5342</v>
      </c>
      <c r="G451" s="125" t="s">
        <v>5297</v>
      </c>
      <c r="H451" s="125" t="s">
        <v>5494</v>
      </c>
      <c r="I451" s="125" t="s">
        <v>5495</v>
      </c>
    </row>
    <row r="452" spans="1:9" x14ac:dyDescent="0.25">
      <c r="A452" s="125" t="s">
        <v>1302</v>
      </c>
      <c r="B452" s="125" t="s">
        <v>5339</v>
      </c>
      <c r="C452" s="125">
        <v>235</v>
      </c>
      <c r="D452" s="140" t="s">
        <v>5340</v>
      </c>
      <c r="E452" s="125" t="s">
        <v>5341</v>
      </c>
      <c r="F452" s="140" t="s">
        <v>5342</v>
      </c>
      <c r="G452" s="125" t="s">
        <v>5297</v>
      </c>
      <c r="H452" s="125" t="s">
        <v>5494</v>
      </c>
      <c r="I452" s="125" t="s">
        <v>5495</v>
      </c>
    </row>
    <row r="453" spans="1:9" x14ac:dyDescent="0.25">
      <c r="A453" s="125" t="s">
        <v>2143</v>
      </c>
      <c r="B453" s="125" t="s">
        <v>5339</v>
      </c>
      <c r="C453" s="125">
        <v>235</v>
      </c>
      <c r="D453" s="140" t="s">
        <v>5340</v>
      </c>
      <c r="E453" s="125" t="s">
        <v>5341</v>
      </c>
      <c r="F453" s="140" t="s">
        <v>5342</v>
      </c>
      <c r="G453" s="125" t="s">
        <v>5297</v>
      </c>
      <c r="H453" s="125" t="s">
        <v>5496</v>
      </c>
      <c r="I453" s="125" t="s">
        <v>5496</v>
      </c>
    </row>
    <row r="454" spans="1:9" x14ac:dyDescent="0.25">
      <c r="A454" s="125" t="s">
        <v>1307</v>
      </c>
      <c r="B454" s="125" t="s">
        <v>5339</v>
      </c>
      <c r="C454" s="125">
        <v>235</v>
      </c>
      <c r="D454" s="140" t="s">
        <v>5340</v>
      </c>
      <c r="E454" s="125" t="s">
        <v>5341</v>
      </c>
      <c r="F454" s="140" t="s">
        <v>5342</v>
      </c>
      <c r="G454" s="125" t="s">
        <v>5297</v>
      </c>
      <c r="H454" s="125" t="s">
        <v>1296</v>
      </c>
      <c r="I454" s="125" t="s">
        <v>5497</v>
      </c>
    </row>
    <row r="455" spans="1:9" x14ac:dyDescent="0.25">
      <c r="A455" s="125" t="s">
        <v>3421</v>
      </c>
      <c r="B455" s="125" t="s">
        <v>5339</v>
      </c>
      <c r="C455" s="125">
        <v>235</v>
      </c>
      <c r="D455" s="140" t="s">
        <v>5340</v>
      </c>
      <c r="E455" s="125" t="s">
        <v>5341</v>
      </c>
      <c r="F455" s="140" t="s">
        <v>5342</v>
      </c>
      <c r="G455" s="125" t="s">
        <v>5297</v>
      </c>
      <c r="H455" s="125" t="s">
        <v>1296</v>
      </c>
      <c r="I455" s="125" t="s">
        <v>5497</v>
      </c>
    </row>
    <row r="456" spans="1:9" x14ac:dyDescent="0.25">
      <c r="A456" s="125" t="s">
        <v>2780</v>
      </c>
      <c r="B456" s="125" t="s">
        <v>5339</v>
      </c>
      <c r="C456" s="125">
        <v>235</v>
      </c>
      <c r="D456" s="140" t="s">
        <v>5340</v>
      </c>
      <c r="E456" s="125" t="s">
        <v>5341</v>
      </c>
      <c r="F456" s="140" t="s">
        <v>5342</v>
      </c>
      <c r="G456" s="125" t="s">
        <v>5297</v>
      </c>
      <c r="H456" s="125" t="s">
        <v>1296</v>
      </c>
      <c r="I456" s="125" t="s">
        <v>5497</v>
      </c>
    </row>
    <row r="457" spans="1:9" x14ac:dyDescent="0.25">
      <c r="A457" s="125" t="s">
        <v>2549</v>
      </c>
      <c r="B457" s="125" t="s">
        <v>5339</v>
      </c>
      <c r="C457" s="125">
        <v>235</v>
      </c>
      <c r="D457" s="140" t="s">
        <v>5340</v>
      </c>
      <c r="E457" s="125" t="s">
        <v>5341</v>
      </c>
      <c r="F457" s="140" t="s">
        <v>5342</v>
      </c>
      <c r="G457" s="125" t="s">
        <v>5297</v>
      </c>
      <c r="H457" s="125" t="s">
        <v>371</v>
      </c>
      <c r="I457" s="125" t="s">
        <v>371</v>
      </c>
    </row>
    <row r="458" spans="1:9" x14ac:dyDescent="0.25">
      <c r="A458" s="125" t="s">
        <v>2084</v>
      </c>
      <c r="B458" s="125" t="s">
        <v>5339</v>
      </c>
      <c r="C458" s="125">
        <v>235</v>
      </c>
      <c r="D458" s="140" t="s">
        <v>5340</v>
      </c>
      <c r="E458" s="125" t="s">
        <v>5341</v>
      </c>
      <c r="F458" s="140" t="s">
        <v>5342</v>
      </c>
      <c r="G458" s="125" t="s">
        <v>5297</v>
      </c>
      <c r="H458" s="125" t="s">
        <v>1296</v>
      </c>
      <c r="I458" s="125" t="s">
        <v>5497</v>
      </c>
    </row>
    <row r="459" spans="1:9" x14ac:dyDescent="0.25">
      <c r="A459" s="125" t="s">
        <v>3284</v>
      </c>
      <c r="B459" s="125" t="s">
        <v>5339</v>
      </c>
      <c r="C459" s="125">
        <v>235</v>
      </c>
      <c r="D459" s="140" t="s">
        <v>5340</v>
      </c>
      <c r="E459" s="125" t="s">
        <v>5341</v>
      </c>
      <c r="F459" s="140" t="s">
        <v>5342</v>
      </c>
      <c r="G459" s="125" t="s">
        <v>5297</v>
      </c>
      <c r="H459" s="125" t="s">
        <v>1296</v>
      </c>
      <c r="I459" s="125" t="s">
        <v>5497</v>
      </c>
    </row>
    <row r="460" spans="1:9" x14ac:dyDescent="0.25">
      <c r="A460" s="125" t="s">
        <v>1297</v>
      </c>
      <c r="B460" s="125" t="s">
        <v>5339</v>
      </c>
      <c r="C460" s="125">
        <v>235</v>
      </c>
      <c r="D460" s="140" t="s">
        <v>5340</v>
      </c>
      <c r="E460" s="125" t="s">
        <v>5341</v>
      </c>
      <c r="F460" s="140" t="s">
        <v>5342</v>
      </c>
      <c r="G460" s="125" t="s">
        <v>5297</v>
      </c>
      <c r="H460" s="125" t="s">
        <v>1296</v>
      </c>
      <c r="I460" s="125" t="s">
        <v>5497</v>
      </c>
    </row>
    <row r="461" spans="1:9" x14ac:dyDescent="0.25">
      <c r="A461" s="125" t="s">
        <v>3283</v>
      </c>
      <c r="B461" s="125" t="s">
        <v>5339</v>
      </c>
      <c r="C461" s="125">
        <v>235</v>
      </c>
      <c r="D461" s="140" t="s">
        <v>5340</v>
      </c>
      <c r="E461" s="125" t="s">
        <v>5341</v>
      </c>
      <c r="F461" s="140" t="s">
        <v>5342</v>
      </c>
      <c r="G461" s="125" t="s">
        <v>5297</v>
      </c>
      <c r="H461" s="125" t="s">
        <v>371</v>
      </c>
      <c r="I461" s="125" t="s">
        <v>371</v>
      </c>
    </row>
    <row r="462" spans="1:9" x14ac:dyDescent="0.25">
      <c r="A462" s="125" t="s">
        <v>2483</v>
      </c>
      <c r="B462" s="125" t="s">
        <v>5339</v>
      </c>
      <c r="C462" s="125">
        <v>235</v>
      </c>
      <c r="D462" s="140" t="s">
        <v>5340</v>
      </c>
      <c r="E462" s="125" t="s">
        <v>5341</v>
      </c>
      <c r="F462" s="140" t="s">
        <v>5342</v>
      </c>
      <c r="G462" s="125" t="s">
        <v>5297</v>
      </c>
      <c r="H462" s="125" t="s">
        <v>1296</v>
      </c>
      <c r="I462" s="125" t="s">
        <v>5497</v>
      </c>
    </row>
    <row r="463" spans="1:9" x14ac:dyDescent="0.25">
      <c r="A463" s="125" t="s">
        <v>2349</v>
      </c>
      <c r="B463" s="125" t="s">
        <v>5339</v>
      </c>
      <c r="C463" s="125">
        <v>235</v>
      </c>
      <c r="D463" s="140" t="s">
        <v>5340</v>
      </c>
      <c r="E463" s="125" t="s">
        <v>5341</v>
      </c>
      <c r="F463" s="140" t="s">
        <v>5342</v>
      </c>
      <c r="G463" s="125" t="s">
        <v>5297</v>
      </c>
      <c r="H463" s="125" t="s">
        <v>5496</v>
      </c>
      <c r="I463" s="125" t="s">
        <v>5496</v>
      </c>
    </row>
    <row r="464" spans="1:9" x14ac:dyDescent="0.25">
      <c r="A464" s="125" t="s">
        <v>2142</v>
      </c>
      <c r="B464" s="125" t="s">
        <v>5339</v>
      </c>
      <c r="C464" s="125">
        <v>235</v>
      </c>
      <c r="D464" s="140" t="s">
        <v>5340</v>
      </c>
      <c r="E464" s="125" t="s">
        <v>5341</v>
      </c>
      <c r="F464" s="140" t="s">
        <v>5342</v>
      </c>
      <c r="G464" s="125" t="s">
        <v>5297</v>
      </c>
      <c r="H464" s="125" t="s">
        <v>5496</v>
      </c>
      <c r="I464" s="125" t="s">
        <v>5496</v>
      </c>
    </row>
    <row r="465" spans="1:9" x14ac:dyDescent="0.25">
      <c r="A465" s="125" t="s">
        <v>1835</v>
      </c>
      <c r="B465" s="125" t="s">
        <v>5339</v>
      </c>
      <c r="C465" s="125">
        <v>235</v>
      </c>
      <c r="D465" s="140" t="s">
        <v>5340</v>
      </c>
      <c r="E465" s="125" t="s">
        <v>5341</v>
      </c>
      <c r="F465" s="140" t="s">
        <v>5342</v>
      </c>
      <c r="G465" s="125" t="s">
        <v>5297</v>
      </c>
      <c r="H465" s="125" t="s">
        <v>1296</v>
      </c>
      <c r="I465" s="125" t="s">
        <v>5497</v>
      </c>
    </row>
    <row r="466" spans="1:9" x14ac:dyDescent="0.25">
      <c r="A466" s="125" t="s">
        <v>2725</v>
      </c>
      <c r="B466" s="125" t="s">
        <v>5339</v>
      </c>
      <c r="C466" s="125">
        <v>235</v>
      </c>
      <c r="D466" s="140" t="s">
        <v>5340</v>
      </c>
      <c r="E466" s="125" t="s">
        <v>5341</v>
      </c>
      <c r="F466" s="140" t="s">
        <v>5342</v>
      </c>
      <c r="G466" s="125" t="s">
        <v>5297</v>
      </c>
      <c r="H466" s="125" t="s">
        <v>1296</v>
      </c>
      <c r="I466" s="125" t="s">
        <v>5497</v>
      </c>
    </row>
    <row r="467" spans="1:9" x14ac:dyDescent="0.25">
      <c r="A467" s="125" t="s">
        <v>2548</v>
      </c>
      <c r="B467" s="125" t="s">
        <v>5339</v>
      </c>
      <c r="C467" s="125">
        <v>235</v>
      </c>
      <c r="D467" s="140" t="s">
        <v>5340</v>
      </c>
      <c r="E467" s="125" t="s">
        <v>5341</v>
      </c>
      <c r="F467" s="140" t="s">
        <v>5342</v>
      </c>
      <c r="G467" s="125" t="s">
        <v>5297</v>
      </c>
      <c r="H467" s="125" t="s">
        <v>1296</v>
      </c>
      <c r="I467" s="125" t="s">
        <v>5497</v>
      </c>
    </row>
    <row r="468" spans="1:9" x14ac:dyDescent="0.25">
      <c r="A468" s="125" t="s">
        <v>2258</v>
      </c>
      <c r="B468" s="125" t="s">
        <v>5339</v>
      </c>
      <c r="C468" s="125">
        <v>235</v>
      </c>
      <c r="D468" s="140" t="s">
        <v>5340</v>
      </c>
      <c r="E468" s="125" t="s">
        <v>5341</v>
      </c>
      <c r="F468" s="140" t="s">
        <v>5342</v>
      </c>
      <c r="G468" s="125" t="s">
        <v>5297</v>
      </c>
      <c r="H468" s="125" t="s">
        <v>1296</v>
      </c>
      <c r="I468" s="125" t="s">
        <v>5497</v>
      </c>
    </row>
    <row r="469" spans="1:9" x14ac:dyDescent="0.25">
      <c r="A469" s="125" t="s">
        <v>2553</v>
      </c>
      <c r="B469" s="125" t="s">
        <v>5339</v>
      </c>
      <c r="C469" s="125">
        <v>235</v>
      </c>
      <c r="D469" s="140" t="s">
        <v>5340</v>
      </c>
      <c r="E469" s="125" t="s">
        <v>5341</v>
      </c>
      <c r="F469" s="140" t="s">
        <v>5342</v>
      </c>
      <c r="G469" s="125" t="s">
        <v>5297</v>
      </c>
      <c r="H469" s="125" t="s">
        <v>5494</v>
      </c>
      <c r="I469" s="125" t="s">
        <v>5495</v>
      </c>
    </row>
    <row r="470" spans="1:9" x14ac:dyDescent="0.25">
      <c r="A470" s="125" t="s">
        <v>2700</v>
      </c>
      <c r="B470" s="125" t="s">
        <v>5339</v>
      </c>
      <c r="C470" s="125">
        <v>235</v>
      </c>
      <c r="D470" s="140" t="s">
        <v>5340</v>
      </c>
      <c r="E470" s="125" t="s">
        <v>5341</v>
      </c>
      <c r="F470" s="140" t="s">
        <v>5342</v>
      </c>
      <c r="G470" s="125" t="s">
        <v>5297</v>
      </c>
      <c r="H470" s="125" t="s">
        <v>5494</v>
      </c>
      <c r="I470" s="125" t="s">
        <v>5495</v>
      </c>
    </row>
    <row r="471" spans="1:9" x14ac:dyDescent="0.25">
      <c r="A471" s="125" t="s">
        <v>1898</v>
      </c>
      <c r="B471" s="125" t="s">
        <v>5339</v>
      </c>
      <c r="C471" s="125">
        <v>235</v>
      </c>
      <c r="D471" s="140" t="s">
        <v>5340</v>
      </c>
      <c r="E471" s="125" t="s">
        <v>5341</v>
      </c>
      <c r="F471" s="140" t="s">
        <v>5342</v>
      </c>
      <c r="G471" s="125" t="s">
        <v>5297</v>
      </c>
      <c r="H471" s="125" t="s">
        <v>5494</v>
      </c>
      <c r="I471" s="125" t="s">
        <v>5495</v>
      </c>
    </row>
    <row r="472" spans="1:9" x14ac:dyDescent="0.25">
      <c r="A472" s="125" t="s">
        <v>1303</v>
      </c>
      <c r="B472" s="125" t="s">
        <v>5339</v>
      </c>
      <c r="C472" s="125">
        <v>235</v>
      </c>
      <c r="D472" s="140" t="s">
        <v>5340</v>
      </c>
      <c r="E472" s="125" t="s">
        <v>5341</v>
      </c>
      <c r="F472" s="140" t="s">
        <v>5342</v>
      </c>
      <c r="G472" s="125" t="s">
        <v>5297</v>
      </c>
      <c r="H472" s="125" t="s">
        <v>5496</v>
      </c>
      <c r="I472" s="125" t="s">
        <v>5496</v>
      </c>
    </row>
    <row r="473" spans="1:9" x14ac:dyDescent="0.25">
      <c r="A473" s="125" t="s">
        <v>2610</v>
      </c>
      <c r="B473" s="125" t="s">
        <v>5339</v>
      </c>
      <c r="C473" s="125">
        <v>235</v>
      </c>
      <c r="D473" s="140" t="s">
        <v>5340</v>
      </c>
      <c r="E473" s="125" t="s">
        <v>5341</v>
      </c>
      <c r="F473" s="140" t="s">
        <v>5342</v>
      </c>
      <c r="G473" s="125" t="s">
        <v>5297</v>
      </c>
      <c r="H473" s="125" t="s">
        <v>5496</v>
      </c>
      <c r="I473" s="125" t="s">
        <v>5496</v>
      </c>
    </row>
    <row r="474" spans="1:9" x14ac:dyDescent="0.25">
      <c r="A474" s="125" t="s">
        <v>1262</v>
      </c>
      <c r="B474" s="125" t="s">
        <v>5498</v>
      </c>
      <c r="C474" s="125">
        <v>219</v>
      </c>
      <c r="D474" s="125" t="s">
        <v>5499</v>
      </c>
      <c r="E474" s="125" t="s">
        <v>5295</v>
      </c>
      <c r="F474" s="125" t="s">
        <v>5296</v>
      </c>
      <c r="G474" s="125" t="s">
        <v>5297</v>
      </c>
      <c r="H474" s="125" t="s">
        <v>1260</v>
      </c>
      <c r="I474" s="125" t="s">
        <v>3183</v>
      </c>
    </row>
    <row r="475" spans="1:9" x14ac:dyDescent="0.25">
      <c r="A475" s="125" t="s">
        <v>1219</v>
      </c>
      <c r="B475" s="125" t="s">
        <v>5498</v>
      </c>
      <c r="C475" s="125">
        <v>219</v>
      </c>
      <c r="D475" s="125" t="s">
        <v>5499</v>
      </c>
      <c r="E475" s="125" t="s">
        <v>5295</v>
      </c>
      <c r="F475" s="125" t="s">
        <v>5296</v>
      </c>
      <c r="G475" s="125" t="s">
        <v>5297</v>
      </c>
      <c r="H475" s="125" t="s">
        <v>1218</v>
      </c>
      <c r="I475" s="125" t="s">
        <v>3183</v>
      </c>
    </row>
    <row r="476" spans="1:9" x14ac:dyDescent="0.25">
      <c r="A476" s="125" t="s">
        <v>1677</v>
      </c>
      <c r="B476" s="125" t="s">
        <v>5500</v>
      </c>
      <c r="C476" s="125">
        <v>237</v>
      </c>
      <c r="D476" s="125" t="s">
        <v>5501</v>
      </c>
      <c r="E476" s="125" t="s">
        <v>5295</v>
      </c>
      <c r="F476" s="125" t="s">
        <v>5296</v>
      </c>
      <c r="G476" s="125" t="s">
        <v>5297</v>
      </c>
      <c r="H476" s="125" t="s">
        <v>1218</v>
      </c>
      <c r="I476" s="125" t="s">
        <v>3183</v>
      </c>
    </row>
    <row r="477" spans="1:9" x14ac:dyDescent="0.25">
      <c r="A477" s="125" t="s">
        <v>2544</v>
      </c>
      <c r="B477" s="125" t="s">
        <v>5500</v>
      </c>
      <c r="C477" s="125">
        <v>237</v>
      </c>
      <c r="D477" s="125" t="s">
        <v>5501</v>
      </c>
      <c r="E477" s="125" t="s">
        <v>5295</v>
      </c>
      <c r="F477" s="125" t="s">
        <v>5296</v>
      </c>
      <c r="G477" s="125" t="s">
        <v>5297</v>
      </c>
      <c r="H477" s="125" t="s">
        <v>1729</v>
      </c>
      <c r="I477" s="125" t="s">
        <v>3183</v>
      </c>
    </row>
    <row r="478" spans="1:9" x14ac:dyDescent="0.25">
      <c r="A478" s="125" t="s">
        <v>1230</v>
      </c>
      <c r="B478" s="125" t="s">
        <v>5500</v>
      </c>
      <c r="C478" s="125">
        <v>237</v>
      </c>
      <c r="D478" s="125" t="s">
        <v>5501</v>
      </c>
      <c r="E478" s="125" t="s">
        <v>5295</v>
      </c>
      <c r="F478" s="125" t="s">
        <v>5296</v>
      </c>
      <c r="G478" s="125" t="s">
        <v>5297</v>
      </c>
      <c r="H478" s="125" t="s">
        <v>1229</v>
      </c>
      <c r="I478" s="125" t="s">
        <v>3183</v>
      </c>
    </row>
    <row r="479" spans="1:9" x14ac:dyDescent="0.25">
      <c r="A479" s="125" t="s">
        <v>1654</v>
      </c>
      <c r="B479" s="125" t="s">
        <v>5502</v>
      </c>
      <c r="C479" s="125">
        <v>202</v>
      </c>
      <c r="D479" s="125" t="s">
        <v>5503</v>
      </c>
      <c r="E479" s="125" t="s">
        <v>5295</v>
      </c>
      <c r="F479" s="125" t="s">
        <v>5296</v>
      </c>
      <c r="G479" s="125" t="s">
        <v>5297</v>
      </c>
      <c r="H479" s="125" t="s">
        <v>1229</v>
      </c>
      <c r="I479" s="125" t="s">
        <v>3183</v>
      </c>
    </row>
    <row r="480" spans="1:9" x14ac:dyDescent="0.25">
      <c r="A480" s="125" t="s">
        <v>1233</v>
      </c>
      <c r="B480" s="125" t="s">
        <v>5502</v>
      </c>
      <c r="C480" s="125">
        <v>202</v>
      </c>
      <c r="D480" s="125" t="s">
        <v>5503</v>
      </c>
      <c r="E480" s="125" t="s">
        <v>5295</v>
      </c>
      <c r="F480" s="125" t="s">
        <v>5296</v>
      </c>
      <c r="G480" s="125" t="s">
        <v>5297</v>
      </c>
      <c r="H480" s="125" t="s">
        <v>1229</v>
      </c>
      <c r="I480" s="125" t="s">
        <v>3183</v>
      </c>
    </row>
    <row r="481" spans="1:9" x14ac:dyDescent="0.25">
      <c r="A481" s="125" t="s">
        <v>2901</v>
      </c>
      <c r="B481" s="125" t="s">
        <v>5498</v>
      </c>
      <c r="C481" s="125">
        <v>219</v>
      </c>
      <c r="D481" s="125" t="s">
        <v>5499</v>
      </c>
      <c r="E481" s="125" t="s">
        <v>5295</v>
      </c>
      <c r="F481" s="125" t="s">
        <v>5296</v>
      </c>
      <c r="G481" s="125" t="s">
        <v>5297</v>
      </c>
      <c r="H481" s="125" t="s">
        <v>5504</v>
      </c>
      <c r="I481" s="125" t="s">
        <v>3183</v>
      </c>
    </row>
    <row r="482" spans="1:9" x14ac:dyDescent="0.25">
      <c r="A482" s="125" t="s">
        <v>2775</v>
      </c>
      <c r="B482" s="125" t="s">
        <v>5298</v>
      </c>
      <c r="C482" s="125">
        <v>216</v>
      </c>
      <c r="D482" s="125" t="s">
        <v>5478</v>
      </c>
      <c r="E482" s="125" t="s">
        <v>5295</v>
      </c>
      <c r="F482" s="125" t="s">
        <v>5296</v>
      </c>
      <c r="G482" s="125" t="s">
        <v>5297</v>
      </c>
      <c r="H482" s="125" t="s">
        <v>2368</v>
      </c>
      <c r="I482" s="125" t="s">
        <v>3183</v>
      </c>
    </row>
    <row r="483" spans="1:9" x14ac:dyDescent="0.25">
      <c r="A483" s="125" t="s">
        <v>3399</v>
      </c>
      <c r="B483" s="125" t="s">
        <v>5298</v>
      </c>
      <c r="C483" s="125">
        <v>216</v>
      </c>
      <c r="D483" s="125" t="s">
        <v>5478</v>
      </c>
      <c r="E483" s="125" t="s">
        <v>5295</v>
      </c>
      <c r="F483" s="125" t="s">
        <v>5296</v>
      </c>
      <c r="G483" s="125" t="s">
        <v>5297</v>
      </c>
      <c r="H483" s="125" t="s">
        <v>371</v>
      </c>
      <c r="I483" s="125" t="s">
        <v>371</v>
      </c>
    </row>
    <row r="484" spans="1:9" x14ac:dyDescent="0.25">
      <c r="A484" s="125" t="s">
        <v>2369</v>
      </c>
      <c r="B484" s="125" t="s">
        <v>5298</v>
      </c>
      <c r="C484" s="125">
        <v>216</v>
      </c>
      <c r="D484" s="125" t="s">
        <v>5478</v>
      </c>
      <c r="E484" s="125" t="s">
        <v>5295</v>
      </c>
      <c r="F484" s="125" t="s">
        <v>5296</v>
      </c>
      <c r="G484" s="125" t="s">
        <v>5297</v>
      </c>
      <c r="H484" s="125" t="s">
        <v>5504</v>
      </c>
      <c r="I484" s="125" t="s">
        <v>3183</v>
      </c>
    </row>
    <row r="485" spans="1:9" x14ac:dyDescent="0.25">
      <c r="A485" s="125" t="s">
        <v>1773</v>
      </c>
      <c r="B485" s="125" t="s">
        <v>5498</v>
      </c>
      <c r="C485" s="125">
        <v>219</v>
      </c>
      <c r="D485" s="125" t="s">
        <v>5499</v>
      </c>
      <c r="E485" s="125" t="s">
        <v>5295</v>
      </c>
      <c r="F485" s="125" t="s">
        <v>5296</v>
      </c>
      <c r="G485" s="125" t="s">
        <v>5297</v>
      </c>
      <c r="H485" s="125" t="s">
        <v>1218</v>
      </c>
      <c r="I485" s="125" t="s">
        <v>3183</v>
      </c>
    </row>
    <row r="486" spans="1:9" x14ac:dyDescent="0.25">
      <c r="A486" s="125" t="s">
        <v>2546</v>
      </c>
      <c r="B486" s="125" t="s">
        <v>5298</v>
      </c>
      <c r="C486" s="125">
        <v>216</v>
      </c>
      <c r="D486" s="125" t="s">
        <v>5478</v>
      </c>
      <c r="E486" s="125" t="s">
        <v>5295</v>
      </c>
      <c r="F486" s="125" t="s">
        <v>5296</v>
      </c>
      <c r="G486" s="125" t="s">
        <v>5297</v>
      </c>
      <c r="H486" s="125" t="s">
        <v>2368</v>
      </c>
      <c r="I486" s="125" t="s">
        <v>3183</v>
      </c>
    </row>
    <row r="487" spans="1:9" x14ac:dyDescent="0.25">
      <c r="A487" s="125" t="s">
        <v>1683</v>
      </c>
      <c r="B487" s="125" t="s">
        <v>5298</v>
      </c>
      <c r="C487" s="125">
        <v>216</v>
      </c>
      <c r="D487" s="125" t="s">
        <v>5478</v>
      </c>
      <c r="E487" s="125" t="s">
        <v>5295</v>
      </c>
      <c r="F487" s="125" t="s">
        <v>5296</v>
      </c>
      <c r="G487" s="125" t="s">
        <v>5297</v>
      </c>
      <c r="H487" s="125" t="s">
        <v>5505</v>
      </c>
      <c r="I487" s="125" t="s">
        <v>3482</v>
      </c>
    </row>
    <row r="488" spans="1:9" x14ac:dyDescent="0.25">
      <c r="A488" s="125" t="s">
        <v>2996</v>
      </c>
      <c r="B488" s="125" t="s">
        <v>5298</v>
      </c>
      <c r="C488" s="125">
        <v>216</v>
      </c>
      <c r="D488" s="125" t="s">
        <v>5478</v>
      </c>
      <c r="E488" s="125" t="s">
        <v>5295</v>
      </c>
      <c r="F488" s="125" t="s">
        <v>5296</v>
      </c>
      <c r="G488" s="125" t="s">
        <v>5297</v>
      </c>
      <c r="H488" s="125" t="s">
        <v>5479</v>
      </c>
      <c r="I488" s="125" t="s">
        <v>3183</v>
      </c>
    </row>
    <row r="489" spans="1:9" x14ac:dyDescent="0.25">
      <c r="A489" s="125" t="s">
        <v>2779</v>
      </c>
      <c r="B489" s="125" t="s">
        <v>5298</v>
      </c>
      <c r="C489" s="125">
        <v>216</v>
      </c>
      <c r="D489" s="125" t="s">
        <v>5478</v>
      </c>
      <c r="E489" s="125" t="s">
        <v>5295</v>
      </c>
      <c r="F489" s="125" t="s">
        <v>5296</v>
      </c>
      <c r="G489" s="125" t="s">
        <v>5297</v>
      </c>
      <c r="H489" s="125" t="s">
        <v>5479</v>
      </c>
      <c r="I489" s="125" t="s">
        <v>3183</v>
      </c>
    </row>
    <row r="490" spans="1:9" x14ac:dyDescent="0.25">
      <c r="A490" s="125" t="s">
        <v>1194</v>
      </c>
      <c r="B490" s="125" t="s">
        <v>5298</v>
      </c>
      <c r="C490" s="125">
        <v>216</v>
      </c>
      <c r="D490" s="125" t="s">
        <v>5478</v>
      </c>
      <c r="E490" s="125" t="s">
        <v>5295</v>
      </c>
      <c r="F490" s="125" t="s">
        <v>5296</v>
      </c>
      <c r="G490" s="125" t="s">
        <v>5297</v>
      </c>
      <c r="H490" s="125" t="s">
        <v>5479</v>
      </c>
      <c r="I490" s="125" t="s">
        <v>3183</v>
      </c>
    </row>
    <row r="491" spans="1:9" x14ac:dyDescent="0.25">
      <c r="A491" s="125" t="s">
        <v>1892</v>
      </c>
      <c r="B491" s="125" t="s">
        <v>5498</v>
      </c>
      <c r="C491" s="125">
        <v>219</v>
      </c>
      <c r="D491" s="125" t="s">
        <v>5499</v>
      </c>
      <c r="E491" s="125" t="s">
        <v>5295</v>
      </c>
      <c r="F491" s="125" t="s">
        <v>5296</v>
      </c>
      <c r="G491" s="125" t="s">
        <v>5297</v>
      </c>
      <c r="H491" s="125" t="s">
        <v>1218</v>
      </c>
      <c r="I491" s="125" t="s">
        <v>3183</v>
      </c>
    </row>
    <row r="492" spans="1:9" x14ac:dyDescent="0.25">
      <c r="A492" s="125" t="s">
        <v>1361</v>
      </c>
      <c r="B492" s="125" t="s">
        <v>5500</v>
      </c>
      <c r="C492" s="125">
        <v>237</v>
      </c>
      <c r="D492" s="125" t="s">
        <v>5501</v>
      </c>
      <c r="E492" s="125" t="s">
        <v>5295</v>
      </c>
      <c r="F492" s="125" t="s">
        <v>5296</v>
      </c>
      <c r="G492" s="125" t="s">
        <v>5297</v>
      </c>
      <c r="H492" s="125" t="s">
        <v>1218</v>
      </c>
      <c r="I492" s="125" t="s">
        <v>3183</v>
      </c>
    </row>
    <row r="493" spans="1:9" x14ac:dyDescent="0.25">
      <c r="A493" s="125" t="s">
        <v>1375</v>
      </c>
      <c r="B493" s="125" t="s">
        <v>5498</v>
      </c>
      <c r="C493" s="125">
        <v>219</v>
      </c>
      <c r="D493" s="125" t="s">
        <v>5499</v>
      </c>
      <c r="E493" s="125" t="s">
        <v>5295</v>
      </c>
      <c r="F493" s="125" t="s">
        <v>5296</v>
      </c>
      <c r="G493" s="125" t="s">
        <v>5297</v>
      </c>
      <c r="H493" s="125" t="s">
        <v>5504</v>
      </c>
      <c r="I493" s="125" t="s">
        <v>3183</v>
      </c>
    </row>
    <row r="494" spans="1:9" x14ac:dyDescent="0.25">
      <c r="A494" s="125" t="s">
        <v>2540</v>
      </c>
      <c r="B494" s="125" t="s">
        <v>5498</v>
      </c>
      <c r="C494" s="125">
        <v>219</v>
      </c>
      <c r="D494" s="125" t="s">
        <v>5499</v>
      </c>
      <c r="E494" s="125" t="s">
        <v>5295</v>
      </c>
      <c r="F494" s="125" t="s">
        <v>5296</v>
      </c>
      <c r="G494" s="125" t="s">
        <v>5297</v>
      </c>
      <c r="H494" s="125" t="s">
        <v>5479</v>
      </c>
      <c r="I494" s="125" t="s">
        <v>3183</v>
      </c>
    </row>
    <row r="495" spans="1:9" x14ac:dyDescent="0.25">
      <c r="A495" s="125" t="s">
        <v>1975</v>
      </c>
      <c r="B495" s="125" t="s">
        <v>5506</v>
      </c>
      <c r="C495" s="125">
        <v>203</v>
      </c>
      <c r="D495" s="125" t="s">
        <v>5507</v>
      </c>
      <c r="E495" s="125" t="s">
        <v>5295</v>
      </c>
      <c r="F495" s="125" t="s">
        <v>5296</v>
      </c>
      <c r="G495" s="125" t="s">
        <v>5297</v>
      </c>
      <c r="H495" s="125" t="s">
        <v>2917</v>
      </c>
      <c r="I495" s="125" t="s">
        <v>3183</v>
      </c>
    </row>
    <row r="496" spans="1:9" x14ac:dyDescent="0.25">
      <c r="A496" s="125" t="s">
        <v>3225</v>
      </c>
      <c r="B496" s="125" t="s">
        <v>5506</v>
      </c>
      <c r="C496" s="125">
        <v>203</v>
      </c>
      <c r="D496" s="125" t="s">
        <v>5507</v>
      </c>
      <c r="E496" s="125" t="s">
        <v>5295</v>
      </c>
      <c r="F496" s="125" t="s">
        <v>5296</v>
      </c>
      <c r="G496" s="125" t="s">
        <v>5297</v>
      </c>
      <c r="H496" s="125" t="s">
        <v>2917</v>
      </c>
      <c r="I496" s="125" t="s">
        <v>3183</v>
      </c>
    </row>
    <row r="497" spans="1:9" x14ac:dyDescent="0.25">
      <c r="A497" s="125" t="s">
        <v>2600</v>
      </c>
      <c r="B497" s="125" t="s">
        <v>5498</v>
      </c>
      <c r="C497" s="125">
        <v>219</v>
      </c>
      <c r="D497" s="125" t="s">
        <v>5499</v>
      </c>
      <c r="E497" s="125" t="s">
        <v>5295</v>
      </c>
      <c r="F497" s="125" t="s">
        <v>5296</v>
      </c>
      <c r="G497" s="125" t="s">
        <v>5297</v>
      </c>
      <c r="H497" s="125" t="s">
        <v>2917</v>
      </c>
      <c r="I497" s="125" t="s">
        <v>3183</v>
      </c>
    </row>
    <row r="498" spans="1:9" x14ac:dyDescent="0.25">
      <c r="A498" s="125" t="s">
        <v>1261</v>
      </c>
      <c r="B498" s="125" t="s">
        <v>5498</v>
      </c>
      <c r="C498" s="125">
        <v>219</v>
      </c>
      <c r="D498" s="125" t="s">
        <v>5499</v>
      </c>
      <c r="E498" s="125" t="s">
        <v>5295</v>
      </c>
      <c r="F498" s="125" t="s">
        <v>5296</v>
      </c>
      <c r="G498" s="125" t="s">
        <v>5297</v>
      </c>
      <c r="H498" s="125" t="s">
        <v>1260</v>
      </c>
      <c r="I498" s="125" t="s">
        <v>3183</v>
      </c>
    </row>
    <row r="499" spans="1:9" x14ac:dyDescent="0.25">
      <c r="A499" s="125" t="s">
        <v>448</v>
      </c>
      <c r="B499" s="125" t="s">
        <v>5506</v>
      </c>
      <c r="C499" s="125">
        <v>203</v>
      </c>
      <c r="D499" s="125" t="s">
        <v>5507</v>
      </c>
      <c r="E499" s="125" t="s">
        <v>5295</v>
      </c>
      <c r="F499" s="125" t="s">
        <v>5296</v>
      </c>
      <c r="G499" s="125" t="s">
        <v>5297</v>
      </c>
      <c r="H499" s="125" t="s">
        <v>13</v>
      </c>
      <c r="I499" s="125" t="s">
        <v>3183</v>
      </c>
    </row>
    <row r="500" spans="1:9" x14ac:dyDescent="0.25">
      <c r="A500" s="125" t="s">
        <v>466</v>
      </c>
      <c r="B500" s="125" t="s">
        <v>5508</v>
      </c>
      <c r="C500" s="125">
        <v>225</v>
      </c>
      <c r="D500" s="125" t="s">
        <v>5509</v>
      </c>
      <c r="E500" s="125" t="s">
        <v>5476</v>
      </c>
      <c r="F500" s="140" t="s">
        <v>5477</v>
      </c>
      <c r="G500" s="125" t="s">
        <v>5297</v>
      </c>
      <c r="H500" s="125" t="s">
        <v>5510</v>
      </c>
      <c r="I500" s="125" t="s">
        <v>45</v>
      </c>
    </row>
    <row r="501" spans="1:9" x14ac:dyDescent="0.25">
      <c r="A501" s="125" t="s">
        <v>3158</v>
      </c>
      <c r="B501" s="125" t="s">
        <v>5506</v>
      </c>
      <c r="C501" s="125">
        <v>203</v>
      </c>
      <c r="D501" s="125" t="s">
        <v>5507</v>
      </c>
      <c r="E501" s="125" t="s">
        <v>5295</v>
      </c>
      <c r="F501" s="125" t="s">
        <v>5296</v>
      </c>
      <c r="G501" s="125" t="s">
        <v>5297</v>
      </c>
      <c r="H501" s="125" t="s">
        <v>5511</v>
      </c>
      <c r="I501" s="125" t="s">
        <v>3183</v>
      </c>
    </row>
    <row r="502" spans="1:9" x14ac:dyDescent="0.25">
      <c r="A502" s="125" t="s">
        <v>2627</v>
      </c>
      <c r="B502" s="125" t="s">
        <v>5506</v>
      </c>
      <c r="C502" s="125">
        <v>203</v>
      </c>
      <c r="D502" s="125" t="s">
        <v>5507</v>
      </c>
      <c r="E502" s="125" t="s">
        <v>5295</v>
      </c>
      <c r="F502" s="125" t="s">
        <v>5296</v>
      </c>
      <c r="G502" s="125" t="s">
        <v>5297</v>
      </c>
      <c r="H502" s="125" t="s">
        <v>5511</v>
      </c>
      <c r="I502" s="125" t="s">
        <v>3183</v>
      </c>
    </row>
    <row r="503" spans="1:9" x14ac:dyDescent="0.25">
      <c r="A503" s="125" t="s">
        <v>570</v>
      </c>
      <c r="B503" s="125" t="s">
        <v>5506</v>
      </c>
      <c r="C503" s="125">
        <v>203</v>
      </c>
      <c r="D503" s="125" t="s">
        <v>5507</v>
      </c>
      <c r="E503" s="125" t="s">
        <v>5295</v>
      </c>
      <c r="F503" s="125" t="s">
        <v>5296</v>
      </c>
      <c r="G503" s="125" t="s">
        <v>5297</v>
      </c>
      <c r="H503" s="125" t="s">
        <v>5511</v>
      </c>
      <c r="I503" s="125" t="s">
        <v>3183</v>
      </c>
    </row>
    <row r="504" spans="1:9" x14ac:dyDescent="0.25">
      <c r="A504" s="125" t="s">
        <v>579</v>
      </c>
      <c r="B504" s="125" t="s">
        <v>5506</v>
      </c>
      <c r="C504" s="125">
        <v>203</v>
      </c>
      <c r="D504" s="125" t="s">
        <v>5507</v>
      </c>
      <c r="E504" s="125" t="s">
        <v>5295</v>
      </c>
      <c r="F504" s="125" t="s">
        <v>5296</v>
      </c>
      <c r="G504" s="125" t="s">
        <v>5297</v>
      </c>
      <c r="H504" s="125" t="s">
        <v>5511</v>
      </c>
      <c r="I504" s="125" t="s">
        <v>3183</v>
      </c>
    </row>
    <row r="505" spans="1:9" x14ac:dyDescent="0.25">
      <c r="A505" s="125" t="s">
        <v>577</v>
      </c>
      <c r="B505" s="125" t="s">
        <v>5506</v>
      </c>
      <c r="C505" s="125">
        <v>203</v>
      </c>
      <c r="D505" s="125" t="s">
        <v>5507</v>
      </c>
      <c r="E505" s="125" t="s">
        <v>5295</v>
      </c>
      <c r="F505" s="125" t="s">
        <v>5296</v>
      </c>
      <c r="G505" s="125" t="s">
        <v>5297</v>
      </c>
      <c r="H505" s="125" t="s">
        <v>5511</v>
      </c>
      <c r="I505" s="125" t="s">
        <v>3183</v>
      </c>
    </row>
    <row r="506" spans="1:9" x14ac:dyDescent="0.25">
      <c r="A506" s="125" t="s">
        <v>1866</v>
      </c>
      <c r="B506" s="125" t="s">
        <v>5506</v>
      </c>
      <c r="C506" s="125">
        <v>203</v>
      </c>
      <c r="D506" s="125" t="s">
        <v>5507</v>
      </c>
      <c r="E506" s="125" t="s">
        <v>5295</v>
      </c>
      <c r="F506" s="125" t="s">
        <v>5296</v>
      </c>
      <c r="G506" s="125" t="s">
        <v>5297</v>
      </c>
      <c r="H506" s="125" t="s">
        <v>5511</v>
      </c>
      <c r="I506" s="125" t="s">
        <v>3183</v>
      </c>
    </row>
    <row r="507" spans="1:9" x14ac:dyDescent="0.25">
      <c r="A507" s="125" t="s">
        <v>2733</v>
      </c>
      <c r="B507" s="125" t="s">
        <v>5506</v>
      </c>
      <c r="C507" s="125">
        <v>203</v>
      </c>
      <c r="D507" s="125" t="s">
        <v>5507</v>
      </c>
      <c r="E507" s="125" t="s">
        <v>5295</v>
      </c>
      <c r="F507" s="125" t="s">
        <v>5296</v>
      </c>
      <c r="G507" s="125" t="s">
        <v>5297</v>
      </c>
      <c r="H507" s="125" t="s">
        <v>13</v>
      </c>
      <c r="I507" s="125" t="s">
        <v>3183</v>
      </c>
    </row>
    <row r="508" spans="1:9" x14ac:dyDescent="0.25">
      <c r="A508" s="125" t="s">
        <v>469</v>
      </c>
      <c r="B508" s="125" t="s">
        <v>5506</v>
      </c>
      <c r="C508" s="125">
        <v>203</v>
      </c>
      <c r="D508" s="125" t="s">
        <v>5507</v>
      </c>
      <c r="E508" s="125" t="s">
        <v>5295</v>
      </c>
      <c r="F508" s="125" t="s">
        <v>5296</v>
      </c>
      <c r="G508" s="125" t="s">
        <v>5297</v>
      </c>
      <c r="H508" s="125" t="s">
        <v>13</v>
      </c>
      <c r="I508" s="125" t="s">
        <v>3183</v>
      </c>
    </row>
    <row r="509" spans="1:9" x14ac:dyDescent="0.25">
      <c r="A509" s="125" t="s">
        <v>3485</v>
      </c>
      <c r="B509" s="125" t="s">
        <v>5506</v>
      </c>
      <c r="C509" s="125">
        <v>203</v>
      </c>
      <c r="D509" s="125" t="s">
        <v>5507</v>
      </c>
      <c r="E509" s="125" t="s">
        <v>5295</v>
      </c>
      <c r="F509" s="125" t="s">
        <v>5296</v>
      </c>
      <c r="G509" s="125" t="s">
        <v>5297</v>
      </c>
      <c r="H509" s="125" t="s">
        <v>13</v>
      </c>
      <c r="I509" s="125" t="s">
        <v>3183</v>
      </c>
    </row>
    <row r="510" spans="1:9" x14ac:dyDescent="0.25">
      <c r="A510" s="125" t="s">
        <v>211</v>
      </c>
      <c r="B510" s="125" t="s">
        <v>5506</v>
      </c>
      <c r="C510" s="125">
        <v>203</v>
      </c>
      <c r="D510" s="125" t="s">
        <v>5507</v>
      </c>
      <c r="E510" s="125" t="s">
        <v>5295</v>
      </c>
      <c r="F510" s="125" t="s">
        <v>5296</v>
      </c>
      <c r="G510" s="125" t="s">
        <v>5297</v>
      </c>
      <c r="H510" s="125" t="s">
        <v>13</v>
      </c>
      <c r="I510" s="125" t="s">
        <v>3183</v>
      </c>
    </row>
    <row r="511" spans="1:9" x14ac:dyDescent="0.25">
      <c r="A511" s="125" t="s">
        <v>567</v>
      </c>
      <c r="B511" s="125" t="s">
        <v>5506</v>
      </c>
      <c r="C511" s="125">
        <v>203</v>
      </c>
      <c r="D511" s="125" t="s">
        <v>5507</v>
      </c>
      <c r="E511" s="125" t="s">
        <v>5295</v>
      </c>
      <c r="F511" s="125" t="s">
        <v>5296</v>
      </c>
      <c r="G511" s="125" t="s">
        <v>5297</v>
      </c>
      <c r="H511" s="125" t="s">
        <v>13</v>
      </c>
      <c r="I511" s="125" t="s">
        <v>3183</v>
      </c>
    </row>
    <row r="512" spans="1:9" x14ac:dyDescent="0.25">
      <c r="A512" s="125" t="s">
        <v>468</v>
      </c>
      <c r="B512" s="125" t="s">
        <v>5506</v>
      </c>
      <c r="C512" s="125">
        <v>203</v>
      </c>
      <c r="D512" s="125" t="s">
        <v>5507</v>
      </c>
      <c r="E512" s="125" t="s">
        <v>5295</v>
      </c>
      <c r="F512" s="125" t="s">
        <v>5296</v>
      </c>
      <c r="G512" s="125" t="s">
        <v>5297</v>
      </c>
      <c r="H512" s="125" t="s">
        <v>5511</v>
      </c>
      <c r="I512" s="125" t="s">
        <v>3183</v>
      </c>
    </row>
    <row r="513" spans="1:9" x14ac:dyDescent="0.25">
      <c r="A513" s="125" t="s">
        <v>5512</v>
      </c>
      <c r="B513" s="125" t="s">
        <v>5508</v>
      </c>
      <c r="C513" s="125">
        <v>225</v>
      </c>
      <c r="D513" s="125" t="s">
        <v>5509</v>
      </c>
      <c r="E513" s="125" t="s">
        <v>5476</v>
      </c>
      <c r="F513" s="140" t="s">
        <v>5477</v>
      </c>
      <c r="G513" s="125" t="s">
        <v>5297</v>
      </c>
      <c r="H513" s="125" t="s">
        <v>2917</v>
      </c>
      <c r="I513" s="125" t="s">
        <v>3183</v>
      </c>
    </row>
    <row r="514" spans="1:9" x14ac:dyDescent="0.25">
      <c r="A514" s="125" t="s">
        <v>542</v>
      </c>
      <c r="B514" s="125" t="s">
        <v>5506</v>
      </c>
      <c r="C514" s="125">
        <v>203</v>
      </c>
      <c r="D514" s="125" t="s">
        <v>5507</v>
      </c>
      <c r="E514" s="125" t="s">
        <v>5295</v>
      </c>
      <c r="F514" s="125" t="s">
        <v>5296</v>
      </c>
      <c r="G514" s="125" t="s">
        <v>5297</v>
      </c>
      <c r="H514" s="125" t="s">
        <v>2917</v>
      </c>
      <c r="I514" s="125" t="s">
        <v>3183</v>
      </c>
    </row>
    <row r="515" spans="1:9" x14ac:dyDescent="0.25">
      <c r="A515" s="125" t="s">
        <v>2031</v>
      </c>
      <c r="B515" s="125" t="s">
        <v>5373</v>
      </c>
      <c r="C515" s="125">
        <v>207</v>
      </c>
      <c r="D515" s="125" t="s">
        <v>5374</v>
      </c>
      <c r="E515" s="125" t="s">
        <v>5364</v>
      </c>
      <c r="F515" s="125" t="s">
        <v>5365</v>
      </c>
      <c r="G515" s="125" t="s">
        <v>5297</v>
      </c>
      <c r="H515" s="125" t="s">
        <v>2030</v>
      </c>
      <c r="I515" s="125" t="s">
        <v>5375</v>
      </c>
    </row>
    <row r="516" spans="1:9" x14ac:dyDescent="0.25">
      <c r="A516" s="125" t="s">
        <v>2512</v>
      </c>
      <c r="B516" s="125" t="s">
        <v>5513</v>
      </c>
      <c r="C516" s="125">
        <v>238</v>
      </c>
      <c r="D516" s="125" t="s">
        <v>5514</v>
      </c>
      <c r="E516" s="125" t="s">
        <v>5364</v>
      </c>
      <c r="F516" s="125" t="s">
        <v>5365</v>
      </c>
      <c r="G516" s="125" t="s">
        <v>5297</v>
      </c>
      <c r="H516" s="125" t="s">
        <v>2030</v>
      </c>
      <c r="I516" s="125" t="s">
        <v>5375</v>
      </c>
    </row>
    <row r="517" spans="1:9" x14ac:dyDescent="0.25">
      <c r="A517" s="125" t="s">
        <v>2766</v>
      </c>
      <c r="B517" s="125" t="s">
        <v>5513</v>
      </c>
      <c r="C517" s="125">
        <v>238</v>
      </c>
      <c r="D517" s="125" t="s">
        <v>5514</v>
      </c>
      <c r="E517" s="125" t="s">
        <v>5364</v>
      </c>
      <c r="F517" s="125" t="s">
        <v>5365</v>
      </c>
      <c r="G517" s="125" t="s">
        <v>5297</v>
      </c>
      <c r="H517" s="125" t="s">
        <v>5515</v>
      </c>
      <c r="I517" s="125" t="s">
        <v>1953</v>
      </c>
    </row>
    <row r="518" spans="1:9" x14ac:dyDescent="0.25">
      <c r="A518" s="125" t="s">
        <v>2894</v>
      </c>
      <c r="B518" s="125" t="s">
        <v>5373</v>
      </c>
      <c r="C518" s="125">
        <v>207</v>
      </c>
      <c r="D518" s="125" t="s">
        <v>5374</v>
      </c>
      <c r="E518" s="125" t="s">
        <v>5364</v>
      </c>
      <c r="F518" s="125" t="s">
        <v>5365</v>
      </c>
      <c r="G518" s="125" t="s">
        <v>5297</v>
      </c>
      <c r="H518" s="125" t="s">
        <v>5516</v>
      </c>
      <c r="I518" s="125" t="s">
        <v>5375</v>
      </c>
    </row>
    <row r="519" spans="1:9" x14ac:dyDescent="0.25">
      <c r="A519" s="125" t="s">
        <v>1159</v>
      </c>
      <c r="B519" s="125" t="s">
        <v>5513</v>
      </c>
      <c r="C519" s="125">
        <v>238</v>
      </c>
      <c r="D519" s="125" t="s">
        <v>5514</v>
      </c>
      <c r="E519" s="125" t="s">
        <v>5364</v>
      </c>
      <c r="F519" s="125" t="s">
        <v>5365</v>
      </c>
      <c r="G519" s="125" t="s">
        <v>5297</v>
      </c>
      <c r="H519" s="125" t="s">
        <v>5517</v>
      </c>
      <c r="I519" s="125" t="s">
        <v>1953</v>
      </c>
    </row>
    <row r="520" spans="1:9" x14ac:dyDescent="0.25">
      <c r="A520" s="125" t="s">
        <v>2889</v>
      </c>
      <c r="B520" s="125" t="s">
        <v>5513</v>
      </c>
      <c r="C520" s="125">
        <v>238</v>
      </c>
      <c r="D520" s="125" t="s">
        <v>5514</v>
      </c>
      <c r="E520" s="125" t="s">
        <v>5364</v>
      </c>
      <c r="F520" s="125" t="s">
        <v>5365</v>
      </c>
      <c r="G520" s="125" t="s">
        <v>5297</v>
      </c>
      <c r="H520" s="125" t="s">
        <v>5515</v>
      </c>
      <c r="I520" s="125" t="s">
        <v>1953</v>
      </c>
    </row>
    <row r="521" spans="1:9" x14ac:dyDescent="0.25">
      <c r="A521" s="125" t="s">
        <v>3278</v>
      </c>
      <c r="B521" s="125" t="s">
        <v>5373</v>
      </c>
      <c r="C521" s="125">
        <v>207</v>
      </c>
      <c r="D521" s="125" t="s">
        <v>5374</v>
      </c>
      <c r="E521" s="125" t="s">
        <v>5364</v>
      </c>
      <c r="F521" s="125" t="s">
        <v>5365</v>
      </c>
      <c r="G521" s="125" t="s">
        <v>5297</v>
      </c>
      <c r="H521" s="125" t="s">
        <v>2030</v>
      </c>
      <c r="I521" s="125" t="s">
        <v>5375</v>
      </c>
    </row>
    <row r="522" spans="1:9" x14ac:dyDescent="0.25">
      <c r="A522" s="125" t="s">
        <v>1549</v>
      </c>
      <c r="B522" s="125" t="s">
        <v>5513</v>
      </c>
      <c r="C522" s="125">
        <v>238</v>
      </c>
      <c r="D522" s="125" t="s">
        <v>5514</v>
      </c>
      <c r="E522" s="125" t="s">
        <v>5364</v>
      </c>
      <c r="F522" s="125" t="s">
        <v>5365</v>
      </c>
      <c r="G522" s="125" t="s">
        <v>5297</v>
      </c>
      <c r="H522" s="125" t="s">
        <v>2030</v>
      </c>
      <c r="I522" s="125" t="s">
        <v>5375</v>
      </c>
    </row>
    <row r="523" spans="1:9" x14ac:dyDescent="0.25">
      <c r="A523" s="125" t="s">
        <v>5518</v>
      </c>
      <c r="B523" s="125" t="s">
        <v>5513</v>
      </c>
      <c r="C523" s="125">
        <v>238</v>
      </c>
      <c r="D523" s="125" t="s">
        <v>5514</v>
      </c>
      <c r="E523" s="125" t="s">
        <v>5364</v>
      </c>
      <c r="F523" s="125" t="s">
        <v>5365</v>
      </c>
      <c r="G523" s="125" t="s">
        <v>5297</v>
      </c>
      <c r="H523" s="125" t="s">
        <v>2030</v>
      </c>
      <c r="I523" s="125" t="s">
        <v>5375</v>
      </c>
    </row>
    <row r="524" spans="1:9" x14ac:dyDescent="0.25">
      <c r="A524" s="125" t="s">
        <v>2805</v>
      </c>
      <c r="B524" s="125" t="s">
        <v>5376</v>
      </c>
      <c r="C524" s="125">
        <v>223</v>
      </c>
      <c r="D524" s="125" t="s">
        <v>5377</v>
      </c>
      <c r="E524" s="125" t="s">
        <v>5364</v>
      </c>
      <c r="F524" s="125" t="s">
        <v>5365</v>
      </c>
      <c r="G524" s="125" t="s">
        <v>5297</v>
      </c>
      <c r="H524" s="125" t="s">
        <v>1699</v>
      </c>
      <c r="I524" s="125" t="s">
        <v>2263</v>
      </c>
    </row>
    <row r="525" spans="1:9" x14ac:dyDescent="0.25">
      <c r="A525" s="125" t="s">
        <v>1382</v>
      </c>
      <c r="B525" s="125" t="s">
        <v>5376</v>
      </c>
      <c r="C525" s="125">
        <v>223</v>
      </c>
      <c r="D525" s="125" t="s">
        <v>5377</v>
      </c>
      <c r="E525" s="125" t="s">
        <v>5364</v>
      </c>
      <c r="F525" s="125" t="s">
        <v>5365</v>
      </c>
      <c r="G525" s="125" t="s">
        <v>5297</v>
      </c>
      <c r="H525" s="125" t="s">
        <v>5519</v>
      </c>
      <c r="I525" s="125" t="s">
        <v>2263</v>
      </c>
    </row>
    <row r="526" spans="1:9" x14ac:dyDescent="0.25">
      <c r="A526" s="125" t="s">
        <v>3110</v>
      </c>
      <c r="B526" s="125" t="s">
        <v>5376</v>
      </c>
      <c r="C526" s="125">
        <v>223</v>
      </c>
      <c r="D526" s="125" t="s">
        <v>5377</v>
      </c>
      <c r="E526" s="125" t="s">
        <v>5364</v>
      </c>
      <c r="F526" s="125" t="s">
        <v>5365</v>
      </c>
      <c r="G526" s="125" t="s">
        <v>5297</v>
      </c>
      <c r="H526" s="125" t="s">
        <v>5519</v>
      </c>
      <c r="I526" s="125" t="s">
        <v>2263</v>
      </c>
    </row>
    <row r="527" spans="1:9" x14ac:dyDescent="0.25">
      <c r="A527" s="125" t="s">
        <v>1100</v>
      </c>
      <c r="B527" s="125" t="s">
        <v>5376</v>
      </c>
      <c r="C527" s="125">
        <v>223</v>
      </c>
      <c r="D527" s="125" t="s">
        <v>5377</v>
      </c>
      <c r="E527" s="125" t="s">
        <v>5364</v>
      </c>
      <c r="F527" s="125" t="s">
        <v>5365</v>
      </c>
      <c r="G527" s="125" t="s">
        <v>5297</v>
      </c>
      <c r="H527" s="125" t="s">
        <v>5519</v>
      </c>
      <c r="I527" s="125" t="s">
        <v>2263</v>
      </c>
    </row>
    <row r="528" spans="1:9" x14ac:dyDescent="0.25">
      <c r="A528" s="125" t="s">
        <v>2327</v>
      </c>
      <c r="B528" s="125" t="s">
        <v>5376</v>
      </c>
      <c r="C528" s="125">
        <v>223</v>
      </c>
      <c r="D528" s="125" t="s">
        <v>5377</v>
      </c>
      <c r="E528" s="125" t="s">
        <v>5364</v>
      </c>
      <c r="F528" s="125" t="s">
        <v>5365</v>
      </c>
      <c r="G528" s="125" t="s">
        <v>5297</v>
      </c>
      <c r="H528" s="125" t="s">
        <v>1353</v>
      </c>
      <c r="I528" s="125" t="s">
        <v>2263</v>
      </c>
    </row>
    <row r="529" spans="1:9" x14ac:dyDescent="0.25">
      <c r="A529" s="125" t="s">
        <v>1597</v>
      </c>
      <c r="B529" s="125" t="s">
        <v>5376</v>
      </c>
      <c r="C529" s="125">
        <v>223</v>
      </c>
      <c r="D529" s="125" t="s">
        <v>5377</v>
      </c>
      <c r="E529" s="125" t="s">
        <v>5364</v>
      </c>
      <c r="F529" s="125" t="s">
        <v>5365</v>
      </c>
      <c r="G529" s="125" t="s">
        <v>5297</v>
      </c>
      <c r="H529" s="125" t="s">
        <v>1353</v>
      </c>
      <c r="I529" s="125" t="s">
        <v>2263</v>
      </c>
    </row>
    <row r="530" spans="1:9" x14ac:dyDescent="0.25">
      <c r="A530" s="125" t="s">
        <v>3308</v>
      </c>
      <c r="B530" s="125" t="s">
        <v>5376</v>
      </c>
      <c r="C530" s="125">
        <v>223</v>
      </c>
      <c r="D530" s="125" t="s">
        <v>5377</v>
      </c>
      <c r="E530" s="125" t="s">
        <v>5364</v>
      </c>
      <c r="F530" s="125" t="s">
        <v>5365</v>
      </c>
      <c r="G530" s="125" t="s">
        <v>5297</v>
      </c>
      <c r="H530" s="125" t="s">
        <v>1353</v>
      </c>
      <c r="I530" s="125" t="s">
        <v>2263</v>
      </c>
    </row>
    <row r="531" spans="1:9" x14ac:dyDescent="0.25">
      <c r="A531" s="125" t="s">
        <v>1354</v>
      </c>
      <c r="B531" s="125" t="s">
        <v>5376</v>
      </c>
      <c r="C531" s="125">
        <v>223</v>
      </c>
      <c r="D531" s="125" t="s">
        <v>5377</v>
      </c>
      <c r="E531" s="125" t="s">
        <v>5364</v>
      </c>
      <c r="F531" s="125" t="s">
        <v>5365</v>
      </c>
      <c r="G531" s="125" t="s">
        <v>5297</v>
      </c>
      <c r="H531" s="125" t="s">
        <v>371</v>
      </c>
      <c r="I531" s="125" t="s">
        <v>371</v>
      </c>
    </row>
    <row r="532" spans="1:9" x14ac:dyDescent="0.25">
      <c r="A532" s="125" t="s">
        <v>2737</v>
      </c>
      <c r="B532" s="125" t="s">
        <v>5376</v>
      </c>
      <c r="C532" s="125">
        <v>223</v>
      </c>
      <c r="D532" s="125" t="s">
        <v>5377</v>
      </c>
      <c r="E532" s="125" t="s">
        <v>5364</v>
      </c>
      <c r="F532" s="125" t="s">
        <v>5365</v>
      </c>
      <c r="G532" s="125" t="s">
        <v>5297</v>
      </c>
      <c r="H532" s="125" t="s">
        <v>1353</v>
      </c>
      <c r="I532" s="125" t="s">
        <v>2263</v>
      </c>
    </row>
    <row r="533" spans="1:9" x14ac:dyDescent="0.25">
      <c r="A533" s="125" t="s">
        <v>2171</v>
      </c>
      <c r="B533" s="125" t="s">
        <v>5376</v>
      </c>
      <c r="C533" s="125">
        <v>223</v>
      </c>
      <c r="D533" s="125" t="s">
        <v>5377</v>
      </c>
      <c r="E533" s="125" t="s">
        <v>5364</v>
      </c>
      <c r="F533" s="125" t="s">
        <v>5365</v>
      </c>
      <c r="G533" s="125" t="s">
        <v>5297</v>
      </c>
      <c r="H533" s="125" t="s">
        <v>1353</v>
      </c>
      <c r="I533" s="125" t="s">
        <v>2263</v>
      </c>
    </row>
    <row r="534" spans="1:9" x14ac:dyDescent="0.25">
      <c r="A534" s="125" t="s">
        <v>1853</v>
      </c>
      <c r="B534" s="125" t="s">
        <v>5376</v>
      </c>
      <c r="C534" s="125">
        <v>223</v>
      </c>
      <c r="D534" s="125" t="s">
        <v>5377</v>
      </c>
      <c r="E534" s="125" t="s">
        <v>5364</v>
      </c>
      <c r="F534" s="125" t="s">
        <v>5365</v>
      </c>
      <c r="G534" s="125" t="s">
        <v>5297</v>
      </c>
      <c r="H534" s="125" t="s">
        <v>5520</v>
      </c>
      <c r="I534" s="125" t="s">
        <v>2263</v>
      </c>
    </row>
    <row r="535" spans="1:9" x14ac:dyDescent="0.25">
      <c r="A535" s="125" t="s">
        <v>2458</v>
      </c>
      <c r="B535" s="125" t="s">
        <v>5376</v>
      </c>
      <c r="C535" s="125">
        <v>223</v>
      </c>
      <c r="D535" s="125" t="s">
        <v>5377</v>
      </c>
      <c r="E535" s="125" t="s">
        <v>5364</v>
      </c>
      <c r="F535" s="125" t="s">
        <v>5365</v>
      </c>
      <c r="G535" s="125" t="s">
        <v>5297</v>
      </c>
      <c r="H535" s="125" t="s">
        <v>1699</v>
      </c>
      <c r="I535" s="125" t="s">
        <v>2263</v>
      </c>
    </row>
    <row r="536" spans="1:9" x14ac:dyDescent="0.25">
      <c r="A536" s="125" t="s">
        <v>2113</v>
      </c>
      <c r="B536" s="125" t="s">
        <v>5376</v>
      </c>
      <c r="C536" s="125">
        <v>223</v>
      </c>
      <c r="D536" s="125" t="s">
        <v>5377</v>
      </c>
      <c r="E536" s="125" t="s">
        <v>5364</v>
      </c>
      <c r="F536" s="125" t="s">
        <v>5365</v>
      </c>
      <c r="G536" s="125" t="s">
        <v>5297</v>
      </c>
      <c r="H536" s="125" t="s">
        <v>5520</v>
      </c>
      <c r="I536" s="125" t="s">
        <v>2263</v>
      </c>
    </row>
    <row r="537" spans="1:9" x14ac:dyDescent="0.25">
      <c r="A537" s="125" t="s">
        <v>1474</v>
      </c>
      <c r="B537" s="125" t="s">
        <v>5376</v>
      </c>
      <c r="C537" s="125">
        <v>223</v>
      </c>
      <c r="D537" s="125" t="s">
        <v>5377</v>
      </c>
      <c r="E537" s="125" t="s">
        <v>5364</v>
      </c>
      <c r="F537" s="125" t="s">
        <v>5365</v>
      </c>
      <c r="G537" s="125" t="s">
        <v>5297</v>
      </c>
      <c r="H537" s="125" t="s">
        <v>5520</v>
      </c>
      <c r="I537" s="125" t="s">
        <v>2263</v>
      </c>
    </row>
    <row r="538" spans="1:9" x14ac:dyDescent="0.25">
      <c r="A538" s="125" t="s">
        <v>1700</v>
      </c>
      <c r="B538" s="125" t="s">
        <v>5376</v>
      </c>
      <c r="C538" s="125">
        <v>223</v>
      </c>
      <c r="D538" s="125" t="s">
        <v>5377</v>
      </c>
      <c r="E538" s="125" t="s">
        <v>5364</v>
      </c>
      <c r="F538" s="125" t="s">
        <v>5365</v>
      </c>
      <c r="G538" s="125" t="s">
        <v>5297</v>
      </c>
      <c r="H538" s="125" t="s">
        <v>1353</v>
      </c>
      <c r="I538" s="125" t="s">
        <v>2263</v>
      </c>
    </row>
    <row r="539" spans="1:9" x14ac:dyDescent="0.25">
      <c r="A539" s="125" t="s">
        <v>2716</v>
      </c>
      <c r="B539" s="125" t="s">
        <v>5376</v>
      </c>
      <c r="C539" s="125">
        <v>223</v>
      </c>
      <c r="D539" s="125" t="s">
        <v>5377</v>
      </c>
      <c r="E539" s="125" t="s">
        <v>5364</v>
      </c>
      <c r="F539" s="125" t="s">
        <v>5365</v>
      </c>
      <c r="G539" s="125" t="s">
        <v>5297</v>
      </c>
      <c r="H539" s="125" t="s">
        <v>1699</v>
      </c>
      <c r="I539" s="125" t="s">
        <v>2263</v>
      </c>
    </row>
    <row r="540" spans="1:9" x14ac:dyDescent="0.25">
      <c r="A540" s="125" t="s">
        <v>1215</v>
      </c>
      <c r="B540" s="125" t="s">
        <v>5376</v>
      </c>
      <c r="C540" s="125">
        <v>223</v>
      </c>
      <c r="D540" s="125" t="s">
        <v>5377</v>
      </c>
      <c r="E540" s="125" t="s">
        <v>5364</v>
      </c>
      <c r="F540" s="125" t="s">
        <v>5365</v>
      </c>
      <c r="G540" s="125" t="s">
        <v>5297</v>
      </c>
      <c r="H540" s="125" t="s">
        <v>1699</v>
      </c>
      <c r="I540" s="125" t="s">
        <v>2263</v>
      </c>
    </row>
    <row r="541" spans="1:9" x14ac:dyDescent="0.25">
      <c r="A541" s="125" t="s">
        <v>1291</v>
      </c>
      <c r="B541" s="125" t="s">
        <v>5376</v>
      </c>
      <c r="C541" s="125">
        <v>223</v>
      </c>
      <c r="D541" s="125" t="s">
        <v>5377</v>
      </c>
      <c r="E541" s="125" t="s">
        <v>5364</v>
      </c>
      <c r="F541" s="125" t="s">
        <v>5365</v>
      </c>
      <c r="G541" s="125" t="s">
        <v>5297</v>
      </c>
      <c r="H541" s="125" t="s">
        <v>1699</v>
      </c>
      <c r="I541" s="125" t="s">
        <v>2263</v>
      </c>
    </row>
    <row r="542" spans="1:9" x14ac:dyDescent="0.25">
      <c r="A542" s="125" t="s">
        <v>2014</v>
      </c>
      <c r="B542" s="125" t="s">
        <v>5376</v>
      </c>
      <c r="C542" s="125">
        <v>223</v>
      </c>
      <c r="D542" s="125" t="s">
        <v>5377</v>
      </c>
      <c r="E542" s="125" t="s">
        <v>5364</v>
      </c>
      <c r="F542" s="125" t="s">
        <v>5365</v>
      </c>
      <c r="G542" s="125" t="s">
        <v>5297</v>
      </c>
      <c r="H542" s="125" t="s">
        <v>5519</v>
      </c>
      <c r="I542" s="125" t="s">
        <v>2263</v>
      </c>
    </row>
    <row r="543" spans="1:9" x14ac:dyDescent="0.25">
      <c r="A543" s="125" t="s">
        <v>5521</v>
      </c>
      <c r="B543" s="125" t="s">
        <v>5376</v>
      </c>
      <c r="C543" s="125">
        <v>223</v>
      </c>
      <c r="D543" s="125" t="s">
        <v>5377</v>
      </c>
      <c r="E543" s="125" t="s">
        <v>5364</v>
      </c>
      <c r="F543" s="125" t="s">
        <v>5365</v>
      </c>
      <c r="G543" s="125" t="s">
        <v>5297</v>
      </c>
      <c r="H543" s="125" t="s">
        <v>5519</v>
      </c>
      <c r="I543" s="125" t="s">
        <v>2263</v>
      </c>
    </row>
    <row r="544" spans="1:9" x14ac:dyDescent="0.25">
      <c r="A544" s="125" t="s">
        <v>2018</v>
      </c>
      <c r="B544" s="125" t="s">
        <v>5376</v>
      </c>
      <c r="C544" s="125">
        <v>223</v>
      </c>
      <c r="D544" s="125" t="s">
        <v>5377</v>
      </c>
      <c r="E544" s="125" t="s">
        <v>5364</v>
      </c>
      <c r="F544" s="125" t="s">
        <v>5365</v>
      </c>
      <c r="G544" s="125" t="s">
        <v>5297</v>
      </c>
      <c r="H544" s="125" t="s">
        <v>5519</v>
      </c>
      <c r="I544" s="125" t="s">
        <v>2263</v>
      </c>
    </row>
    <row r="545" spans="1:9" x14ac:dyDescent="0.25">
      <c r="A545" s="125" t="s">
        <v>2728</v>
      </c>
      <c r="B545" s="125" t="s">
        <v>5522</v>
      </c>
      <c r="C545" s="125">
        <v>220</v>
      </c>
      <c r="D545" s="125" t="s">
        <v>5523</v>
      </c>
      <c r="E545" s="125" t="s">
        <v>5303</v>
      </c>
      <c r="F545" s="125" t="s">
        <v>5304</v>
      </c>
      <c r="G545" s="125" t="s">
        <v>5297</v>
      </c>
      <c r="H545" s="125" t="s">
        <v>1368</v>
      </c>
      <c r="I545" s="125" t="s">
        <v>1083</v>
      </c>
    </row>
    <row r="546" spans="1:9" x14ac:dyDescent="0.25">
      <c r="A546" s="125" t="s">
        <v>1994</v>
      </c>
      <c r="B546" s="125" t="s">
        <v>5522</v>
      </c>
      <c r="C546" s="125">
        <v>220</v>
      </c>
      <c r="D546" s="125" t="s">
        <v>5523</v>
      </c>
      <c r="E546" s="125" t="s">
        <v>5303</v>
      </c>
      <c r="F546" s="125" t="s">
        <v>5304</v>
      </c>
      <c r="G546" s="125" t="s">
        <v>5297</v>
      </c>
      <c r="H546" s="125" t="s">
        <v>5524</v>
      </c>
      <c r="I546" s="125" t="s">
        <v>5318</v>
      </c>
    </row>
    <row r="547" spans="1:9" x14ac:dyDescent="0.25">
      <c r="A547" s="125" t="s">
        <v>1883</v>
      </c>
      <c r="B547" s="125" t="s">
        <v>5522</v>
      </c>
      <c r="C547" s="125">
        <v>220</v>
      </c>
      <c r="D547" s="125" t="s">
        <v>5523</v>
      </c>
      <c r="E547" s="125" t="s">
        <v>5303</v>
      </c>
      <c r="F547" s="125" t="s">
        <v>5304</v>
      </c>
      <c r="G547" s="125" t="s">
        <v>5297</v>
      </c>
      <c r="H547" s="125" t="s">
        <v>5524</v>
      </c>
      <c r="I547" s="125" t="s">
        <v>5318</v>
      </c>
    </row>
    <row r="548" spans="1:9" x14ac:dyDescent="0.25">
      <c r="A548" s="125" t="s">
        <v>1711</v>
      </c>
      <c r="B548" s="125" t="s">
        <v>5522</v>
      </c>
      <c r="C548" s="125">
        <v>220</v>
      </c>
      <c r="D548" s="125" t="s">
        <v>5523</v>
      </c>
      <c r="E548" s="125" t="s">
        <v>5303</v>
      </c>
      <c r="F548" s="125" t="s">
        <v>5304</v>
      </c>
      <c r="G548" s="125" t="s">
        <v>5297</v>
      </c>
      <c r="H548" s="125" t="s">
        <v>5524</v>
      </c>
      <c r="I548" s="125" t="s">
        <v>5318</v>
      </c>
    </row>
    <row r="549" spans="1:9" x14ac:dyDescent="0.25">
      <c r="A549" s="125" t="s">
        <v>1608</v>
      </c>
      <c r="B549" s="125" t="s">
        <v>5522</v>
      </c>
      <c r="C549" s="125">
        <v>220</v>
      </c>
      <c r="D549" s="125" t="s">
        <v>5523</v>
      </c>
      <c r="E549" s="125" t="s">
        <v>5303</v>
      </c>
      <c r="F549" s="125" t="s">
        <v>5304</v>
      </c>
      <c r="G549" s="125" t="s">
        <v>5297</v>
      </c>
      <c r="H549" s="125" t="s">
        <v>5525</v>
      </c>
      <c r="I549" s="125" t="s">
        <v>5526</v>
      </c>
    </row>
    <row r="550" spans="1:9" x14ac:dyDescent="0.25">
      <c r="A550" s="125" t="s">
        <v>1369</v>
      </c>
      <c r="B550" s="125" t="s">
        <v>5522</v>
      </c>
      <c r="C550" s="125">
        <v>220</v>
      </c>
      <c r="D550" s="125" t="s">
        <v>5523</v>
      </c>
      <c r="E550" s="125" t="s">
        <v>5303</v>
      </c>
      <c r="F550" s="125" t="s">
        <v>5304</v>
      </c>
      <c r="G550" s="125" t="s">
        <v>5297</v>
      </c>
      <c r="H550" s="125" t="s">
        <v>1368</v>
      </c>
      <c r="I550" s="125" t="s">
        <v>1083</v>
      </c>
    </row>
    <row r="551" spans="1:9" x14ac:dyDescent="0.25">
      <c r="A551" s="125" t="s">
        <v>1095</v>
      </c>
      <c r="B551" s="125" t="s">
        <v>5522</v>
      </c>
      <c r="C551" s="125">
        <v>220</v>
      </c>
      <c r="D551" s="125" t="s">
        <v>5523</v>
      </c>
      <c r="E551" s="125" t="s">
        <v>5303</v>
      </c>
      <c r="F551" s="125" t="s">
        <v>5304</v>
      </c>
      <c r="G551" s="125" t="s">
        <v>5297</v>
      </c>
      <c r="H551" s="125" t="s">
        <v>1094</v>
      </c>
      <c r="I551" s="125" t="s">
        <v>5318</v>
      </c>
    </row>
    <row r="552" spans="1:9" x14ac:dyDescent="0.25">
      <c r="A552" s="125" t="s">
        <v>2062</v>
      </c>
      <c r="B552" s="125" t="s">
        <v>5522</v>
      </c>
      <c r="C552" s="125">
        <v>220</v>
      </c>
      <c r="D552" s="125" t="s">
        <v>5523</v>
      </c>
      <c r="E552" s="125" t="s">
        <v>5303</v>
      </c>
      <c r="F552" s="125" t="s">
        <v>5304</v>
      </c>
      <c r="G552" s="125" t="s">
        <v>5297</v>
      </c>
      <c r="H552" s="125" t="s">
        <v>1094</v>
      </c>
      <c r="I552" s="125" t="s">
        <v>5318</v>
      </c>
    </row>
    <row r="553" spans="1:9" x14ac:dyDescent="0.25">
      <c r="A553" s="125" t="s">
        <v>2307</v>
      </c>
      <c r="B553" s="125" t="s">
        <v>5522</v>
      </c>
      <c r="C553" s="125">
        <v>220</v>
      </c>
      <c r="D553" s="125" t="s">
        <v>5523</v>
      </c>
      <c r="E553" s="125" t="s">
        <v>5303</v>
      </c>
      <c r="F553" s="125" t="s">
        <v>5304</v>
      </c>
      <c r="G553" s="125" t="s">
        <v>5297</v>
      </c>
      <c r="H553" s="125" t="s">
        <v>1094</v>
      </c>
      <c r="I553" s="125" t="s">
        <v>5318</v>
      </c>
    </row>
    <row r="554" spans="1:9" x14ac:dyDescent="0.25">
      <c r="A554" s="125" t="s">
        <v>2333</v>
      </c>
      <c r="B554" s="125" t="s">
        <v>5522</v>
      </c>
      <c r="C554" s="125">
        <v>220</v>
      </c>
      <c r="D554" s="125" t="s">
        <v>5523</v>
      </c>
      <c r="E554" s="125" t="s">
        <v>5303</v>
      </c>
      <c r="F554" s="125" t="s">
        <v>5304</v>
      </c>
      <c r="G554" s="125" t="s">
        <v>5297</v>
      </c>
      <c r="H554" s="125" t="s">
        <v>1368</v>
      </c>
      <c r="I554" s="125" t="s">
        <v>1083</v>
      </c>
    </row>
    <row r="555" spans="1:9" x14ac:dyDescent="0.25">
      <c r="A555" s="125" t="s">
        <v>1634</v>
      </c>
      <c r="B555" s="125" t="s">
        <v>5522</v>
      </c>
      <c r="C555" s="125">
        <v>220</v>
      </c>
      <c r="D555" s="125" t="s">
        <v>5523</v>
      </c>
      <c r="E555" s="125" t="s">
        <v>5303</v>
      </c>
      <c r="F555" s="125" t="s">
        <v>5304</v>
      </c>
      <c r="G555" s="125" t="s">
        <v>5297</v>
      </c>
      <c r="H555" s="125" t="s">
        <v>1387</v>
      </c>
      <c r="I555" s="125" t="s">
        <v>5318</v>
      </c>
    </row>
    <row r="556" spans="1:9" x14ac:dyDescent="0.25">
      <c r="A556" s="125" t="s">
        <v>2277</v>
      </c>
      <c r="B556" s="125" t="s">
        <v>5522</v>
      </c>
      <c r="C556" s="125">
        <v>220</v>
      </c>
      <c r="D556" s="125" t="s">
        <v>5523</v>
      </c>
      <c r="E556" s="125" t="s">
        <v>5303</v>
      </c>
      <c r="F556" s="125" t="s">
        <v>5304</v>
      </c>
      <c r="G556" s="125" t="s">
        <v>5297</v>
      </c>
      <c r="H556" s="125" t="s">
        <v>1387</v>
      </c>
      <c r="I556" s="125" t="s">
        <v>5318</v>
      </c>
    </row>
    <row r="557" spans="1:9" x14ac:dyDescent="0.25">
      <c r="A557" s="125" t="s">
        <v>1993</v>
      </c>
      <c r="B557" s="125" t="s">
        <v>5320</v>
      </c>
      <c r="C557" s="125">
        <v>234</v>
      </c>
      <c r="D557" s="125" t="s">
        <v>5321</v>
      </c>
      <c r="E557" s="125" t="s">
        <v>5303</v>
      </c>
      <c r="F557" s="125" t="s">
        <v>5304</v>
      </c>
      <c r="G557" s="125" t="s">
        <v>5297</v>
      </c>
      <c r="H557" s="125" t="s">
        <v>371</v>
      </c>
      <c r="I557" s="125" t="s">
        <v>371</v>
      </c>
    </row>
    <row r="558" spans="1:9" x14ac:dyDescent="0.25">
      <c r="A558" s="125" t="s">
        <v>1388</v>
      </c>
      <c r="B558" s="125" t="s">
        <v>5522</v>
      </c>
      <c r="C558" s="125">
        <v>220</v>
      </c>
      <c r="D558" s="125" t="s">
        <v>5523</v>
      </c>
      <c r="E558" s="125" t="s">
        <v>5303</v>
      </c>
      <c r="F558" s="125" t="s">
        <v>5304</v>
      </c>
      <c r="G558" s="125" t="s">
        <v>5297</v>
      </c>
      <c r="H558" s="125" t="s">
        <v>1387</v>
      </c>
      <c r="I558" s="125" t="s">
        <v>5318</v>
      </c>
    </row>
    <row r="559" spans="1:9" x14ac:dyDescent="0.25">
      <c r="A559" s="125" t="s">
        <v>2059</v>
      </c>
      <c r="B559" s="125" t="s">
        <v>5320</v>
      </c>
      <c r="C559" s="125">
        <v>234</v>
      </c>
      <c r="D559" s="125" t="s">
        <v>5321</v>
      </c>
      <c r="E559" s="125" t="s">
        <v>5303</v>
      </c>
      <c r="F559" s="125" t="s">
        <v>5304</v>
      </c>
      <c r="G559" s="125" t="s">
        <v>5297</v>
      </c>
      <c r="H559" s="125" t="s">
        <v>5322</v>
      </c>
      <c r="I559" s="125" t="s">
        <v>5318</v>
      </c>
    </row>
    <row r="560" spans="1:9" x14ac:dyDescent="0.25">
      <c r="A560" s="125" t="s">
        <v>2292</v>
      </c>
      <c r="B560" s="125" t="s">
        <v>5320</v>
      </c>
      <c r="C560" s="125">
        <v>234</v>
      </c>
      <c r="D560" s="125" t="s">
        <v>5321</v>
      </c>
      <c r="E560" s="125" t="s">
        <v>5303</v>
      </c>
      <c r="F560" s="125" t="s">
        <v>5304</v>
      </c>
      <c r="G560" s="125" t="s">
        <v>5297</v>
      </c>
      <c r="H560" s="125" t="s">
        <v>371</v>
      </c>
      <c r="I560" s="125" t="s">
        <v>371</v>
      </c>
    </row>
    <row r="561" spans="1:9" x14ac:dyDescent="0.25">
      <c r="A561" s="125" t="s">
        <v>2146</v>
      </c>
      <c r="B561" s="125" t="s">
        <v>5320</v>
      </c>
      <c r="C561" s="125">
        <v>234</v>
      </c>
      <c r="D561" s="125" t="s">
        <v>5321</v>
      </c>
      <c r="E561" s="125" t="s">
        <v>5303</v>
      </c>
      <c r="F561" s="125" t="s">
        <v>5304</v>
      </c>
      <c r="G561" s="125" t="s">
        <v>5297</v>
      </c>
      <c r="H561" s="125" t="s">
        <v>5322</v>
      </c>
      <c r="I561" s="125" t="s">
        <v>5318</v>
      </c>
    </row>
    <row r="562" spans="1:9" x14ac:dyDescent="0.25">
      <c r="A562" s="125" t="s">
        <v>3477</v>
      </c>
      <c r="B562" s="125" t="s">
        <v>5522</v>
      </c>
      <c r="C562" s="125">
        <v>220</v>
      </c>
      <c r="D562" s="125" t="s">
        <v>5523</v>
      </c>
      <c r="E562" s="125" t="s">
        <v>5303</v>
      </c>
      <c r="F562" s="125" t="s">
        <v>5304</v>
      </c>
      <c r="G562" s="125" t="s">
        <v>5297</v>
      </c>
      <c r="H562" s="125" t="s">
        <v>1368</v>
      </c>
      <c r="I562" s="125" t="s">
        <v>1083</v>
      </c>
    </row>
    <row r="563" spans="1:9" x14ac:dyDescent="0.25">
      <c r="A563" s="125" t="s">
        <v>2471</v>
      </c>
      <c r="B563" s="125" t="s">
        <v>5522</v>
      </c>
      <c r="C563" s="125">
        <v>220</v>
      </c>
      <c r="D563" s="125" t="s">
        <v>5523</v>
      </c>
      <c r="E563" s="125" t="s">
        <v>5303</v>
      </c>
      <c r="F563" s="125" t="s">
        <v>5304</v>
      </c>
      <c r="G563" s="125" t="s">
        <v>5297</v>
      </c>
      <c r="H563" s="125" t="s">
        <v>5322</v>
      </c>
      <c r="I563" s="125" t="s">
        <v>5318</v>
      </c>
    </row>
    <row r="564" spans="1:9" x14ac:dyDescent="0.25">
      <c r="A564" s="125" t="s">
        <v>1748</v>
      </c>
      <c r="B564" s="125" t="s">
        <v>5522</v>
      </c>
      <c r="C564" s="125">
        <v>220</v>
      </c>
      <c r="D564" s="125" t="s">
        <v>5523</v>
      </c>
      <c r="E564" s="125" t="s">
        <v>5303</v>
      </c>
      <c r="F564" s="125" t="s">
        <v>5304</v>
      </c>
      <c r="G564" s="125" t="s">
        <v>5297</v>
      </c>
      <c r="H564" s="125" t="s">
        <v>1368</v>
      </c>
      <c r="I564" s="125" t="s">
        <v>1083</v>
      </c>
    </row>
    <row r="565" spans="1:9" x14ac:dyDescent="0.25">
      <c r="A565" s="125" t="s">
        <v>1912</v>
      </c>
      <c r="B565" s="125" t="s">
        <v>5522</v>
      </c>
      <c r="C565" s="125">
        <v>220</v>
      </c>
      <c r="D565" s="125" t="s">
        <v>5523</v>
      </c>
      <c r="E565" s="125" t="s">
        <v>5303</v>
      </c>
      <c r="F565" s="125" t="s">
        <v>5304</v>
      </c>
      <c r="G565" s="125" t="s">
        <v>5297</v>
      </c>
      <c r="H565" s="125" t="s">
        <v>1368</v>
      </c>
      <c r="I565" s="125" t="s">
        <v>1083</v>
      </c>
    </row>
    <row r="566" spans="1:9" x14ac:dyDescent="0.25">
      <c r="A566" s="125" t="s">
        <v>2435</v>
      </c>
      <c r="B566" s="125" t="s">
        <v>5522</v>
      </c>
      <c r="C566" s="125">
        <v>220</v>
      </c>
      <c r="D566" s="125" t="s">
        <v>5523</v>
      </c>
      <c r="E566" s="125" t="s">
        <v>5303</v>
      </c>
      <c r="F566" s="125" t="s">
        <v>5304</v>
      </c>
      <c r="G566" s="125" t="s">
        <v>5297</v>
      </c>
      <c r="H566" s="125" t="s">
        <v>1094</v>
      </c>
      <c r="I566" s="125" t="s">
        <v>5318</v>
      </c>
    </row>
    <row r="567" spans="1:9" x14ac:dyDescent="0.25">
      <c r="A567" s="125" t="s">
        <v>2379</v>
      </c>
      <c r="B567" s="125" t="s">
        <v>5522</v>
      </c>
      <c r="C567" s="125">
        <v>220</v>
      </c>
      <c r="D567" s="125" t="s">
        <v>5523</v>
      </c>
      <c r="E567" s="125" t="s">
        <v>5303</v>
      </c>
      <c r="F567" s="125" t="s">
        <v>5304</v>
      </c>
      <c r="G567" s="125" t="s">
        <v>5297</v>
      </c>
      <c r="H567" s="125" t="s">
        <v>1387</v>
      </c>
      <c r="I567" s="125" t="s">
        <v>5318</v>
      </c>
    </row>
    <row r="568" spans="1:9" x14ac:dyDescent="0.25">
      <c r="A568" s="125" t="s">
        <v>1998</v>
      </c>
      <c r="B568" s="125" t="s">
        <v>5323</v>
      </c>
      <c r="C568" s="125">
        <v>211</v>
      </c>
      <c r="D568" s="125" t="s">
        <v>5324</v>
      </c>
      <c r="E568" s="125" t="s">
        <v>5303</v>
      </c>
      <c r="F568" s="125" t="s">
        <v>5304</v>
      </c>
      <c r="G568" s="125" t="s">
        <v>5297</v>
      </c>
      <c r="H568" s="125" t="s">
        <v>5317</v>
      </c>
      <c r="I568" s="125" t="s">
        <v>5318</v>
      </c>
    </row>
    <row r="569" spans="1:9" x14ac:dyDescent="0.25">
      <c r="A569" s="125" t="s">
        <v>1295</v>
      </c>
      <c r="B569" s="125" t="s">
        <v>5339</v>
      </c>
      <c r="C569" s="125">
        <v>235</v>
      </c>
      <c r="D569" s="140" t="s">
        <v>5340</v>
      </c>
      <c r="E569" s="125" t="s">
        <v>5341</v>
      </c>
      <c r="F569" s="140" t="s">
        <v>5342</v>
      </c>
      <c r="G569" s="125" t="s">
        <v>5297</v>
      </c>
      <c r="H569" s="125" t="s">
        <v>5527</v>
      </c>
      <c r="I569" s="125" t="s">
        <v>5495</v>
      </c>
    </row>
    <row r="570" spans="1:9" x14ac:dyDescent="0.25">
      <c r="A570" s="125" t="s">
        <v>1301</v>
      </c>
      <c r="B570" s="125" t="s">
        <v>5323</v>
      </c>
      <c r="C570" s="125">
        <v>211</v>
      </c>
      <c r="D570" s="125" t="s">
        <v>5324</v>
      </c>
      <c r="E570" s="125" t="s">
        <v>5303</v>
      </c>
      <c r="F570" s="125" t="s">
        <v>5304</v>
      </c>
      <c r="G570" s="125" t="s">
        <v>5297</v>
      </c>
      <c r="H570" s="125" t="s">
        <v>5494</v>
      </c>
      <c r="I570" s="125" t="s">
        <v>5495</v>
      </c>
    </row>
    <row r="571" spans="1:9" x14ac:dyDescent="0.25">
      <c r="A571" s="125" t="s">
        <v>2134</v>
      </c>
      <c r="B571" s="125" t="s">
        <v>5339</v>
      </c>
      <c r="C571" s="125">
        <v>235</v>
      </c>
      <c r="D571" s="140" t="s">
        <v>5340</v>
      </c>
      <c r="E571" s="125" t="s">
        <v>5341</v>
      </c>
      <c r="F571" s="140" t="s">
        <v>5342</v>
      </c>
      <c r="G571" s="125" t="s">
        <v>5297</v>
      </c>
      <c r="H571" s="125" t="s">
        <v>5527</v>
      </c>
      <c r="I571" s="125" t="s">
        <v>5495</v>
      </c>
    </row>
    <row r="572" spans="1:9" x14ac:dyDescent="0.25">
      <c r="A572" s="125" t="s">
        <v>1665</v>
      </c>
      <c r="B572" s="125" t="s">
        <v>5528</v>
      </c>
      <c r="C572" s="125">
        <v>282</v>
      </c>
      <c r="D572" s="125" t="s">
        <v>5529</v>
      </c>
      <c r="E572" s="125" t="s">
        <v>5341</v>
      </c>
      <c r="F572" s="140" t="s">
        <v>5342</v>
      </c>
      <c r="G572" s="125" t="s">
        <v>5297</v>
      </c>
      <c r="H572" s="125" t="s">
        <v>5527</v>
      </c>
      <c r="I572" s="125" t="s">
        <v>5495</v>
      </c>
    </row>
    <row r="573" spans="1:9" x14ac:dyDescent="0.25">
      <c r="A573" s="125" t="s">
        <v>2148</v>
      </c>
      <c r="B573" s="125" t="s">
        <v>5301</v>
      </c>
      <c r="C573" s="125">
        <v>249</v>
      </c>
      <c r="D573" s="125" t="s">
        <v>5326</v>
      </c>
      <c r="E573" s="125" t="s">
        <v>5303</v>
      </c>
      <c r="F573" s="125" t="s">
        <v>5304</v>
      </c>
      <c r="G573" s="125" t="s">
        <v>5297</v>
      </c>
      <c r="H573" s="125" t="s">
        <v>5527</v>
      </c>
      <c r="I573" s="125" t="s">
        <v>5495</v>
      </c>
    </row>
    <row r="574" spans="1:9" x14ac:dyDescent="0.25">
      <c r="A574" s="125" t="s">
        <v>2485</v>
      </c>
      <c r="B574" s="125" t="s">
        <v>5339</v>
      </c>
      <c r="C574" s="125">
        <v>235</v>
      </c>
      <c r="D574" s="140" t="s">
        <v>5340</v>
      </c>
      <c r="E574" s="125" t="s">
        <v>5341</v>
      </c>
      <c r="F574" s="140" t="s">
        <v>5342</v>
      </c>
      <c r="G574" s="125" t="s">
        <v>5297</v>
      </c>
      <c r="H574" s="125" t="s">
        <v>5527</v>
      </c>
      <c r="I574" s="125" t="s">
        <v>5495</v>
      </c>
    </row>
    <row r="575" spans="1:9" x14ac:dyDescent="0.25">
      <c r="A575" s="125" t="s">
        <v>2190</v>
      </c>
      <c r="B575" s="125" t="s">
        <v>5339</v>
      </c>
      <c r="C575" s="125">
        <v>235</v>
      </c>
      <c r="D575" s="140" t="s">
        <v>5340</v>
      </c>
      <c r="E575" s="125" t="s">
        <v>5341</v>
      </c>
      <c r="F575" s="140" t="s">
        <v>5342</v>
      </c>
      <c r="G575" s="125" t="s">
        <v>5297</v>
      </c>
      <c r="H575" s="125" t="s">
        <v>5527</v>
      </c>
      <c r="I575" s="125" t="s">
        <v>5495</v>
      </c>
    </row>
    <row r="576" spans="1:9" x14ac:dyDescent="0.25">
      <c r="A576" s="125" t="s">
        <v>1278</v>
      </c>
      <c r="B576" s="125" t="s">
        <v>5339</v>
      </c>
      <c r="C576" s="125">
        <v>235</v>
      </c>
      <c r="D576" s="140" t="s">
        <v>5340</v>
      </c>
      <c r="E576" s="125" t="s">
        <v>5341</v>
      </c>
      <c r="F576" s="140" t="s">
        <v>5342</v>
      </c>
      <c r="G576" s="125" t="s">
        <v>5297</v>
      </c>
      <c r="H576" s="125" t="s">
        <v>5527</v>
      </c>
      <c r="I576" s="125" t="s">
        <v>5495</v>
      </c>
    </row>
    <row r="577" spans="1:9" x14ac:dyDescent="0.25">
      <c r="A577" s="125" t="s">
        <v>1099</v>
      </c>
      <c r="B577" s="125" t="s">
        <v>5339</v>
      </c>
      <c r="C577" s="125">
        <v>235</v>
      </c>
      <c r="D577" s="140" t="s">
        <v>5340</v>
      </c>
      <c r="E577" s="125" t="s">
        <v>5341</v>
      </c>
      <c r="F577" s="140" t="s">
        <v>5342</v>
      </c>
      <c r="G577" s="125" t="s">
        <v>5297</v>
      </c>
      <c r="H577" s="125" t="s">
        <v>5494</v>
      </c>
      <c r="I577" s="125" t="s">
        <v>5495</v>
      </c>
    </row>
    <row r="578" spans="1:9" x14ac:dyDescent="0.25">
      <c r="A578" s="125" t="s">
        <v>1316</v>
      </c>
      <c r="B578" s="125" t="s">
        <v>5339</v>
      </c>
      <c r="C578" s="125">
        <v>235</v>
      </c>
      <c r="D578" s="140" t="s">
        <v>5340</v>
      </c>
      <c r="E578" s="125" t="s">
        <v>5341</v>
      </c>
      <c r="F578" s="140" t="s">
        <v>5342</v>
      </c>
      <c r="G578" s="125" t="s">
        <v>5297</v>
      </c>
      <c r="H578" s="125" t="s">
        <v>5494</v>
      </c>
      <c r="I578" s="125" t="s">
        <v>5495</v>
      </c>
    </row>
    <row r="579" spans="1:9" x14ac:dyDescent="0.25">
      <c r="A579" s="125" t="s">
        <v>2236</v>
      </c>
      <c r="B579" s="125" t="s">
        <v>5339</v>
      </c>
      <c r="C579" s="125">
        <v>235</v>
      </c>
      <c r="D579" s="140" t="s">
        <v>5340</v>
      </c>
      <c r="E579" s="125" t="s">
        <v>5341</v>
      </c>
      <c r="F579" s="140" t="s">
        <v>5342</v>
      </c>
      <c r="G579" s="125" t="s">
        <v>5297</v>
      </c>
      <c r="H579" s="125" t="s">
        <v>5494</v>
      </c>
      <c r="I579" s="125" t="s">
        <v>5495</v>
      </c>
    </row>
    <row r="580" spans="1:9" x14ac:dyDescent="0.25">
      <c r="A580" s="125" t="s">
        <v>2151</v>
      </c>
      <c r="B580" s="125" t="s">
        <v>5339</v>
      </c>
      <c r="C580" s="125">
        <v>235</v>
      </c>
      <c r="D580" s="140" t="s">
        <v>5340</v>
      </c>
      <c r="E580" s="125" t="s">
        <v>5341</v>
      </c>
      <c r="F580" s="140" t="s">
        <v>5342</v>
      </c>
      <c r="G580" s="125" t="s">
        <v>5297</v>
      </c>
      <c r="H580" s="125" t="s">
        <v>5494</v>
      </c>
      <c r="I580" s="125" t="s">
        <v>5495</v>
      </c>
    </row>
    <row r="581" spans="1:9" x14ac:dyDescent="0.25">
      <c r="A581" s="125" t="s">
        <v>2066</v>
      </c>
      <c r="B581" s="125" t="s">
        <v>5376</v>
      </c>
      <c r="C581" s="125">
        <v>223</v>
      </c>
      <c r="D581" s="125" t="s">
        <v>5377</v>
      </c>
      <c r="E581" s="125" t="s">
        <v>5364</v>
      </c>
      <c r="F581" s="125" t="s">
        <v>5365</v>
      </c>
      <c r="G581" s="125" t="s">
        <v>5297</v>
      </c>
      <c r="H581" s="125" t="s">
        <v>1282</v>
      </c>
      <c r="I581" s="125" t="s">
        <v>5375</v>
      </c>
    </row>
    <row r="582" spans="1:9" x14ac:dyDescent="0.25">
      <c r="A582" s="125" t="s">
        <v>2188</v>
      </c>
      <c r="B582" s="125" t="s">
        <v>5376</v>
      </c>
      <c r="C582" s="125">
        <v>223</v>
      </c>
      <c r="D582" s="125" t="s">
        <v>5377</v>
      </c>
      <c r="E582" s="125" t="s">
        <v>5364</v>
      </c>
      <c r="F582" s="125" t="s">
        <v>5365</v>
      </c>
      <c r="G582" s="125" t="s">
        <v>5297</v>
      </c>
      <c r="H582" s="125" t="s">
        <v>2065</v>
      </c>
      <c r="I582" s="125" t="s">
        <v>2263</v>
      </c>
    </row>
    <row r="583" spans="1:9" x14ac:dyDescent="0.25">
      <c r="A583" s="125" t="s">
        <v>3048</v>
      </c>
      <c r="B583" s="125" t="s">
        <v>5376</v>
      </c>
      <c r="C583" s="125">
        <v>223</v>
      </c>
      <c r="D583" s="125" t="s">
        <v>5377</v>
      </c>
      <c r="E583" s="125" t="s">
        <v>5364</v>
      </c>
      <c r="F583" s="125" t="s">
        <v>5365</v>
      </c>
      <c r="G583" s="125" t="s">
        <v>5297</v>
      </c>
      <c r="H583" s="125" t="s">
        <v>5530</v>
      </c>
      <c r="I583" s="125" t="s">
        <v>2263</v>
      </c>
    </row>
    <row r="584" spans="1:9" x14ac:dyDescent="0.25">
      <c r="A584" s="125" t="s">
        <v>2186</v>
      </c>
      <c r="B584" s="125" t="s">
        <v>5376</v>
      </c>
      <c r="C584" s="125">
        <v>223</v>
      </c>
      <c r="D584" s="125" t="s">
        <v>5377</v>
      </c>
      <c r="E584" s="125" t="s">
        <v>5364</v>
      </c>
      <c r="F584" s="125" t="s">
        <v>5365</v>
      </c>
      <c r="G584" s="125" t="s">
        <v>5297</v>
      </c>
      <c r="H584" s="125" t="s">
        <v>5530</v>
      </c>
      <c r="I584" s="125" t="s">
        <v>2263</v>
      </c>
    </row>
    <row r="585" spans="1:9" x14ac:dyDescent="0.25">
      <c r="A585" s="125" t="s">
        <v>2023</v>
      </c>
      <c r="B585" s="125" t="s">
        <v>5376</v>
      </c>
      <c r="C585" s="125">
        <v>223</v>
      </c>
      <c r="D585" s="125" t="s">
        <v>5377</v>
      </c>
      <c r="E585" s="125" t="s">
        <v>5364</v>
      </c>
      <c r="F585" s="125" t="s">
        <v>5365</v>
      </c>
      <c r="G585" s="125" t="s">
        <v>5297</v>
      </c>
      <c r="H585" s="125" t="s">
        <v>5530</v>
      </c>
      <c r="I585" s="125" t="s">
        <v>2263</v>
      </c>
    </row>
    <row r="586" spans="1:9" x14ac:dyDescent="0.25">
      <c r="A586" s="125" t="s">
        <v>3170</v>
      </c>
      <c r="B586" s="125" t="s">
        <v>5373</v>
      </c>
      <c r="C586" s="125">
        <v>207</v>
      </c>
      <c r="D586" s="125" t="s">
        <v>5374</v>
      </c>
      <c r="E586" s="125" t="s">
        <v>5364</v>
      </c>
      <c r="F586" s="125" t="s">
        <v>5365</v>
      </c>
      <c r="G586" s="125" t="s">
        <v>5297</v>
      </c>
      <c r="H586" s="125" t="s">
        <v>1282</v>
      </c>
      <c r="I586" s="125" t="s">
        <v>5375</v>
      </c>
    </row>
    <row r="587" spans="1:9" x14ac:dyDescent="0.25">
      <c r="A587" s="125" t="s">
        <v>3235</v>
      </c>
      <c r="B587" s="125" t="s">
        <v>5373</v>
      </c>
      <c r="C587" s="125">
        <v>207</v>
      </c>
      <c r="D587" s="125" t="s">
        <v>5374</v>
      </c>
      <c r="E587" s="125" t="s">
        <v>5364</v>
      </c>
      <c r="F587" s="125" t="s">
        <v>5365</v>
      </c>
      <c r="G587" s="125" t="s">
        <v>5297</v>
      </c>
      <c r="H587" s="125" t="s">
        <v>1282</v>
      </c>
      <c r="I587" s="125" t="s">
        <v>5375</v>
      </c>
    </row>
    <row r="588" spans="1:9" x14ac:dyDescent="0.25">
      <c r="A588" s="125" t="s">
        <v>1250</v>
      </c>
      <c r="B588" s="125" t="s">
        <v>5373</v>
      </c>
      <c r="C588" s="125">
        <v>207</v>
      </c>
      <c r="D588" s="125" t="s">
        <v>5374</v>
      </c>
      <c r="E588" s="125" t="s">
        <v>5364</v>
      </c>
      <c r="F588" s="125" t="s">
        <v>5365</v>
      </c>
      <c r="G588" s="125" t="s">
        <v>5297</v>
      </c>
      <c r="H588" s="125" t="s">
        <v>1282</v>
      </c>
      <c r="I588" s="125" t="s">
        <v>5375</v>
      </c>
    </row>
    <row r="589" spans="1:9" x14ac:dyDescent="0.25">
      <c r="A589" s="125" t="s">
        <v>2115</v>
      </c>
      <c r="B589" s="125" t="s">
        <v>5373</v>
      </c>
      <c r="C589" s="125">
        <v>207</v>
      </c>
      <c r="D589" s="125" t="s">
        <v>5374</v>
      </c>
      <c r="E589" s="125" t="s">
        <v>5364</v>
      </c>
      <c r="F589" s="125" t="s">
        <v>5365</v>
      </c>
      <c r="G589" s="125" t="s">
        <v>5297</v>
      </c>
      <c r="H589" s="125" t="s">
        <v>1282</v>
      </c>
      <c r="I589" s="125" t="s">
        <v>5375</v>
      </c>
    </row>
    <row r="590" spans="1:9" x14ac:dyDescent="0.25">
      <c r="A590" s="125" t="s">
        <v>5531</v>
      </c>
      <c r="B590" s="125" t="s">
        <v>5373</v>
      </c>
      <c r="C590" s="125">
        <v>207</v>
      </c>
      <c r="D590" s="125" t="s">
        <v>5374</v>
      </c>
      <c r="E590" s="125" t="s">
        <v>5364</v>
      </c>
      <c r="F590" s="125" t="s">
        <v>5365</v>
      </c>
      <c r="G590" s="125" t="s">
        <v>5297</v>
      </c>
      <c r="H590" s="125" t="s">
        <v>2065</v>
      </c>
      <c r="I590" s="125" t="s">
        <v>2263</v>
      </c>
    </row>
    <row r="591" spans="1:9" x14ac:dyDescent="0.25">
      <c r="A591" s="125" t="s">
        <v>2649</v>
      </c>
      <c r="B591" s="125" t="s">
        <v>5376</v>
      </c>
      <c r="C591" s="125">
        <v>223</v>
      </c>
      <c r="D591" s="125" t="s">
        <v>5377</v>
      </c>
      <c r="E591" s="125" t="s">
        <v>5364</v>
      </c>
      <c r="F591" s="125" t="s">
        <v>5365</v>
      </c>
      <c r="G591" s="125" t="s">
        <v>5297</v>
      </c>
      <c r="H591" s="125" t="s">
        <v>2065</v>
      </c>
      <c r="I591" s="125" t="s">
        <v>2263</v>
      </c>
    </row>
    <row r="592" spans="1:9" x14ac:dyDescent="0.25">
      <c r="A592" s="125" t="s">
        <v>3264</v>
      </c>
      <c r="B592" s="125" t="s">
        <v>5376</v>
      </c>
      <c r="C592" s="125">
        <v>223</v>
      </c>
      <c r="D592" s="125" t="s">
        <v>5377</v>
      </c>
      <c r="E592" s="125" t="s">
        <v>5364</v>
      </c>
      <c r="F592" s="125" t="s">
        <v>5365</v>
      </c>
      <c r="G592" s="125" t="s">
        <v>5297</v>
      </c>
      <c r="H592" s="125" t="s">
        <v>1478</v>
      </c>
      <c r="I592" s="125" t="s">
        <v>2263</v>
      </c>
    </row>
    <row r="593" spans="1:9" x14ac:dyDescent="0.25">
      <c r="A593" s="125" t="s">
        <v>2197</v>
      </c>
      <c r="B593" s="125" t="s">
        <v>5376</v>
      </c>
      <c r="C593" s="125">
        <v>223</v>
      </c>
      <c r="D593" s="125" t="s">
        <v>5377</v>
      </c>
      <c r="E593" s="125" t="s">
        <v>5364</v>
      </c>
      <c r="F593" s="125" t="s">
        <v>5365</v>
      </c>
      <c r="G593" s="125" t="s">
        <v>5297</v>
      </c>
      <c r="H593" s="125" t="s">
        <v>1478</v>
      </c>
      <c r="I593" s="125" t="s">
        <v>2263</v>
      </c>
    </row>
    <row r="594" spans="1:9" x14ac:dyDescent="0.25">
      <c r="A594" s="125" t="s">
        <v>1283</v>
      </c>
      <c r="B594" s="125" t="s">
        <v>5373</v>
      </c>
      <c r="C594" s="125">
        <v>207</v>
      </c>
      <c r="D594" s="125" t="s">
        <v>5374</v>
      </c>
      <c r="E594" s="125" t="s">
        <v>5364</v>
      </c>
      <c r="F594" s="125" t="s">
        <v>5365</v>
      </c>
      <c r="G594" s="125" t="s">
        <v>5297</v>
      </c>
      <c r="H594" s="125" t="s">
        <v>1282</v>
      </c>
      <c r="I594" s="125" t="s">
        <v>5375</v>
      </c>
    </row>
    <row r="595" spans="1:9" x14ac:dyDescent="0.25">
      <c r="A595" s="125" t="s">
        <v>2032</v>
      </c>
      <c r="B595" s="125" t="s">
        <v>5373</v>
      </c>
      <c r="C595" s="125">
        <v>207</v>
      </c>
      <c r="D595" s="125" t="s">
        <v>5374</v>
      </c>
      <c r="E595" s="125" t="s">
        <v>5364</v>
      </c>
      <c r="F595" s="125" t="s">
        <v>5365</v>
      </c>
      <c r="G595" s="125" t="s">
        <v>5297</v>
      </c>
      <c r="H595" s="125" t="s">
        <v>1282</v>
      </c>
      <c r="I595" s="125" t="s">
        <v>5375</v>
      </c>
    </row>
    <row r="596" spans="1:9" x14ac:dyDescent="0.25">
      <c r="A596" s="125" t="s">
        <v>3162</v>
      </c>
      <c r="B596" s="125" t="s">
        <v>5373</v>
      </c>
      <c r="C596" s="125">
        <v>207</v>
      </c>
      <c r="D596" s="125" t="s">
        <v>5374</v>
      </c>
      <c r="E596" s="125" t="s">
        <v>5364</v>
      </c>
      <c r="F596" s="125" t="s">
        <v>5365</v>
      </c>
      <c r="G596" s="125" t="s">
        <v>5297</v>
      </c>
      <c r="H596" s="125" t="s">
        <v>1282</v>
      </c>
      <c r="I596" s="125" t="s">
        <v>5375</v>
      </c>
    </row>
    <row r="597" spans="1:9" x14ac:dyDescent="0.25">
      <c r="A597" s="125" t="s">
        <v>1824</v>
      </c>
      <c r="B597" s="125" t="s">
        <v>5373</v>
      </c>
      <c r="C597" s="125">
        <v>207</v>
      </c>
      <c r="D597" s="125" t="s">
        <v>5374</v>
      </c>
      <c r="E597" s="125" t="s">
        <v>5364</v>
      </c>
      <c r="F597" s="125" t="s">
        <v>5365</v>
      </c>
      <c r="G597" s="125" t="s">
        <v>5297</v>
      </c>
      <c r="H597" s="125" t="s">
        <v>1282</v>
      </c>
      <c r="I597" s="125" t="s">
        <v>5375</v>
      </c>
    </row>
    <row r="598" spans="1:9" x14ac:dyDescent="0.25">
      <c r="A598" s="125" t="s">
        <v>2871</v>
      </c>
      <c r="B598" s="125" t="s">
        <v>5376</v>
      </c>
      <c r="C598" s="125">
        <v>223</v>
      </c>
      <c r="D598" s="125" t="s">
        <v>5377</v>
      </c>
      <c r="E598" s="125" t="s">
        <v>5364</v>
      </c>
      <c r="F598" s="125" t="s">
        <v>5365</v>
      </c>
      <c r="G598" s="125" t="s">
        <v>5297</v>
      </c>
      <c r="H598" s="125" t="s">
        <v>2065</v>
      </c>
      <c r="I598" s="125" t="s">
        <v>2263</v>
      </c>
    </row>
    <row r="599" spans="1:9" x14ac:dyDescent="0.25">
      <c r="A599" s="125" t="s">
        <v>2399</v>
      </c>
      <c r="B599" s="125" t="s">
        <v>5532</v>
      </c>
      <c r="C599" s="125">
        <v>704</v>
      </c>
      <c r="D599" s="125" t="s">
        <v>5533</v>
      </c>
      <c r="E599" s="125" t="s">
        <v>5270</v>
      </c>
      <c r="F599" s="125" t="s">
        <v>5271</v>
      </c>
      <c r="G599" s="125" t="s">
        <v>5270</v>
      </c>
      <c r="H599" s="125" t="s">
        <v>5534</v>
      </c>
      <c r="I599" s="125" t="s">
        <v>5535</v>
      </c>
    </row>
    <row r="600" spans="1:9" x14ac:dyDescent="0.25">
      <c r="A600" s="125" t="s">
        <v>2694</v>
      </c>
      <c r="B600" s="125" t="s">
        <v>5268</v>
      </c>
      <c r="C600" s="125">
        <v>708</v>
      </c>
      <c r="D600" s="125" t="s">
        <v>5269</v>
      </c>
      <c r="E600" s="125" t="s">
        <v>5270</v>
      </c>
      <c r="F600" s="125" t="s">
        <v>5271</v>
      </c>
      <c r="G600" s="125" t="s">
        <v>5270</v>
      </c>
      <c r="H600" s="125" t="s">
        <v>5535</v>
      </c>
      <c r="I600" s="125" t="s">
        <v>5535</v>
      </c>
    </row>
    <row r="601" spans="1:9" x14ac:dyDescent="0.25">
      <c r="A601" s="125" t="s">
        <v>2296</v>
      </c>
      <c r="B601" s="125" t="s">
        <v>5532</v>
      </c>
      <c r="C601" s="125">
        <v>704</v>
      </c>
      <c r="D601" s="125" t="s">
        <v>5533</v>
      </c>
      <c r="E601" s="125" t="s">
        <v>5270</v>
      </c>
      <c r="F601" s="125" t="s">
        <v>5271</v>
      </c>
      <c r="G601" s="125" t="s">
        <v>5270</v>
      </c>
      <c r="H601" s="125" t="s">
        <v>5535</v>
      </c>
      <c r="I601" s="125" t="s">
        <v>5535</v>
      </c>
    </row>
    <row r="602" spans="1:9" x14ac:dyDescent="0.25">
      <c r="A602" s="125" t="s">
        <v>2833</v>
      </c>
      <c r="B602" s="125" t="s">
        <v>5532</v>
      </c>
      <c r="C602" s="125">
        <v>704</v>
      </c>
      <c r="D602" s="125" t="s">
        <v>5533</v>
      </c>
      <c r="E602" s="125" t="s">
        <v>5270</v>
      </c>
      <c r="F602" s="125" t="s">
        <v>5271</v>
      </c>
      <c r="G602" s="125" t="s">
        <v>5270</v>
      </c>
      <c r="H602" s="125" t="s">
        <v>5534</v>
      </c>
      <c r="I602" s="125" t="s">
        <v>5535</v>
      </c>
    </row>
    <row r="603" spans="1:9" x14ac:dyDescent="0.25">
      <c r="A603" s="125" t="s">
        <v>2526</v>
      </c>
      <c r="B603" s="125" t="s">
        <v>5532</v>
      </c>
      <c r="C603" s="125">
        <v>704</v>
      </c>
      <c r="D603" s="125" t="s">
        <v>5533</v>
      </c>
      <c r="E603" s="125" t="s">
        <v>5270</v>
      </c>
      <c r="F603" s="125" t="s">
        <v>5271</v>
      </c>
      <c r="G603" s="125" t="s">
        <v>5270</v>
      </c>
      <c r="H603" s="125" t="s">
        <v>5534</v>
      </c>
      <c r="I603" s="125" t="s">
        <v>5535</v>
      </c>
    </row>
    <row r="604" spans="1:9" x14ac:dyDescent="0.25">
      <c r="A604" s="125" t="s">
        <v>1825</v>
      </c>
      <c r="B604" s="125" t="s">
        <v>5532</v>
      </c>
      <c r="C604" s="125">
        <v>704</v>
      </c>
      <c r="D604" s="125" t="s">
        <v>5533</v>
      </c>
      <c r="E604" s="125" t="s">
        <v>5270</v>
      </c>
      <c r="F604" s="125" t="s">
        <v>5271</v>
      </c>
      <c r="G604" s="125" t="s">
        <v>5270</v>
      </c>
      <c r="H604" s="125" t="s">
        <v>5534</v>
      </c>
      <c r="I604" s="125" t="s">
        <v>5535</v>
      </c>
    </row>
    <row r="605" spans="1:9" x14ac:dyDescent="0.25">
      <c r="A605" s="125" t="s">
        <v>2337</v>
      </c>
      <c r="B605" s="125" t="s">
        <v>5532</v>
      </c>
      <c r="C605" s="125">
        <v>704</v>
      </c>
      <c r="D605" s="125" t="s">
        <v>5533</v>
      </c>
      <c r="E605" s="125" t="s">
        <v>5270</v>
      </c>
      <c r="F605" s="125" t="s">
        <v>5271</v>
      </c>
      <c r="G605" s="125" t="s">
        <v>5270</v>
      </c>
      <c r="H605" s="125" t="s">
        <v>5534</v>
      </c>
      <c r="I605" s="125" t="s">
        <v>5535</v>
      </c>
    </row>
    <row r="606" spans="1:9" x14ac:dyDescent="0.25">
      <c r="A606" s="125" t="s">
        <v>5536</v>
      </c>
      <c r="B606" s="125" t="s">
        <v>5532</v>
      </c>
      <c r="C606" s="125">
        <v>704</v>
      </c>
      <c r="D606" s="125" t="s">
        <v>5533</v>
      </c>
      <c r="E606" s="125" t="s">
        <v>5270</v>
      </c>
      <c r="F606" s="125" t="s">
        <v>5271</v>
      </c>
      <c r="G606" s="125" t="s">
        <v>5270</v>
      </c>
      <c r="H606" s="125" t="s">
        <v>2689</v>
      </c>
      <c r="I606" s="125" t="s">
        <v>2689</v>
      </c>
    </row>
    <row r="607" spans="1:9" x14ac:dyDescent="0.25">
      <c r="A607" s="125" t="s">
        <v>2056</v>
      </c>
      <c r="B607" s="125" t="s">
        <v>5532</v>
      </c>
      <c r="C607" s="125">
        <v>704</v>
      </c>
      <c r="D607" s="125" t="s">
        <v>5533</v>
      </c>
      <c r="E607" s="125" t="s">
        <v>5270</v>
      </c>
      <c r="F607" s="125" t="s">
        <v>5271</v>
      </c>
      <c r="G607" s="125" t="s">
        <v>5270</v>
      </c>
      <c r="H607" s="125" t="s">
        <v>5535</v>
      </c>
      <c r="I607" s="125" t="s">
        <v>5535</v>
      </c>
    </row>
    <row r="608" spans="1:9" x14ac:dyDescent="0.25">
      <c r="A608" s="125" t="s">
        <v>2704</v>
      </c>
      <c r="B608" s="125" t="s">
        <v>5268</v>
      </c>
      <c r="C608" s="125">
        <v>708</v>
      </c>
      <c r="D608" s="125" t="s">
        <v>5269</v>
      </c>
      <c r="E608" s="125" t="s">
        <v>5270</v>
      </c>
      <c r="F608" s="125" t="s">
        <v>5271</v>
      </c>
      <c r="G608" s="125" t="s">
        <v>5270</v>
      </c>
      <c r="H608" s="125" t="s">
        <v>5535</v>
      </c>
      <c r="I608" s="125" t="s">
        <v>5535</v>
      </c>
    </row>
    <row r="609" spans="1:9" x14ac:dyDescent="0.25">
      <c r="A609" s="125" t="s">
        <v>1428</v>
      </c>
      <c r="B609" s="125" t="s">
        <v>5268</v>
      </c>
      <c r="C609" s="125">
        <v>708</v>
      </c>
      <c r="D609" s="125" t="s">
        <v>5269</v>
      </c>
      <c r="E609" s="125" t="s">
        <v>5270</v>
      </c>
      <c r="F609" s="125" t="s">
        <v>5271</v>
      </c>
      <c r="G609" s="125" t="s">
        <v>5270</v>
      </c>
      <c r="H609" s="125" t="s">
        <v>5535</v>
      </c>
      <c r="I609" s="125" t="s">
        <v>5535</v>
      </c>
    </row>
    <row r="610" spans="1:9" x14ac:dyDescent="0.25">
      <c r="A610" s="125" t="s">
        <v>1867</v>
      </c>
      <c r="B610" s="125" t="s">
        <v>5528</v>
      </c>
      <c r="C610" s="125">
        <v>282</v>
      </c>
      <c r="D610" s="125" t="s">
        <v>5529</v>
      </c>
      <c r="E610" s="125" t="s">
        <v>5341</v>
      </c>
      <c r="F610" s="140" t="s">
        <v>5342</v>
      </c>
      <c r="G610" s="125" t="s">
        <v>5297</v>
      </c>
      <c r="H610" s="125" t="s">
        <v>1396</v>
      </c>
      <c r="I610" s="125" t="s">
        <v>3487</v>
      </c>
    </row>
    <row r="611" spans="1:9" x14ac:dyDescent="0.25">
      <c r="A611" s="125" t="s">
        <v>1762</v>
      </c>
      <c r="B611" s="125" t="s">
        <v>5528</v>
      </c>
      <c r="C611" s="125">
        <v>282</v>
      </c>
      <c r="D611" s="125" t="s">
        <v>5529</v>
      </c>
      <c r="E611" s="125" t="s">
        <v>5341</v>
      </c>
      <c r="F611" s="140" t="s">
        <v>5342</v>
      </c>
      <c r="G611" s="125" t="s">
        <v>5297</v>
      </c>
      <c r="H611" s="125" t="s">
        <v>5537</v>
      </c>
      <c r="I611" s="125" t="s">
        <v>3487</v>
      </c>
    </row>
    <row r="612" spans="1:9" x14ac:dyDescent="0.25">
      <c r="A612" s="125" t="s">
        <v>2198</v>
      </c>
      <c r="B612" s="125" t="s">
        <v>5528</v>
      </c>
      <c r="C612" s="125">
        <v>282</v>
      </c>
      <c r="D612" s="125" t="s">
        <v>5529</v>
      </c>
      <c r="E612" s="125" t="s">
        <v>5341</v>
      </c>
      <c r="F612" s="140" t="s">
        <v>5342</v>
      </c>
      <c r="G612" s="125" t="s">
        <v>5297</v>
      </c>
      <c r="H612" s="125" t="s">
        <v>5537</v>
      </c>
      <c r="I612" s="125" t="s">
        <v>3487</v>
      </c>
    </row>
    <row r="613" spans="1:9" x14ac:dyDescent="0.25">
      <c r="A613" s="125" t="s">
        <v>1213</v>
      </c>
      <c r="B613" s="125" t="s">
        <v>5528</v>
      </c>
      <c r="C613" s="125">
        <v>282</v>
      </c>
      <c r="D613" s="125" t="s">
        <v>5529</v>
      </c>
      <c r="E613" s="125" t="s">
        <v>5341</v>
      </c>
      <c r="F613" s="140" t="s">
        <v>5342</v>
      </c>
      <c r="G613" s="125" t="s">
        <v>5297</v>
      </c>
      <c r="H613" s="125" t="s">
        <v>5538</v>
      </c>
      <c r="I613" s="125" t="s">
        <v>2878</v>
      </c>
    </row>
    <row r="614" spans="1:9" x14ac:dyDescent="0.25">
      <c r="A614" s="125" t="s">
        <v>1789</v>
      </c>
      <c r="B614" s="125" t="s">
        <v>5528</v>
      </c>
      <c r="C614" s="125">
        <v>282</v>
      </c>
      <c r="D614" s="125" t="s">
        <v>5529</v>
      </c>
      <c r="E614" s="125" t="s">
        <v>5341</v>
      </c>
      <c r="F614" s="140" t="s">
        <v>5342</v>
      </c>
      <c r="G614" s="125" t="s">
        <v>5297</v>
      </c>
      <c r="H614" s="125" t="s">
        <v>5538</v>
      </c>
      <c r="I614" s="125" t="s">
        <v>2878</v>
      </c>
    </row>
    <row r="615" spans="1:9" x14ac:dyDescent="0.25">
      <c r="A615" s="125" t="s">
        <v>1710</v>
      </c>
      <c r="B615" s="125" t="s">
        <v>5528</v>
      </c>
      <c r="C615" s="125">
        <v>282</v>
      </c>
      <c r="D615" s="125" t="s">
        <v>5529</v>
      </c>
      <c r="E615" s="125" t="s">
        <v>5341</v>
      </c>
      <c r="F615" s="140" t="s">
        <v>5342</v>
      </c>
      <c r="G615" s="125" t="s">
        <v>5297</v>
      </c>
      <c r="H615" s="125" t="s">
        <v>5537</v>
      </c>
      <c r="I615" s="125" t="s">
        <v>3487</v>
      </c>
    </row>
    <row r="616" spans="1:9" x14ac:dyDescent="0.25">
      <c r="A616" s="125" t="s">
        <v>2688</v>
      </c>
      <c r="B616" s="125" t="s">
        <v>5528</v>
      </c>
      <c r="C616" s="125">
        <v>282</v>
      </c>
      <c r="D616" s="125" t="s">
        <v>5529</v>
      </c>
      <c r="E616" s="125" t="s">
        <v>5341</v>
      </c>
      <c r="F616" s="140" t="s">
        <v>5342</v>
      </c>
      <c r="G616" s="125" t="s">
        <v>5297</v>
      </c>
      <c r="H616" s="125" t="s">
        <v>1396</v>
      </c>
      <c r="I616" s="125" t="s">
        <v>3487</v>
      </c>
    </row>
    <row r="617" spans="1:9" x14ac:dyDescent="0.25">
      <c r="A617" s="125" t="s">
        <v>2013</v>
      </c>
      <c r="B617" s="125" t="s">
        <v>5528</v>
      </c>
      <c r="C617" s="125">
        <v>282</v>
      </c>
      <c r="D617" s="125" t="s">
        <v>5529</v>
      </c>
      <c r="E617" s="125" t="s">
        <v>5341</v>
      </c>
      <c r="F617" s="140" t="s">
        <v>5342</v>
      </c>
      <c r="G617" s="125" t="s">
        <v>5297</v>
      </c>
      <c r="H617" s="125" t="s">
        <v>5539</v>
      </c>
      <c r="I617" s="125" t="s">
        <v>3487</v>
      </c>
    </row>
    <row r="618" spans="1:9" x14ac:dyDescent="0.25">
      <c r="A618" s="125" t="s">
        <v>2523</v>
      </c>
      <c r="B618" s="125" t="s">
        <v>5528</v>
      </c>
      <c r="C618" s="125">
        <v>282</v>
      </c>
      <c r="D618" s="125" t="s">
        <v>5529</v>
      </c>
      <c r="E618" s="125" t="s">
        <v>5341</v>
      </c>
      <c r="F618" s="140" t="s">
        <v>5342</v>
      </c>
      <c r="G618" s="125" t="s">
        <v>5297</v>
      </c>
      <c r="H618" s="125" t="s">
        <v>1396</v>
      </c>
      <c r="I618" s="125" t="s">
        <v>3487</v>
      </c>
    </row>
    <row r="619" spans="1:9" x14ac:dyDescent="0.25">
      <c r="A619" s="125" t="s">
        <v>1397</v>
      </c>
      <c r="B619" s="125" t="s">
        <v>5528</v>
      </c>
      <c r="C619" s="125">
        <v>282</v>
      </c>
      <c r="D619" s="125" t="s">
        <v>5529</v>
      </c>
      <c r="E619" s="125" t="s">
        <v>5341</v>
      </c>
      <c r="F619" s="140" t="s">
        <v>5342</v>
      </c>
      <c r="G619" s="125" t="s">
        <v>5297</v>
      </c>
      <c r="H619" s="125" t="s">
        <v>1396</v>
      </c>
      <c r="I619" s="125" t="s">
        <v>3487</v>
      </c>
    </row>
    <row r="620" spans="1:9" x14ac:dyDescent="0.25">
      <c r="A620" s="125" t="s">
        <v>3204</v>
      </c>
      <c r="B620" s="125" t="s">
        <v>5528</v>
      </c>
      <c r="C620" s="125">
        <v>282</v>
      </c>
      <c r="D620" s="125" t="s">
        <v>5529</v>
      </c>
      <c r="E620" s="125" t="s">
        <v>5341</v>
      </c>
      <c r="F620" s="140" t="s">
        <v>5342</v>
      </c>
      <c r="G620" s="125" t="s">
        <v>5297</v>
      </c>
      <c r="H620" s="125" t="s">
        <v>1396</v>
      </c>
      <c r="I620" s="125" t="s">
        <v>3487</v>
      </c>
    </row>
    <row r="621" spans="1:9" x14ac:dyDescent="0.25">
      <c r="A621" s="125" t="s">
        <v>1458</v>
      </c>
      <c r="B621" s="125" t="s">
        <v>5528</v>
      </c>
      <c r="C621" s="125">
        <v>282</v>
      </c>
      <c r="D621" s="125" t="s">
        <v>5529</v>
      </c>
      <c r="E621" s="125" t="s">
        <v>5341</v>
      </c>
      <c r="F621" s="140" t="s">
        <v>5342</v>
      </c>
      <c r="G621" s="125" t="s">
        <v>5297</v>
      </c>
      <c r="H621" s="125" t="s">
        <v>5540</v>
      </c>
      <c r="I621" s="125" t="s">
        <v>3487</v>
      </c>
    </row>
    <row r="622" spans="1:9" x14ac:dyDescent="0.25">
      <c r="A622" s="125" t="s">
        <v>1640</v>
      </c>
      <c r="B622" s="125" t="s">
        <v>5528</v>
      </c>
      <c r="C622" s="125">
        <v>282</v>
      </c>
      <c r="D622" s="125" t="s">
        <v>5529</v>
      </c>
      <c r="E622" s="125" t="s">
        <v>5341</v>
      </c>
      <c r="F622" s="140" t="s">
        <v>5342</v>
      </c>
      <c r="G622" s="125" t="s">
        <v>5297</v>
      </c>
      <c r="H622" s="125" t="s">
        <v>5540</v>
      </c>
      <c r="I622" s="125" t="s">
        <v>3487</v>
      </c>
    </row>
    <row r="623" spans="1:9" x14ac:dyDescent="0.25">
      <c r="A623" s="125" t="s">
        <v>2191</v>
      </c>
      <c r="B623" s="125" t="s">
        <v>5528</v>
      </c>
      <c r="C623" s="125">
        <v>282</v>
      </c>
      <c r="D623" s="125" t="s">
        <v>5529</v>
      </c>
      <c r="E623" s="125" t="s">
        <v>5341</v>
      </c>
      <c r="F623" s="140" t="s">
        <v>5342</v>
      </c>
      <c r="G623" s="125" t="s">
        <v>5297</v>
      </c>
      <c r="H623" s="125" t="s">
        <v>5539</v>
      </c>
      <c r="I623" s="125" t="s">
        <v>3487</v>
      </c>
    </row>
    <row r="624" spans="1:9" x14ac:dyDescent="0.25">
      <c r="A624" s="125" t="s">
        <v>1830</v>
      </c>
      <c r="B624" s="125" t="s">
        <v>5528</v>
      </c>
      <c r="C624" s="125">
        <v>282</v>
      </c>
      <c r="D624" s="125" t="s">
        <v>5529</v>
      </c>
      <c r="E624" s="125" t="s">
        <v>5341</v>
      </c>
      <c r="F624" s="140" t="s">
        <v>5342</v>
      </c>
      <c r="G624" s="125" t="s">
        <v>5297</v>
      </c>
      <c r="H624" s="125" t="s">
        <v>5539</v>
      </c>
      <c r="I624" s="125" t="s">
        <v>3487</v>
      </c>
    </row>
    <row r="625" spans="1:9" x14ac:dyDescent="0.25">
      <c r="A625" s="125" t="s">
        <v>1675</v>
      </c>
      <c r="B625" s="125" t="s">
        <v>5528</v>
      </c>
      <c r="C625" s="125">
        <v>282</v>
      </c>
      <c r="D625" s="125" t="s">
        <v>5529</v>
      </c>
      <c r="E625" s="125" t="s">
        <v>5341</v>
      </c>
      <c r="F625" s="140" t="s">
        <v>5342</v>
      </c>
      <c r="G625" s="125" t="s">
        <v>5297</v>
      </c>
      <c r="H625" s="125" t="s">
        <v>5539</v>
      </c>
      <c r="I625" s="125" t="s">
        <v>3487</v>
      </c>
    </row>
    <row r="626" spans="1:9" x14ac:dyDescent="0.25">
      <c r="A626" s="125" t="s">
        <v>2022</v>
      </c>
      <c r="B626" s="125" t="s">
        <v>5528</v>
      </c>
      <c r="C626" s="125">
        <v>282</v>
      </c>
      <c r="D626" s="125" t="s">
        <v>5529</v>
      </c>
      <c r="E626" s="125" t="s">
        <v>5341</v>
      </c>
      <c r="F626" s="140" t="s">
        <v>5342</v>
      </c>
      <c r="G626" s="125" t="s">
        <v>5297</v>
      </c>
      <c r="H626" s="125" t="s">
        <v>5540</v>
      </c>
      <c r="I626" s="125" t="s">
        <v>3487</v>
      </c>
    </row>
    <row r="627" spans="1:9" x14ac:dyDescent="0.25">
      <c r="A627" s="125" t="s">
        <v>2785</v>
      </c>
      <c r="B627" s="125" t="s">
        <v>5528</v>
      </c>
      <c r="C627" s="125">
        <v>282</v>
      </c>
      <c r="D627" s="125" t="s">
        <v>5529</v>
      </c>
      <c r="E627" s="125" t="s">
        <v>5341</v>
      </c>
      <c r="F627" s="140" t="s">
        <v>5342</v>
      </c>
      <c r="G627" s="125" t="s">
        <v>5297</v>
      </c>
      <c r="H627" s="125" t="s">
        <v>5537</v>
      </c>
      <c r="I627" s="125" t="s">
        <v>3487</v>
      </c>
    </row>
    <row r="628" spans="1:9" x14ac:dyDescent="0.25">
      <c r="A628" s="125" t="s">
        <v>1756</v>
      </c>
      <c r="B628" s="125" t="s">
        <v>5528</v>
      </c>
      <c r="C628" s="125">
        <v>282</v>
      </c>
      <c r="D628" s="125" t="s">
        <v>5529</v>
      </c>
      <c r="E628" s="125" t="s">
        <v>5341</v>
      </c>
      <c r="F628" s="140" t="s">
        <v>5342</v>
      </c>
      <c r="G628" s="125" t="s">
        <v>5297</v>
      </c>
      <c r="H628" s="125" t="s">
        <v>5541</v>
      </c>
      <c r="I628" s="125" t="s">
        <v>3487</v>
      </c>
    </row>
    <row r="629" spans="1:9" x14ac:dyDescent="0.25">
      <c r="A629" s="125" t="s">
        <v>1389</v>
      </c>
      <c r="B629" s="125" t="s">
        <v>5528</v>
      </c>
      <c r="C629" s="125">
        <v>282</v>
      </c>
      <c r="D629" s="125" t="s">
        <v>5529</v>
      </c>
      <c r="E629" s="125" t="s">
        <v>5341</v>
      </c>
      <c r="F629" s="140" t="s">
        <v>5342</v>
      </c>
      <c r="G629" s="125" t="s">
        <v>5297</v>
      </c>
      <c r="H629" s="125" t="s">
        <v>371</v>
      </c>
      <c r="I629" s="125" t="s">
        <v>371</v>
      </c>
    </row>
    <row r="630" spans="1:9" x14ac:dyDescent="0.25">
      <c r="A630" s="125" t="s">
        <v>2995</v>
      </c>
      <c r="B630" s="125" t="s">
        <v>5528</v>
      </c>
      <c r="C630" s="125">
        <v>282</v>
      </c>
      <c r="D630" s="125" t="s">
        <v>5529</v>
      </c>
      <c r="E630" s="125" t="s">
        <v>5341</v>
      </c>
      <c r="F630" s="140" t="s">
        <v>5342</v>
      </c>
      <c r="G630" s="125" t="s">
        <v>5297</v>
      </c>
      <c r="H630" s="125" t="s">
        <v>1396</v>
      </c>
      <c r="I630" s="125" t="s">
        <v>3487</v>
      </c>
    </row>
    <row r="631" spans="1:9" x14ac:dyDescent="0.25">
      <c r="A631" s="125" t="s">
        <v>2529</v>
      </c>
      <c r="B631" s="125" t="s">
        <v>5528</v>
      </c>
      <c r="C631" s="125">
        <v>282</v>
      </c>
      <c r="D631" s="125" t="s">
        <v>5529</v>
      </c>
      <c r="E631" s="125" t="s">
        <v>5341</v>
      </c>
      <c r="F631" s="140" t="s">
        <v>5342</v>
      </c>
      <c r="G631" s="125" t="s">
        <v>5297</v>
      </c>
      <c r="H631" s="125" t="s">
        <v>5542</v>
      </c>
      <c r="I631" s="125" t="s">
        <v>5526</v>
      </c>
    </row>
    <row r="632" spans="1:9" x14ac:dyDescent="0.25">
      <c r="A632" s="125" t="s">
        <v>3056</v>
      </c>
      <c r="B632" s="125" t="s">
        <v>5528</v>
      </c>
      <c r="C632" s="125">
        <v>282</v>
      </c>
      <c r="D632" s="125" t="s">
        <v>5529</v>
      </c>
      <c r="E632" s="125" t="s">
        <v>5341</v>
      </c>
      <c r="F632" s="140" t="s">
        <v>5342</v>
      </c>
      <c r="G632" s="125" t="s">
        <v>5297</v>
      </c>
      <c r="H632" s="125" t="s">
        <v>5539</v>
      </c>
      <c r="I632" s="125" t="s">
        <v>3487</v>
      </c>
    </row>
    <row r="633" spans="1:9" x14ac:dyDescent="0.25">
      <c r="A633" s="125" t="s">
        <v>1906</v>
      </c>
      <c r="B633" s="125" t="s">
        <v>5463</v>
      </c>
      <c r="C633" s="125">
        <v>709</v>
      </c>
      <c r="D633" s="125" t="s">
        <v>5464</v>
      </c>
      <c r="E633" s="125" t="s">
        <v>5465</v>
      </c>
      <c r="F633" s="125" t="s">
        <v>5466</v>
      </c>
      <c r="G633" s="125" t="s">
        <v>5270</v>
      </c>
      <c r="H633" s="125" t="s">
        <v>5543</v>
      </c>
      <c r="I633" s="125" t="s">
        <v>5543</v>
      </c>
    </row>
    <row r="634" spans="1:9" x14ac:dyDescent="0.25">
      <c r="A634" s="125" t="s">
        <v>5544</v>
      </c>
      <c r="B634" s="125" t="s">
        <v>5463</v>
      </c>
      <c r="C634" s="125">
        <v>709</v>
      </c>
      <c r="D634" s="125" t="s">
        <v>5464</v>
      </c>
      <c r="E634" s="125" t="s">
        <v>5465</v>
      </c>
      <c r="F634" s="125" t="s">
        <v>5466</v>
      </c>
      <c r="G634" s="125" t="s">
        <v>5270</v>
      </c>
      <c r="H634" s="125" t="s">
        <v>5543</v>
      </c>
      <c r="I634" s="125" t="s">
        <v>5543</v>
      </c>
    </row>
    <row r="635" spans="1:9" x14ac:dyDescent="0.25">
      <c r="A635" s="125" t="s">
        <v>5545</v>
      </c>
      <c r="B635" s="125" t="s">
        <v>5463</v>
      </c>
      <c r="C635" s="125">
        <v>709</v>
      </c>
      <c r="D635" s="125" t="s">
        <v>5464</v>
      </c>
      <c r="E635" s="125" t="s">
        <v>5465</v>
      </c>
      <c r="F635" s="125" t="s">
        <v>5466</v>
      </c>
      <c r="G635" s="125" t="s">
        <v>5270</v>
      </c>
      <c r="H635" s="125" t="s">
        <v>5543</v>
      </c>
      <c r="I635" s="125" t="s">
        <v>5543</v>
      </c>
    </row>
    <row r="636" spans="1:9" x14ac:dyDescent="0.25">
      <c r="A636" s="125" t="s">
        <v>5546</v>
      </c>
      <c r="B636" s="125" t="s">
        <v>5463</v>
      </c>
      <c r="C636" s="125">
        <v>709</v>
      </c>
      <c r="D636" s="125" t="s">
        <v>5464</v>
      </c>
      <c r="E636" s="125" t="s">
        <v>5465</v>
      </c>
      <c r="F636" s="125" t="s">
        <v>5466</v>
      </c>
      <c r="G636" s="125" t="s">
        <v>5270</v>
      </c>
      <c r="H636" s="125" t="s">
        <v>5543</v>
      </c>
      <c r="I636" s="125" t="s">
        <v>5543</v>
      </c>
    </row>
    <row r="637" spans="1:9" x14ac:dyDescent="0.25">
      <c r="A637" s="125" t="s">
        <v>5547</v>
      </c>
      <c r="B637" s="125" t="s">
        <v>5463</v>
      </c>
      <c r="C637" s="125">
        <v>709</v>
      </c>
      <c r="D637" s="125" t="s">
        <v>5464</v>
      </c>
      <c r="E637" s="125" t="s">
        <v>5465</v>
      </c>
      <c r="F637" s="125" t="s">
        <v>5466</v>
      </c>
      <c r="G637" s="125" t="s">
        <v>5270</v>
      </c>
      <c r="H637" s="125" t="s">
        <v>5543</v>
      </c>
      <c r="I637" s="125" t="s">
        <v>5543</v>
      </c>
    </row>
    <row r="638" spans="1:9" x14ac:dyDescent="0.25">
      <c r="A638" s="125" t="s">
        <v>5548</v>
      </c>
      <c r="B638" s="125" t="s">
        <v>5463</v>
      </c>
      <c r="C638" s="125">
        <v>709</v>
      </c>
      <c r="D638" s="125" t="s">
        <v>5464</v>
      </c>
      <c r="E638" s="125" t="s">
        <v>5465</v>
      </c>
      <c r="F638" s="125" t="s">
        <v>5466</v>
      </c>
      <c r="G638" s="125" t="s">
        <v>5270</v>
      </c>
      <c r="H638" s="125" t="s">
        <v>5543</v>
      </c>
      <c r="I638" s="125" t="s">
        <v>5543</v>
      </c>
    </row>
    <row r="639" spans="1:9" x14ac:dyDescent="0.25">
      <c r="A639" s="125" t="s">
        <v>3102</v>
      </c>
      <c r="B639" s="125" t="s">
        <v>5463</v>
      </c>
      <c r="C639" s="125">
        <v>709</v>
      </c>
      <c r="D639" s="125" t="s">
        <v>5464</v>
      </c>
      <c r="E639" s="125" t="s">
        <v>5465</v>
      </c>
      <c r="F639" s="125" t="s">
        <v>5466</v>
      </c>
      <c r="G639" s="125" t="s">
        <v>5270</v>
      </c>
      <c r="H639" s="125" t="s">
        <v>2053</v>
      </c>
      <c r="I639" s="125" t="s">
        <v>2672</v>
      </c>
    </row>
    <row r="640" spans="1:9" x14ac:dyDescent="0.25">
      <c r="A640" s="125" t="s">
        <v>2607</v>
      </c>
      <c r="B640" s="125" t="s">
        <v>5549</v>
      </c>
      <c r="C640" s="125">
        <v>745</v>
      </c>
      <c r="D640" s="125" t="s">
        <v>5550</v>
      </c>
      <c r="E640" s="125" t="s">
        <v>5465</v>
      </c>
      <c r="F640" s="125" t="s">
        <v>5466</v>
      </c>
      <c r="G640" s="125" t="s">
        <v>5270</v>
      </c>
      <c r="H640" s="125" t="s">
        <v>5543</v>
      </c>
      <c r="I640" s="125" t="s">
        <v>5543</v>
      </c>
    </row>
    <row r="641" spans="1:9" x14ac:dyDescent="0.25">
      <c r="A641" s="125" t="s">
        <v>5551</v>
      </c>
      <c r="B641" s="125" t="s">
        <v>5549</v>
      </c>
      <c r="C641" s="125">
        <v>745</v>
      </c>
      <c r="D641" s="125" t="s">
        <v>5550</v>
      </c>
      <c r="E641" s="125" t="s">
        <v>5465</v>
      </c>
      <c r="F641" s="125" t="s">
        <v>5466</v>
      </c>
      <c r="G641" s="125" t="s">
        <v>5270</v>
      </c>
      <c r="H641" s="125" t="s">
        <v>5543</v>
      </c>
      <c r="I641" s="125" t="s">
        <v>5543</v>
      </c>
    </row>
    <row r="642" spans="1:9" x14ac:dyDescent="0.25">
      <c r="A642" s="125" t="s">
        <v>2584</v>
      </c>
      <c r="B642" s="125" t="s">
        <v>5549</v>
      </c>
      <c r="C642" s="125">
        <v>745</v>
      </c>
      <c r="D642" s="125" t="s">
        <v>5550</v>
      </c>
      <c r="E642" s="125" t="s">
        <v>5465</v>
      </c>
      <c r="F642" s="125" t="s">
        <v>5466</v>
      </c>
      <c r="G642" s="125" t="s">
        <v>5270</v>
      </c>
      <c r="H642" s="125" t="s">
        <v>5543</v>
      </c>
      <c r="I642" s="125" t="s">
        <v>5543</v>
      </c>
    </row>
    <row r="643" spans="1:9" x14ac:dyDescent="0.25">
      <c r="A643" s="125" t="s">
        <v>2283</v>
      </c>
      <c r="B643" s="125" t="s">
        <v>5549</v>
      </c>
      <c r="C643" s="125">
        <v>745</v>
      </c>
      <c r="D643" s="125" t="s">
        <v>5550</v>
      </c>
      <c r="E643" s="125" t="s">
        <v>5465</v>
      </c>
      <c r="F643" s="125" t="s">
        <v>5466</v>
      </c>
      <c r="G643" s="125" t="s">
        <v>5270</v>
      </c>
      <c r="H643" s="125" t="s">
        <v>5543</v>
      </c>
      <c r="I643" s="125" t="s">
        <v>5543</v>
      </c>
    </row>
    <row r="644" spans="1:9" x14ac:dyDescent="0.25">
      <c r="A644" s="125" t="s">
        <v>5552</v>
      </c>
      <c r="B644" s="125" t="s">
        <v>5549</v>
      </c>
      <c r="C644" s="125">
        <v>745</v>
      </c>
      <c r="D644" s="125" t="s">
        <v>5550</v>
      </c>
      <c r="E644" s="125" t="s">
        <v>5465</v>
      </c>
      <c r="F644" s="125" t="s">
        <v>5466</v>
      </c>
      <c r="G644" s="125" t="s">
        <v>5270</v>
      </c>
      <c r="H644" s="125" t="s">
        <v>5543</v>
      </c>
      <c r="I644" s="125" t="s">
        <v>5543</v>
      </c>
    </row>
    <row r="645" spans="1:9" x14ac:dyDescent="0.25">
      <c r="A645" s="125" t="s">
        <v>5553</v>
      </c>
      <c r="B645" s="125" t="s">
        <v>5549</v>
      </c>
      <c r="C645" s="125">
        <v>745</v>
      </c>
      <c r="D645" s="125" t="s">
        <v>5550</v>
      </c>
      <c r="E645" s="125" t="s">
        <v>5465</v>
      </c>
      <c r="F645" s="125" t="s">
        <v>5466</v>
      </c>
      <c r="G645" s="125" t="s">
        <v>5270</v>
      </c>
      <c r="H645" s="125" t="s">
        <v>5543</v>
      </c>
      <c r="I645" s="125" t="s">
        <v>5543</v>
      </c>
    </row>
    <row r="646" spans="1:9" x14ac:dyDescent="0.25">
      <c r="A646" s="125" t="s">
        <v>5554</v>
      </c>
      <c r="B646" s="125" t="s">
        <v>5549</v>
      </c>
      <c r="C646" s="125">
        <v>745</v>
      </c>
      <c r="D646" s="125" t="s">
        <v>5550</v>
      </c>
      <c r="E646" s="125" t="s">
        <v>5465</v>
      </c>
      <c r="F646" s="125" t="s">
        <v>5466</v>
      </c>
      <c r="G646" s="125" t="s">
        <v>5270</v>
      </c>
      <c r="H646" s="125" t="s">
        <v>5543</v>
      </c>
      <c r="I646" s="125" t="s">
        <v>5543</v>
      </c>
    </row>
    <row r="647" spans="1:9" x14ac:dyDescent="0.25">
      <c r="A647" s="125" t="s">
        <v>5555</v>
      </c>
      <c r="B647" s="125" t="s">
        <v>5549</v>
      </c>
      <c r="C647" s="125">
        <v>745</v>
      </c>
      <c r="D647" s="125" t="s">
        <v>5550</v>
      </c>
      <c r="E647" s="125" t="s">
        <v>5465</v>
      </c>
      <c r="F647" s="125" t="s">
        <v>5466</v>
      </c>
      <c r="G647" s="125" t="s">
        <v>5270</v>
      </c>
      <c r="H647" s="125" t="s">
        <v>5543</v>
      </c>
      <c r="I647" s="125" t="s">
        <v>5543</v>
      </c>
    </row>
    <row r="648" spans="1:9" x14ac:dyDescent="0.25">
      <c r="A648" s="125" t="s">
        <v>1450</v>
      </c>
      <c r="B648" s="125" t="s">
        <v>5556</v>
      </c>
      <c r="C648" s="125">
        <v>291</v>
      </c>
      <c r="D648" s="125" t="s">
        <v>5557</v>
      </c>
      <c r="E648" s="125" t="s">
        <v>5341</v>
      </c>
      <c r="F648" s="140" t="s">
        <v>5342</v>
      </c>
      <c r="G648" s="125" t="s">
        <v>5297</v>
      </c>
      <c r="H648" s="125" t="s">
        <v>5558</v>
      </c>
      <c r="I648" s="125" t="s">
        <v>5558</v>
      </c>
    </row>
    <row r="649" spans="1:9" x14ac:dyDescent="0.25">
      <c r="A649" s="125" t="s">
        <v>3349</v>
      </c>
      <c r="B649" s="125" t="s">
        <v>5556</v>
      </c>
      <c r="C649" s="125">
        <v>291</v>
      </c>
      <c r="D649" s="125" t="s">
        <v>5557</v>
      </c>
      <c r="E649" s="125" t="s">
        <v>5341</v>
      </c>
      <c r="F649" s="140" t="s">
        <v>5342</v>
      </c>
      <c r="G649" s="125" t="s">
        <v>5297</v>
      </c>
      <c r="H649" s="125" t="s">
        <v>5558</v>
      </c>
      <c r="I649" s="125" t="s">
        <v>5558</v>
      </c>
    </row>
    <row r="650" spans="1:9" x14ac:dyDescent="0.25">
      <c r="A650" s="125" t="s">
        <v>2515</v>
      </c>
      <c r="B650" s="125" t="s">
        <v>5556</v>
      </c>
      <c r="C650" s="125">
        <v>291</v>
      </c>
      <c r="D650" s="125" t="s">
        <v>5557</v>
      </c>
      <c r="E650" s="125" t="s">
        <v>5341</v>
      </c>
      <c r="F650" s="140" t="s">
        <v>5342</v>
      </c>
      <c r="G650" s="125" t="s">
        <v>5297</v>
      </c>
      <c r="H650" s="125" t="s">
        <v>1160</v>
      </c>
      <c r="I650" s="125" t="s">
        <v>3536</v>
      </c>
    </row>
    <row r="651" spans="1:9" x14ac:dyDescent="0.25">
      <c r="A651" s="125" t="s">
        <v>2061</v>
      </c>
      <c r="B651" s="125" t="s">
        <v>5556</v>
      </c>
      <c r="C651" s="125">
        <v>291</v>
      </c>
      <c r="D651" s="125" t="s">
        <v>5557</v>
      </c>
      <c r="E651" s="125" t="s">
        <v>5341</v>
      </c>
      <c r="F651" s="140" t="s">
        <v>5342</v>
      </c>
      <c r="G651" s="125" t="s">
        <v>5297</v>
      </c>
      <c r="H651" s="125" t="s">
        <v>1109</v>
      </c>
      <c r="I651" s="125" t="s">
        <v>3536</v>
      </c>
    </row>
    <row r="652" spans="1:9" x14ac:dyDescent="0.25">
      <c r="A652" s="125" t="s">
        <v>2472</v>
      </c>
      <c r="B652" s="125" t="s">
        <v>5556</v>
      </c>
      <c r="C652" s="125">
        <v>291</v>
      </c>
      <c r="D652" s="125" t="s">
        <v>5557</v>
      </c>
      <c r="E652" s="125" t="s">
        <v>5341</v>
      </c>
      <c r="F652" s="140" t="s">
        <v>5342</v>
      </c>
      <c r="G652" s="125" t="s">
        <v>5297</v>
      </c>
      <c r="H652" s="125" t="s">
        <v>1109</v>
      </c>
      <c r="I652" s="125" t="s">
        <v>3536</v>
      </c>
    </row>
    <row r="653" spans="1:9" x14ac:dyDescent="0.25">
      <c r="A653" s="125" t="s">
        <v>2910</v>
      </c>
      <c r="B653" s="125" t="s">
        <v>5556</v>
      </c>
      <c r="C653" s="125">
        <v>291</v>
      </c>
      <c r="D653" s="125" t="s">
        <v>5557</v>
      </c>
      <c r="E653" s="125" t="s">
        <v>5341</v>
      </c>
      <c r="F653" s="140" t="s">
        <v>5342</v>
      </c>
      <c r="G653" s="125" t="s">
        <v>5297</v>
      </c>
      <c r="H653" s="125" t="s">
        <v>5558</v>
      </c>
      <c r="I653" s="125" t="s">
        <v>5558</v>
      </c>
    </row>
    <row r="654" spans="1:9" x14ac:dyDescent="0.25">
      <c r="A654" s="125" t="s">
        <v>2448</v>
      </c>
      <c r="B654" s="125" t="s">
        <v>5556</v>
      </c>
      <c r="C654" s="125">
        <v>291</v>
      </c>
      <c r="D654" s="125" t="s">
        <v>5557</v>
      </c>
      <c r="E654" s="125" t="s">
        <v>5341</v>
      </c>
      <c r="F654" s="140" t="s">
        <v>5342</v>
      </c>
      <c r="G654" s="125" t="s">
        <v>5297</v>
      </c>
      <c r="H654" s="125" t="s">
        <v>5558</v>
      </c>
      <c r="I654" s="125" t="s">
        <v>5558</v>
      </c>
    </row>
    <row r="655" spans="1:9" x14ac:dyDescent="0.25">
      <c r="A655" s="125" t="s">
        <v>1209</v>
      </c>
      <c r="B655" s="125" t="s">
        <v>5556</v>
      </c>
      <c r="C655" s="125">
        <v>291</v>
      </c>
      <c r="D655" s="125" t="s">
        <v>5557</v>
      </c>
      <c r="E655" s="125" t="s">
        <v>5341</v>
      </c>
      <c r="F655" s="140" t="s">
        <v>5342</v>
      </c>
      <c r="G655" s="125" t="s">
        <v>5297</v>
      </c>
      <c r="H655" s="125" t="s">
        <v>5558</v>
      </c>
      <c r="I655" s="125" t="s">
        <v>5558</v>
      </c>
    </row>
    <row r="656" spans="1:9" x14ac:dyDescent="0.25">
      <c r="A656" s="125" t="s">
        <v>2048</v>
      </c>
      <c r="B656" s="125" t="s">
        <v>5556</v>
      </c>
      <c r="C656" s="125">
        <v>291</v>
      </c>
      <c r="D656" s="125" t="s">
        <v>5557</v>
      </c>
      <c r="E656" s="125" t="s">
        <v>5341</v>
      </c>
      <c r="F656" s="140" t="s">
        <v>5342</v>
      </c>
      <c r="G656" s="125" t="s">
        <v>5297</v>
      </c>
      <c r="H656" s="125" t="s">
        <v>5558</v>
      </c>
      <c r="I656" s="125" t="s">
        <v>5558</v>
      </c>
    </row>
    <row r="657" spans="1:9" x14ac:dyDescent="0.25">
      <c r="A657" s="125" t="s">
        <v>2450</v>
      </c>
      <c r="B657" s="125" t="s">
        <v>5556</v>
      </c>
      <c r="C657" s="125">
        <v>291</v>
      </c>
      <c r="D657" s="125" t="s">
        <v>5557</v>
      </c>
      <c r="E657" s="125" t="s">
        <v>5341</v>
      </c>
      <c r="F657" s="140" t="s">
        <v>5342</v>
      </c>
      <c r="G657" s="125" t="s">
        <v>5297</v>
      </c>
      <c r="H657" s="125" t="s">
        <v>1476</v>
      </c>
      <c r="I657" s="125" t="s">
        <v>5558</v>
      </c>
    </row>
    <row r="658" spans="1:9" x14ac:dyDescent="0.25">
      <c r="A658" s="125" t="s">
        <v>2440</v>
      </c>
      <c r="B658" s="125" t="s">
        <v>5556</v>
      </c>
      <c r="C658" s="125">
        <v>291</v>
      </c>
      <c r="D658" s="125" t="s">
        <v>5557</v>
      </c>
      <c r="E658" s="125" t="s">
        <v>5341</v>
      </c>
      <c r="F658" s="140" t="s">
        <v>5342</v>
      </c>
      <c r="G658" s="125" t="s">
        <v>5297</v>
      </c>
      <c r="H658" s="125" t="s">
        <v>371</v>
      </c>
      <c r="I658" s="125" t="s">
        <v>371</v>
      </c>
    </row>
    <row r="659" spans="1:9" x14ac:dyDescent="0.25">
      <c r="A659" s="125" t="s">
        <v>2677</v>
      </c>
      <c r="B659" s="125" t="s">
        <v>5556</v>
      </c>
      <c r="C659" s="125">
        <v>291</v>
      </c>
      <c r="D659" s="125" t="s">
        <v>5557</v>
      </c>
      <c r="E659" s="125" t="s">
        <v>5341</v>
      </c>
      <c r="F659" s="140" t="s">
        <v>5342</v>
      </c>
      <c r="G659" s="125" t="s">
        <v>5297</v>
      </c>
      <c r="H659" s="125" t="s">
        <v>5559</v>
      </c>
      <c r="I659" s="125" t="s">
        <v>5355</v>
      </c>
    </row>
    <row r="660" spans="1:9" x14ac:dyDescent="0.25">
      <c r="A660" s="125" t="s">
        <v>2660</v>
      </c>
      <c r="B660" s="125" t="s">
        <v>5556</v>
      </c>
      <c r="C660" s="125">
        <v>291</v>
      </c>
      <c r="D660" s="125" t="s">
        <v>5557</v>
      </c>
      <c r="E660" s="125" t="s">
        <v>5341</v>
      </c>
      <c r="F660" s="140" t="s">
        <v>5342</v>
      </c>
      <c r="G660" s="125" t="s">
        <v>5297</v>
      </c>
      <c r="H660" s="125" t="s">
        <v>1449</v>
      </c>
      <c r="I660" s="125" t="s">
        <v>5558</v>
      </c>
    </row>
    <row r="661" spans="1:9" x14ac:dyDescent="0.25">
      <c r="A661" s="125" t="s">
        <v>2135</v>
      </c>
      <c r="B661" s="125" t="s">
        <v>5556</v>
      </c>
      <c r="C661" s="125">
        <v>291</v>
      </c>
      <c r="D661" s="125" t="s">
        <v>5557</v>
      </c>
      <c r="E661" s="125" t="s">
        <v>5341</v>
      </c>
      <c r="F661" s="140" t="s">
        <v>5342</v>
      </c>
      <c r="G661" s="125" t="s">
        <v>5297</v>
      </c>
      <c r="H661" s="125" t="s">
        <v>371</v>
      </c>
      <c r="I661" s="125" t="s">
        <v>371</v>
      </c>
    </row>
    <row r="662" spans="1:9" x14ac:dyDescent="0.25">
      <c r="A662" s="125" t="s">
        <v>2637</v>
      </c>
      <c r="B662" s="125" t="s">
        <v>5556</v>
      </c>
      <c r="C662" s="125">
        <v>291</v>
      </c>
      <c r="D662" s="125" t="s">
        <v>5557</v>
      </c>
      <c r="E662" s="125" t="s">
        <v>5341</v>
      </c>
      <c r="F662" s="140" t="s">
        <v>5342</v>
      </c>
      <c r="G662" s="125" t="s">
        <v>5297</v>
      </c>
      <c r="H662" s="125" t="s">
        <v>5558</v>
      </c>
      <c r="I662" s="125" t="s">
        <v>5558</v>
      </c>
    </row>
    <row r="663" spans="1:9" x14ac:dyDescent="0.25">
      <c r="A663" s="125" t="s">
        <v>2452</v>
      </c>
      <c r="B663" s="125" t="s">
        <v>5556</v>
      </c>
      <c r="C663" s="125">
        <v>291</v>
      </c>
      <c r="D663" s="125" t="s">
        <v>5557</v>
      </c>
      <c r="E663" s="125" t="s">
        <v>5341</v>
      </c>
      <c r="F663" s="140" t="s">
        <v>5342</v>
      </c>
      <c r="G663" s="125" t="s">
        <v>5297</v>
      </c>
      <c r="H663" s="125" t="s">
        <v>1449</v>
      </c>
      <c r="I663" s="125" t="s">
        <v>5558</v>
      </c>
    </row>
    <row r="664" spans="1:9" x14ac:dyDescent="0.25">
      <c r="A664" s="125" t="s">
        <v>2409</v>
      </c>
      <c r="B664" s="125" t="s">
        <v>5556</v>
      </c>
      <c r="C664" s="125">
        <v>291</v>
      </c>
      <c r="D664" s="125" t="s">
        <v>5557</v>
      </c>
      <c r="E664" s="125" t="s">
        <v>5341</v>
      </c>
      <c r="F664" s="140" t="s">
        <v>5342</v>
      </c>
      <c r="G664" s="125" t="s">
        <v>5297</v>
      </c>
      <c r="H664" s="125" t="s">
        <v>1449</v>
      </c>
      <c r="I664" s="125" t="s">
        <v>5558</v>
      </c>
    </row>
    <row r="665" spans="1:9" x14ac:dyDescent="0.25">
      <c r="A665" s="125" t="s">
        <v>1981</v>
      </c>
      <c r="B665" s="125" t="s">
        <v>5556</v>
      </c>
      <c r="C665" s="125">
        <v>291</v>
      </c>
      <c r="D665" s="125" t="s">
        <v>5557</v>
      </c>
      <c r="E665" s="125" t="s">
        <v>5341</v>
      </c>
      <c r="F665" s="140" t="s">
        <v>5342</v>
      </c>
      <c r="G665" s="125" t="s">
        <v>5297</v>
      </c>
      <c r="H665" s="125" t="s">
        <v>371</v>
      </c>
      <c r="I665" s="125" t="s">
        <v>371</v>
      </c>
    </row>
    <row r="666" spans="1:9" x14ac:dyDescent="0.25">
      <c r="A666" s="125" t="s">
        <v>1477</v>
      </c>
      <c r="B666" s="125" t="s">
        <v>5556</v>
      </c>
      <c r="C666" s="125">
        <v>291</v>
      </c>
      <c r="D666" s="125" t="s">
        <v>5557</v>
      </c>
      <c r="E666" s="125" t="s">
        <v>5341</v>
      </c>
      <c r="F666" s="140" t="s">
        <v>5342</v>
      </c>
      <c r="G666" s="125" t="s">
        <v>5297</v>
      </c>
      <c r="H666" s="125" t="s">
        <v>1476</v>
      </c>
      <c r="I666" s="125" t="s">
        <v>5558</v>
      </c>
    </row>
    <row r="667" spans="1:9" x14ac:dyDescent="0.25">
      <c r="A667" s="125" t="s">
        <v>3243</v>
      </c>
      <c r="B667" s="125" t="s">
        <v>5556</v>
      </c>
      <c r="C667" s="125">
        <v>291</v>
      </c>
      <c r="D667" s="125" t="s">
        <v>5557</v>
      </c>
      <c r="E667" s="125" t="s">
        <v>5341</v>
      </c>
      <c r="F667" s="140" t="s">
        <v>5342</v>
      </c>
      <c r="G667" s="125" t="s">
        <v>5297</v>
      </c>
      <c r="H667" s="125" t="s">
        <v>1476</v>
      </c>
      <c r="I667" s="125" t="s">
        <v>5558</v>
      </c>
    </row>
    <row r="668" spans="1:9" x14ac:dyDescent="0.25">
      <c r="A668" s="125" t="s">
        <v>1636</v>
      </c>
      <c r="B668" s="125" t="s">
        <v>5556</v>
      </c>
      <c r="C668" s="125">
        <v>291</v>
      </c>
      <c r="D668" s="125" t="s">
        <v>5557</v>
      </c>
      <c r="E668" s="125" t="s">
        <v>5341</v>
      </c>
      <c r="F668" s="140" t="s">
        <v>5342</v>
      </c>
      <c r="G668" s="125" t="s">
        <v>5297</v>
      </c>
      <c r="H668" s="125" t="s">
        <v>5558</v>
      </c>
      <c r="I668" s="125" t="s">
        <v>5558</v>
      </c>
    </row>
    <row r="669" spans="1:9" x14ac:dyDescent="0.25">
      <c r="A669" s="125" t="s">
        <v>2444</v>
      </c>
      <c r="B669" s="125" t="s">
        <v>5556</v>
      </c>
      <c r="C669" s="125">
        <v>291</v>
      </c>
      <c r="D669" s="125" t="s">
        <v>5557</v>
      </c>
      <c r="E669" s="125" t="s">
        <v>5341</v>
      </c>
      <c r="F669" s="140" t="s">
        <v>5342</v>
      </c>
      <c r="G669" s="125" t="s">
        <v>5297</v>
      </c>
      <c r="H669" s="125" t="s">
        <v>5558</v>
      </c>
      <c r="I669" s="125" t="s">
        <v>5558</v>
      </c>
    </row>
    <row r="670" spans="1:9" x14ac:dyDescent="0.25">
      <c r="A670" s="125" t="s">
        <v>2468</v>
      </c>
      <c r="B670" s="125" t="s">
        <v>5556</v>
      </c>
      <c r="C670" s="125">
        <v>291</v>
      </c>
      <c r="D670" s="125" t="s">
        <v>5557</v>
      </c>
      <c r="E670" s="125" t="s">
        <v>5341</v>
      </c>
      <c r="F670" s="140" t="s">
        <v>5342</v>
      </c>
      <c r="G670" s="125" t="s">
        <v>5297</v>
      </c>
      <c r="H670" s="125" t="s">
        <v>3453</v>
      </c>
      <c r="I670" s="125" t="s">
        <v>5355</v>
      </c>
    </row>
    <row r="671" spans="1:9" x14ac:dyDescent="0.25">
      <c r="A671" s="125" t="s">
        <v>1298</v>
      </c>
      <c r="B671" s="125" t="s">
        <v>5556</v>
      </c>
      <c r="C671" s="125">
        <v>291</v>
      </c>
      <c r="D671" s="125" t="s">
        <v>5557</v>
      </c>
      <c r="E671" s="125" t="s">
        <v>5341</v>
      </c>
      <c r="F671" s="140" t="s">
        <v>5342</v>
      </c>
      <c r="G671" s="125" t="s">
        <v>5297</v>
      </c>
      <c r="H671" s="125" t="s">
        <v>3453</v>
      </c>
      <c r="I671" s="125" t="s">
        <v>5355</v>
      </c>
    </row>
    <row r="672" spans="1:9" x14ac:dyDescent="0.25">
      <c r="A672" s="125" t="s">
        <v>2390</v>
      </c>
      <c r="B672" s="125" t="s">
        <v>5556</v>
      </c>
      <c r="C672" s="125">
        <v>291</v>
      </c>
      <c r="D672" s="125" t="s">
        <v>5557</v>
      </c>
      <c r="E672" s="125" t="s">
        <v>5341</v>
      </c>
      <c r="F672" s="140" t="s">
        <v>5342</v>
      </c>
      <c r="G672" s="125" t="s">
        <v>5297</v>
      </c>
      <c r="H672" s="125" t="s">
        <v>3453</v>
      </c>
      <c r="I672" s="125" t="s">
        <v>5355</v>
      </c>
    </row>
    <row r="673" spans="1:9" x14ac:dyDescent="0.25">
      <c r="A673" s="125" t="s">
        <v>5560</v>
      </c>
      <c r="B673" s="125" t="s">
        <v>5556</v>
      </c>
      <c r="C673" s="125">
        <v>291</v>
      </c>
      <c r="D673" s="125" t="s">
        <v>5557</v>
      </c>
      <c r="E673" s="125" t="s">
        <v>5341</v>
      </c>
      <c r="F673" s="140" t="s">
        <v>5342</v>
      </c>
      <c r="G673" s="125" t="s">
        <v>5297</v>
      </c>
      <c r="H673" s="125" t="s">
        <v>5559</v>
      </c>
      <c r="I673" s="125" t="s">
        <v>5355</v>
      </c>
    </row>
    <row r="674" spans="1:9" x14ac:dyDescent="0.25">
      <c r="A674" s="125" t="s">
        <v>1613</v>
      </c>
      <c r="B674" s="125" t="s">
        <v>5561</v>
      </c>
      <c r="C674" s="125">
        <v>231</v>
      </c>
      <c r="D674" s="125" t="s">
        <v>5562</v>
      </c>
      <c r="E674" s="125" t="s">
        <v>5341</v>
      </c>
      <c r="F674" s="140" t="s">
        <v>5342</v>
      </c>
      <c r="G674" s="125" t="s">
        <v>5297</v>
      </c>
      <c r="H674" s="125" t="s">
        <v>1612</v>
      </c>
      <c r="I674" s="125" t="s">
        <v>5563</v>
      </c>
    </row>
    <row r="675" spans="1:9" x14ac:dyDescent="0.25">
      <c r="A675" s="125" t="s">
        <v>1882</v>
      </c>
      <c r="B675" s="125" t="s">
        <v>5561</v>
      </c>
      <c r="C675" s="125">
        <v>231</v>
      </c>
      <c r="D675" s="125" t="s">
        <v>5562</v>
      </c>
      <c r="E675" s="125" t="s">
        <v>5341</v>
      </c>
      <c r="F675" s="140" t="s">
        <v>5342</v>
      </c>
      <c r="G675" s="125" t="s">
        <v>5297</v>
      </c>
      <c r="H675" s="125" t="s">
        <v>5564</v>
      </c>
      <c r="I675" s="125" t="s">
        <v>5565</v>
      </c>
    </row>
    <row r="676" spans="1:9" x14ac:dyDescent="0.25">
      <c r="A676" s="125" t="s">
        <v>1660</v>
      </c>
      <c r="B676" s="125" t="s">
        <v>5561</v>
      </c>
      <c r="C676" s="125">
        <v>231</v>
      </c>
      <c r="D676" s="125" t="s">
        <v>5562</v>
      </c>
      <c r="E676" s="125" t="s">
        <v>5341</v>
      </c>
      <c r="F676" s="140" t="s">
        <v>5342</v>
      </c>
      <c r="G676" s="125" t="s">
        <v>5297</v>
      </c>
      <c r="H676" s="125" t="s">
        <v>5564</v>
      </c>
      <c r="I676" s="125" t="s">
        <v>5565</v>
      </c>
    </row>
    <row r="677" spans="1:9" x14ac:dyDescent="0.25">
      <c r="A677" s="125" t="s">
        <v>2962</v>
      </c>
      <c r="B677" s="125" t="s">
        <v>5561</v>
      </c>
      <c r="C677" s="125">
        <v>231</v>
      </c>
      <c r="D677" s="125" t="s">
        <v>5562</v>
      </c>
      <c r="E677" s="125" t="s">
        <v>5341</v>
      </c>
      <c r="F677" s="140" t="s">
        <v>5342</v>
      </c>
      <c r="G677" s="125" t="s">
        <v>5297</v>
      </c>
      <c r="H677" s="125" t="s">
        <v>371</v>
      </c>
      <c r="I677" s="125" t="s">
        <v>371</v>
      </c>
    </row>
    <row r="678" spans="1:9" x14ac:dyDescent="0.25">
      <c r="A678" s="125" t="s">
        <v>2145</v>
      </c>
      <c r="B678" s="125" t="s">
        <v>5561</v>
      </c>
      <c r="C678" s="125">
        <v>231</v>
      </c>
      <c r="D678" s="125" t="s">
        <v>5562</v>
      </c>
      <c r="E678" s="125" t="s">
        <v>5341</v>
      </c>
      <c r="F678" s="140" t="s">
        <v>5342</v>
      </c>
      <c r="G678" s="125" t="s">
        <v>5297</v>
      </c>
      <c r="H678" s="125" t="s">
        <v>5566</v>
      </c>
      <c r="I678" s="125" t="s">
        <v>5566</v>
      </c>
    </row>
    <row r="679" spans="1:9" x14ac:dyDescent="0.25">
      <c r="A679" s="125" t="s">
        <v>2147</v>
      </c>
      <c r="B679" s="125" t="s">
        <v>5561</v>
      </c>
      <c r="C679" s="125">
        <v>231</v>
      </c>
      <c r="D679" s="125" t="s">
        <v>5562</v>
      </c>
      <c r="E679" s="125" t="s">
        <v>5341</v>
      </c>
      <c r="F679" s="140" t="s">
        <v>5342</v>
      </c>
      <c r="G679" s="125" t="s">
        <v>5297</v>
      </c>
      <c r="H679" s="125" t="s">
        <v>5567</v>
      </c>
      <c r="I679" s="125" t="s">
        <v>3480</v>
      </c>
    </row>
    <row r="680" spans="1:9" x14ac:dyDescent="0.25">
      <c r="A680" s="125" t="s">
        <v>1468</v>
      </c>
      <c r="B680" s="125" t="s">
        <v>5561</v>
      </c>
      <c r="C680" s="125">
        <v>231</v>
      </c>
      <c r="D680" s="125" t="s">
        <v>5562</v>
      </c>
      <c r="E680" s="125" t="s">
        <v>5341</v>
      </c>
      <c r="F680" s="140" t="s">
        <v>5342</v>
      </c>
      <c r="G680" s="125" t="s">
        <v>5297</v>
      </c>
      <c r="H680" s="125" t="s">
        <v>5567</v>
      </c>
      <c r="I680" s="125" t="s">
        <v>3480</v>
      </c>
    </row>
    <row r="681" spans="1:9" x14ac:dyDescent="0.25">
      <c r="A681" s="125" t="s">
        <v>2604</v>
      </c>
      <c r="B681" s="125" t="s">
        <v>5561</v>
      </c>
      <c r="C681" s="125">
        <v>231</v>
      </c>
      <c r="D681" s="125" t="s">
        <v>5562</v>
      </c>
      <c r="E681" s="125" t="s">
        <v>5341</v>
      </c>
      <c r="F681" s="140" t="s">
        <v>5342</v>
      </c>
      <c r="G681" s="125" t="s">
        <v>5297</v>
      </c>
      <c r="H681" s="125" t="s">
        <v>5567</v>
      </c>
      <c r="I681" s="125" t="s">
        <v>3480</v>
      </c>
    </row>
    <row r="682" spans="1:9" x14ac:dyDescent="0.25">
      <c r="A682" s="125" t="s">
        <v>2823</v>
      </c>
      <c r="B682" s="125" t="s">
        <v>5561</v>
      </c>
      <c r="C682" s="125">
        <v>231</v>
      </c>
      <c r="D682" s="125" t="s">
        <v>5562</v>
      </c>
      <c r="E682" s="125" t="s">
        <v>5341</v>
      </c>
      <c r="F682" s="140" t="s">
        <v>5342</v>
      </c>
      <c r="G682" s="125" t="s">
        <v>5297</v>
      </c>
      <c r="H682" s="125" t="s">
        <v>5567</v>
      </c>
      <c r="I682" s="125" t="s">
        <v>3480</v>
      </c>
    </row>
    <row r="683" spans="1:9" x14ac:dyDescent="0.25">
      <c r="A683" s="125" t="s">
        <v>3519</v>
      </c>
      <c r="B683" s="125" t="s">
        <v>5561</v>
      </c>
      <c r="C683" s="125">
        <v>231</v>
      </c>
      <c r="D683" s="125" t="s">
        <v>5562</v>
      </c>
      <c r="E683" s="125" t="s">
        <v>5341</v>
      </c>
      <c r="F683" s="140" t="s">
        <v>5342</v>
      </c>
      <c r="G683" s="125" t="s">
        <v>5297</v>
      </c>
      <c r="H683" s="125" t="s">
        <v>5567</v>
      </c>
      <c r="I683" s="125" t="s">
        <v>3480</v>
      </c>
    </row>
    <row r="684" spans="1:9" x14ac:dyDescent="0.25">
      <c r="A684" s="125" t="s">
        <v>3523</v>
      </c>
      <c r="B684" s="125" t="s">
        <v>5561</v>
      </c>
      <c r="C684" s="125">
        <v>231</v>
      </c>
      <c r="D684" s="125" t="s">
        <v>5562</v>
      </c>
      <c r="E684" s="125" t="s">
        <v>5341</v>
      </c>
      <c r="F684" s="140" t="s">
        <v>5342</v>
      </c>
      <c r="G684" s="125" t="s">
        <v>5297</v>
      </c>
      <c r="H684" s="125" t="s">
        <v>1612</v>
      </c>
      <c r="I684" s="125" t="s">
        <v>5563</v>
      </c>
    </row>
    <row r="685" spans="1:9" x14ac:dyDescent="0.25">
      <c r="A685" s="125" t="s">
        <v>1081</v>
      </c>
      <c r="B685" s="125" t="s">
        <v>5561</v>
      </c>
      <c r="C685" s="125">
        <v>231</v>
      </c>
      <c r="D685" s="125" t="s">
        <v>5562</v>
      </c>
      <c r="E685" s="125" t="s">
        <v>5341</v>
      </c>
      <c r="F685" s="140" t="s">
        <v>5342</v>
      </c>
      <c r="G685" s="125" t="s">
        <v>5297</v>
      </c>
      <c r="H685" s="125" t="s">
        <v>5567</v>
      </c>
      <c r="I685" s="125" t="s">
        <v>3480</v>
      </c>
    </row>
    <row r="686" spans="1:9" x14ac:dyDescent="0.25">
      <c r="A686" s="125" t="s">
        <v>2249</v>
      </c>
      <c r="B686" s="125" t="s">
        <v>5561</v>
      </c>
      <c r="C686" s="125">
        <v>231</v>
      </c>
      <c r="D686" s="125" t="s">
        <v>5562</v>
      </c>
      <c r="E686" s="125" t="s">
        <v>5341</v>
      </c>
      <c r="F686" s="140" t="s">
        <v>5342</v>
      </c>
      <c r="G686" s="125" t="s">
        <v>5297</v>
      </c>
      <c r="H686" s="125" t="s">
        <v>5568</v>
      </c>
      <c r="I686" s="125" t="s">
        <v>3480</v>
      </c>
    </row>
    <row r="687" spans="1:9" x14ac:dyDescent="0.25">
      <c r="A687" s="125" t="s">
        <v>2516</v>
      </c>
      <c r="B687" s="125" t="s">
        <v>5561</v>
      </c>
      <c r="C687" s="125">
        <v>231</v>
      </c>
      <c r="D687" s="125" t="s">
        <v>5562</v>
      </c>
      <c r="E687" s="125" t="s">
        <v>5341</v>
      </c>
      <c r="F687" s="140" t="s">
        <v>5342</v>
      </c>
      <c r="G687" s="125" t="s">
        <v>5297</v>
      </c>
      <c r="H687" s="125" t="s">
        <v>5564</v>
      </c>
      <c r="I687" s="125" t="s">
        <v>5565</v>
      </c>
    </row>
    <row r="688" spans="1:9" x14ac:dyDescent="0.25">
      <c r="A688" s="125" t="s">
        <v>2888</v>
      </c>
      <c r="B688" s="125" t="s">
        <v>5561</v>
      </c>
      <c r="C688" s="125">
        <v>231</v>
      </c>
      <c r="D688" s="125" t="s">
        <v>5562</v>
      </c>
      <c r="E688" s="125" t="s">
        <v>5341</v>
      </c>
      <c r="F688" s="140" t="s">
        <v>5342</v>
      </c>
      <c r="G688" s="125" t="s">
        <v>5297</v>
      </c>
      <c r="H688" s="125" t="s">
        <v>1612</v>
      </c>
      <c r="I688" s="125" t="s">
        <v>5563</v>
      </c>
    </row>
    <row r="689" spans="1:9" x14ac:dyDescent="0.25">
      <c r="A689" s="125" t="s">
        <v>5569</v>
      </c>
      <c r="B689" s="125" t="s">
        <v>5561</v>
      </c>
      <c r="C689" s="125">
        <v>231</v>
      </c>
      <c r="D689" s="125" t="s">
        <v>5562</v>
      </c>
      <c r="E689" s="125" t="s">
        <v>5341</v>
      </c>
      <c r="F689" s="140" t="s">
        <v>5342</v>
      </c>
      <c r="G689" s="125" t="s">
        <v>5297</v>
      </c>
      <c r="H689" s="125" t="s">
        <v>5570</v>
      </c>
      <c r="I689" s="125" t="s">
        <v>3480</v>
      </c>
    </row>
    <row r="690" spans="1:9" x14ac:dyDescent="0.25">
      <c r="A690" s="125" t="s">
        <v>2527</v>
      </c>
      <c r="B690" s="125" t="s">
        <v>5561</v>
      </c>
      <c r="C690" s="125">
        <v>231</v>
      </c>
      <c r="D690" s="125" t="s">
        <v>5562</v>
      </c>
      <c r="E690" s="125" t="s">
        <v>5341</v>
      </c>
      <c r="F690" s="140" t="s">
        <v>5342</v>
      </c>
      <c r="G690" s="125" t="s">
        <v>5297</v>
      </c>
      <c r="H690" s="125" t="s">
        <v>371</v>
      </c>
      <c r="I690" s="125" t="s">
        <v>371</v>
      </c>
    </row>
    <row r="691" spans="1:9" x14ac:dyDescent="0.25">
      <c r="A691" s="125" t="s">
        <v>3427</v>
      </c>
      <c r="B691" s="125" t="s">
        <v>5561</v>
      </c>
      <c r="C691" s="125">
        <v>231</v>
      </c>
      <c r="D691" s="125" t="s">
        <v>5562</v>
      </c>
      <c r="E691" s="125" t="s">
        <v>5341</v>
      </c>
      <c r="F691" s="140" t="s">
        <v>5342</v>
      </c>
      <c r="G691" s="125" t="s">
        <v>5297</v>
      </c>
      <c r="H691" s="125" t="s">
        <v>371</v>
      </c>
      <c r="I691" s="125" t="s">
        <v>371</v>
      </c>
    </row>
    <row r="692" spans="1:9" x14ac:dyDescent="0.25">
      <c r="A692" s="125" t="s">
        <v>5571</v>
      </c>
      <c r="B692" s="125" t="s">
        <v>5561</v>
      </c>
      <c r="C692" s="125">
        <v>231</v>
      </c>
      <c r="D692" s="125" t="s">
        <v>5562</v>
      </c>
      <c r="E692" s="125" t="s">
        <v>5341</v>
      </c>
      <c r="F692" s="140" t="s">
        <v>5342</v>
      </c>
      <c r="G692" s="125" t="s">
        <v>5297</v>
      </c>
      <c r="H692" s="125" t="s">
        <v>5570</v>
      </c>
      <c r="I692" s="125" t="s">
        <v>3480</v>
      </c>
    </row>
    <row r="693" spans="1:9" x14ac:dyDescent="0.25">
      <c r="A693" s="125" t="s">
        <v>3101</v>
      </c>
      <c r="B693" s="125" t="s">
        <v>5561</v>
      </c>
      <c r="C693" s="125">
        <v>231</v>
      </c>
      <c r="D693" s="125" t="s">
        <v>5562</v>
      </c>
      <c r="E693" s="125" t="s">
        <v>5341</v>
      </c>
      <c r="F693" s="140" t="s">
        <v>5342</v>
      </c>
      <c r="G693" s="125" t="s">
        <v>5297</v>
      </c>
      <c r="H693" s="125" t="s">
        <v>5570</v>
      </c>
      <c r="I693" s="125" t="s">
        <v>3480</v>
      </c>
    </row>
    <row r="694" spans="1:9" x14ac:dyDescent="0.25">
      <c r="A694" s="125" t="s">
        <v>1834</v>
      </c>
      <c r="B694" s="125" t="s">
        <v>5561</v>
      </c>
      <c r="C694" s="125">
        <v>231</v>
      </c>
      <c r="D694" s="125" t="s">
        <v>5562</v>
      </c>
      <c r="E694" s="125" t="s">
        <v>5341</v>
      </c>
      <c r="F694" s="140" t="s">
        <v>5342</v>
      </c>
      <c r="G694" s="125" t="s">
        <v>5297</v>
      </c>
      <c r="H694" s="125" t="s">
        <v>371</v>
      </c>
      <c r="I694" s="125" t="s">
        <v>371</v>
      </c>
    </row>
    <row r="695" spans="1:9" x14ac:dyDescent="0.25">
      <c r="A695" s="125" t="s">
        <v>2470</v>
      </c>
      <c r="B695" s="125" t="s">
        <v>5572</v>
      </c>
      <c r="C695" s="125">
        <v>218</v>
      </c>
      <c r="D695" s="125" t="s">
        <v>5573</v>
      </c>
      <c r="E695" s="125" t="s">
        <v>5341</v>
      </c>
      <c r="F695" s="140" t="s">
        <v>5342</v>
      </c>
      <c r="G695" s="125" t="s">
        <v>5297</v>
      </c>
      <c r="H695" s="125" t="s">
        <v>5570</v>
      </c>
      <c r="I695" s="125" t="s">
        <v>3480</v>
      </c>
    </row>
    <row r="696" spans="1:9" x14ac:dyDescent="0.25">
      <c r="A696" s="125" t="s">
        <v>2907</v>
      </c>
      <c r="B696" s="125" t="s">
        <v>5572</v>
      </c>
      <c r="C696" s="125">
        <v>218</v>
      </c>
      <c r="D696" s="125" t="s">
        <v>5573</v>
      </c>
      <c r="E696" s="125" t="s">
        <v>5341</v>
      </c>
      <c r="F696" s="140" t="s">
        <v>5342</v>
      </c>
      <c r="G696" s="125" t="s">
        <v>5297</v>
      </c>
      <c r="H696" s="125" t="s">
        <v>371</v>
      </c>
      <c r="I696" s="125" t="s">
        <v>371</v>
      </c>
    </row>
    <row r="697" spans="1:9" x14ac:dyDescent="0.25">
      <c r="A697" s="125" t="s">
        <v>3462</v>
      </c>
      <c r="B697" s="125" t="s">
        <v>5561</v>
      </c>
      <c r="C697" s="125">
        <v>231</v>
      </c>
      <c r="D697" s="125" t="s">
        <v>5562</v>
      </c>
      <c r="E697" s="125" t="s">
        <v>5341</v>
      </c>
      <c r="F697" s="140" t="s">
        <v>5342</v>
      </c>
      <c r="G697" s="125" t="s">
        <v>5297</v>
      </c>
      <c r="H697" s="125" t="s">
        <v>371</v>
      </c>
      <c r="I697" s="125" t="s">
        <v>371</v>
      </c>
    </row>
    <row r="698" spans="1:9" x14ac:dyDescent="0.25">
      <c r="A698" s="125" t="s">
        <v>1895</v>
      </c>
      <c r="B698" s="125" t="s">
        <v>5561</v>
      </c>
      <c r="C698" s="125">
        <v>231</v>
      </c>
      <c r="D698" s="125" t="s">
        <v>5562</v>
      </c>
      <c r="E698" s="125" t="s">
        <v>5341</v>
      </c>
      <c r="F698" s="140" t="s">
        <v>5342</v>
      </c>
      <c r="G698" s="125" t="s">
        <v>5297</v>
      </c>
      <c r="H698" s="125" t="s">
        <v>1612</v>
      </c>
      <c r="I698" s="125" t="s">
        <v>5563</v>
      </c>
    </row>
    <row r="699" spans="1:9" x14ac:dyDescent="0.25">
      <c r="A699" s="125" t="s">
        <v>2344</v>
      </c>
      <c r="B699" s="125" t="s">
        <v>5561</v>
      </c>
      <c r="C699" s="125">
        <v>231</v>
      </c>
      <c r="D699" s="125" t="s">
        <v>5562</v>
      </c>
      <c r="E699" s="125" t="s">
        <v>5341</v>
      </c>
      <c r="F699" s="140" t="s">
        <v>5342</v>
      </c>
      <c r="G699" s="125" t="s">
        <v>5297</v>
      </c>
      <c r="H699" s="125" t="s">
        <v>5570</v>
      </c>
      <c r="I699" s="125" t="s">
        <v>3480</v>
      </c>
    </row>
    <row r="700" spans="1:9" x14ac:dyDescent="0.25">
      <c r="A700" s="125" t="s">
        <v>2915</v>
      </c>
      <c r="B700" s="125" t="s">
        <v>5561</v>
      </c>
      <c r="C700" s="125">
        <v>231</v>
      </c>
      <c r="D700" s="125" t="s">
        <v>5562</v>
      </c>
      <c r="E700" s="125" t="s">
        <v>5341</v>
      </c>
      <c r="F700" s="140" t="s">
        <v>5342</v>
      </c>
      <c r="G700" s="125" t="s">
        <v>5297</v>
      </c>
      <c r="H700" s="125" t="s">
        <v>5568</v>
      </c>
      <c r="I700" s="125" t="s">
        <v>3480</v>
      </c>
    </row>
    <row r="701" spans="1:9" x14ac:dyDescent="0.25">
      <c r="A701" s="125" t="s">
        <v>2150</v>
      </c>
      <c r="B701" s="125" t="s">
        <v>5561</v>
      </c>
      <c r="C701" s="125">
        <v>231</v>
      </c>
      <c r="D701" s="125" t="s">
        <v>5562</v>
      </c>
      <c r="E701" s="125" t="s">
        <v>5341</v>
      </c>
      <c r="F701" s="140" t="s">
        <v>5342</v>
      </c>
      <c r="G701" s="125" t="s">
        <v>5297</v>
      </c>
      <c r="H701" s="125" t="s">
        <v>1612</v>
      </c>
      <c r="I701" s="125" t="s">
        <v>5563</v>
      </c>
    </row>
    <row r="702" spans="1:9" x14ac:dyDescent="0.25">
      <c r="A702" s="125" t="s">
        <v>2234</v>
      </c>
      <c r="B702" s="125" t="s">
        <v>5561</v>
      </c>
      <c r="C702" s="125">
        <v>231</v>
      </c>
      <c r="D702" s="125" t="s">
        <v>5562</v>
      </c>
      <c r="E702" s="125" t="s">
        <v>5341</v>
      </c>
      <c r="F702" s="140" t="s">
        <v>5342</v>
      </c>
      <c r="G702" s="125" t="s">
        <v>5297</v>
      </c>
      <c r="H702" s="125" t="s">
        <v>1612</v>
      </c>
      <c r="I702" s="125" t="s">
        <v>5563</v>
      </c>
    </row>
    <row r="703" spans="1:9" x14ac:dyDescent="0.25">
      <c r="A703" s="125" t="s">
        <v>2064</v>
      </c>
      <c r="B703" s="125" t="s">
        <v>5561</v>
      </c>
      <c r="C703" s="125">
        <v>231</v>
      </c>
      <c r="D703" s="125" t="s">
        <v>5562</v>
      </c>
      <c r="E703" s="125" t="s">
        <v>5341</v>
      </c>
      <c r="F703" s="140" t="s">
        <v>5342</v>
      </c>
      <c r="G703" s="125" t="s">
        <v>5297</v>
      </c>
      <c r="H703" s="125" t="s">
        <v>1612</v>
      </c>
      <c r="I703" s="125" t="s">
        <v>5563</v>
      </c>
    </row>
    <row r="704" spans="1:9" x14ac:dyDescent="0.25">
      <c r="A704" s="125" t="s">
        <v>2126</v>
      </c>
      <c r="B704" s="125" t="s">
        <v>5561</v>
      </c>
      <c r="C704" s="125">
        <v>231</v>
      </c>
      <c r="D704" s="125" t="s">
        <v>5562</v>
      </c>
      <c r="E704" s="125" t="s">
        <v>5341</v>
      </c>
      <c r="F704" s="140" t="s">
        <v>5342</v>
      </c>
      <c r="G704" s="125" t="s">
        <v>5297</v>
      </c>
      <c r="H704" s="125" t="s">
        <v>1612</v>
      </c>
      <c r="I704" s="125" t="s">
        <v>5563</v>
      </c>
    </row>
    <row r="705" spans="1:9" x14ac:dyDescent="0.25">
      <c r="A705" s="125" t="s">
        <v>2129</v>
      </c>
      <c r="B705" s="125" t="s">
        <v>5561</v>
      </c>
      <c r="C705" s="125">
        <v>231</v>
      </c>
      <c r="D705" s="125" t="s">
        <v>5562</v>
      </c>
      <c r="E705" s="125" t="s">
        <v>5341</v>
      </c>
      <c r="F705" s="140" t="s">
        <v>5342</v>
      </c>
      <c r="G705" s="125" t="s">
        <v>5297</v>
      </c>
      <c r="H705" s="125" t="s">
        <v>5567</v>
      </c>
      <c r="I705" s="125" t="s">
        <v>3480</v>
      </c>
    </row>
    <row r="706" spans="1:9" x14ac:dyDescent="0.25">
      <c r="A706" s="125" t="s">
        <v>1512</v>
      </c>
      <c r="B706" s="125" t="s">
        <v>5336</v>
      </c>
      <c r="C706" s="125">
        <v>222</v>
      </c>
      <c r="D706" s="125" t="s">
        <v>5337</v>
      </c>
      <c r="E706" s="125" t="s">
        <v>5303</v>
      </c>
      <c r="F706" s="125" t="s">
        <v>5304</v>
      </c>
      <c r="G706" s="125" t="s">
        <v>5297</v>
      </c>
      <c r="H706" s="125" t="s">
        <v>5574</v>
      </c>
      <c r="I706" s="125" t="s">
        <v>3269</v>
      </c>
    </row>
    <row r="707" spans="1:9" x14ac:dyDescent="0.25">
      <c r="A707" s="125" t="s">
        <v>1822</v>
      </c>
      <c r="B707" s="125" t="s">
        <v>5336</v>
      </c>
      <c r="C707" s="125">
        <v>222</v>
      </c>
      <c r="D707" s="125" t="s">
        <v>5337</v>
      </c>
      <c r="E707" s="125" t="s">
        <v>5303</v>
      </c>
      <c r="F707" s="125" t="s">
        <v>5304</v>
      </c>
      <c r="G707" s="125" t="s">
        <v>5297</v>
      </c>
      <c r="H707" s="125" t="s">
        <v>371</v>
      </c>
      <c r="I707" s="125" t="s">
        <v>371</v>
      </c>
    </row>
    <row r="708" spans="1:9" x14ac:dyDescent="0.25">
      <c r="A708" s="125" t="s">
        <v>1662</v>
      </c>
      <c r="B708" s="125" t="s">
        <v>5336</v>
      </c>
      <c r="C708" s="125">
        <v>222</v>
      </c>
      <c r="D708" s="125" t="s">
        <v>5337</v>
      </c>
      <c r="E708" s="125" t="s">
        <v>5303</v>
      </c>
      <c r="F708" s="125" t="s">
        <v>5304</v>
      </c>
      <c r="G708" s="125" t="s">
        <v>5297</v>
      </c>
      <c r="H708" s="125" t="s">
        <v>3269</v>
      </c>
      <c r="I708" s="125" t="s">
        <v>3269</v>
      </c>
    </row>
    <row r="709" spans="1:9" x14ac:dyDescent="0.25">
      <c r="A709" s="125" t="s">
        <v>1367</v>
      </c>
      <c r="B709" s="125" t="s">
        <v>5336</v>
      </c>
      <c r="C709" s="125">
        <v>222</v>
      </c>
      <c r="D709" s="125" t="s">
        <v>5337</v>
      </c>
      <c r="E709" s="125" t="s">
        <v>5303</v>
      </c>
      <c r="F709" s="125" t="s">
        <v>5304</v>
      </c>
      <c r="G709" s="125" t="s">
        <v>5297</v>
      </c>
      <c r="H709" s="125" t="s">
        <v>3269</v>
      </c>
      <c r="I709" s="125" t="s">
        <v>3269</v>
      </c>
    </row>
    <row r="710" spans="1:9" x14ac:dyDescent="0.25">
      <c r="A710" s="125" t="s">
        <v>2951</v>
      </c>
      <c r="B710" s="125" t="s">
        <v>5336</v>
      </c>
      <c r="C710" s="125">
        <v>222</v>
      </c>
      <c r="D710" s="125" t="s">
        <v>5337</v>
      </c>
      <c r="E710" s="125" t="s">
        <v>5303</v>
      </c>
      <c r="F710" s="125" t="s">
        <v>5304</v>
      </c>
      <c r="G710" s="125" t="s">
        <v>5297</v>
      </c>
      <c r="H710" s="125" t="s">
        <v>3269</v>
      </c>
      <c r="I710" s="125" t="s">
        <v>3269</v>
      </c>
    </row>
    <row r="711" spans="1:9" x14ac:dyDescent="0.25">
      <c r="A711" s="125" t="s">
        <v>1284</v>
      </c>
      <c r="B711" s="125" t="s">
        <v>5336</v>
      </c>
      <c r="C711" s="125">
        <v>222</v>
      </c>
      <c r="D711" s="125" t="s">
        <v>5337</v>
      </c>
      <c r="E711" s="125" t="s">
        <v>5303</v>
      </c>
      <c r="F711" s="125" t="s">
        <v>5304</v>
      </c>
      <c r="G711" s="125" t="s">
        <v>5297</v>
      </c>
      <c r="H711" s="125" t="s">
        <v>3269</v>
      </c>
      <c r="I711" s="125" t="s">
        <v>3269</v>
      </c>
    </row>
    <row r="712" spans="1:9" x14ac:dyDescent="0.25">
      <c r="A712" s="125" t="s">
        <v>2644</v>
      </c>
      <c r="B712" s="125" t="s">
        <v>5336</v>
      </c>
      <c r="C712" s="125">
        <v>222</v>
      </c>
      <c r="D712" s="125" t="s">
        <v>5337</v>
      </c>
      <c r="E712" s="125" t="s">
        <v>5303</v>
      </c>
      <c r="F712" s="125" t="s">
        <v>5304</v>
      </c>
      <c r="G712" s="125" t="s">
        <v>5297</v>
      </c>
      <c r="H712" s="125" t="s">
        <v>3269</v>
      </c>
      <c r="I712" s="125" t="s">
        <v>3269</v>
      </c>
    </row>
    <row r="713" spans="1:9" x14ac:dyDescent="0.25">
      <c r="A713" s="125" t="s">
        <v>1292</v>
      </c>
      <c r="B713" s="125" t="s">
        <v>5336</v>
      </c>
      <c r="C713" s="125">
        <v>222</v>
      </c>
      <c r="D713" s="125" t="s">
        <v>5337</v>
      </c>
      <c r="E713" s="125" t="s">
        <v>5303</v>
      </c>
      <c r="F713" s="125" t="s">
        <v>5304</v>
      </c>
      <c r="G713" s="125" t="s">
        <v>5297</v>
      </c>
      <c r="H713" s="125" t="s">
        <v>3269</v>
      </c>
      <c r="I713" s="125" t="s">
        <v>3269</v>
      </c>
    </row>
    <row r="714" spans="1:9" x14ac:dyDescent="0.25">
      <c r="A714" s="125" t="s">
        <v>1445</v>
      </c>
      <c r="B714" s="125" t="s">
        <v>5336</v>
      </c>
      <c r="C714" s="125">
        <v>222</v>
      </c>
      <c r="D714" s="125" t="s">
        <v>5337</v>
      </c>
      <c r="E714" s="125" t="s">
        <v>5303</v>
      </c>
      <c r="F714" s="125" t="s">
        <v>5304</v>
      </c>
      <c r="G714" s="125" t="s">
        <v>5297</v>
      </c>
      <c r="H714" s="125" t="s">
        <v>5574</v>
      </c>
      <c r="I714" s="125" t="s">
        <v>3269</v>
      </c>
    </row>
    <row r="715" spans="1:9" x14ac:dyDescent="0.25">
      <c r="A715" s="125" t="s">
        <v>1510</v>
      </c>
      <c r="B715" s="125" t="s">
        <v>5336</v>
      </c>
      <c r="C715" s="125">
        <v>222</v>
      </c>
      <c r="D715" s="125" t="s">
        <v>5337</v>
      </c>
      <c r="E715" s="125" t="s">
        <v>5303</v>
      </c>
      <c r="F715" s="125" t="s">
        <v>5304</v>
      </c>
      <c r="G715" s="125" t="s">
        <v>5297</v>
      </c>
      <c r="H715" s="125" t="s">
        <v>3269</v>
      </c>
      <c r="I715" s="125" t="s">
        <v>3269</v>
      </c>
    </row>
    <row r="716" spans="1:9" x14ac:dyDescent="0.25">
      <c r="A716" s="125" t="s">
        <v>1241</v>
      </c>
      <c r="B716" s="125" t="s">
        <v>5336</v>
      </c>
      <c r="C716" s="125">
        <v>222</v>
      </c>
      <c r="D716" s="125" t="s">
        <v>5337</v>
      </c>
      <c r="E716" s="125" t="s">
        <v>5303</v>
      </c>
      <c r="F716" s="125" t="s">
        <v>5304</v>
      </c>
      <c r="G716" s="125" t="s">
        <v>5297</v>
      </c>
      <c r="H716" s="125" t="s">
        <v>5574</v>
      </c>
      <c r="I716" s="125" t="s">
        <v>3269</v>
      </c>
    </row>
    <row r="717" spans="1:9" x14ac:dyDescent="0.25">
      <c r="A717" s="125" t="s">
        <v>1200</v>
      </c>
      <c r="B717" s="125" t="s">
        <v>5575</v>
      </c>
      <c r="C717" s="125">
        <v>211</v>
      </c>
      <c r="D717" s="125" t="s">
        <v>5324</v>
      </c>
      <c r="E717" s="125" t="s">
        <v>5303</v>
      </c>
      <c r="F717" s="125" t="s">
        <v>5304</v>
      </c>
      <c r="G717" s="125" t="s">
        <v>5297</v>
      </c>
      <c r="H717" s="125" t="s">
        <v>1199</v>
      </c>
      <c r="I717" s="125" t="s">
        <v>1083</v>
      </c>
    </row>
    <row r="718" spans="1:9" x14ac:dyDescent="0.25">
      <c r="A718" s="125" t="s">
        <v>1401</v>
      </c>
      <c r="B718" s="125" t="s">
        <v>5323</v>
      </c>
      <c r="C718" s="125">
        <v>211</v>
      </c>
      <c r="D718" s="125" t="s">
        <v>5324</v>
      </c>
      <c r="E718" s="125" t="s">
        <v>5303</v>
      </c>
      <c r="F718" s="125" t="s">
        <v>5304</v>
      </c>
      <c r="G718" s="125" t="s">
        <v>5297</v>
      </c>
      <c r="H718" s="125" t="s">
        <v>5576</v>
      </c>
      <c r="I718" s="125" t="s">
        <v>3223</v>
      </c>
    </row>
    <row r="719" spans="1:9" x14ac:dyDescent="0.25">
      <c r="A719" s="125" t="s">
        <v>1240</v>
      </c>
      <c r="B719" s="125" t="s">
        <v>5323</v>
      </c>
      <c r="C719" s="125">
        <v>211</v>
      </c>
      <c r="D719" s="125" t="s">
        <v>5324</v>
      </c>
      <c r="E719" s="125" t="s">
        <v>5303</v>
      </c>
      <c r="F719" s="125" t="s">
        <v>5304</v>
      </c>
      <c r="G719" s="125" t="s">
        <v>5297</v>
      </c>
      <c r="H719" s="125" t="s">
        <v>5576</v>
      </c>
      <c r="I719" s="125" t="s">
        <v>3223</v>
      </c>
    </row>
    <row r="720" spans="1:9" x14ac:dyDescent="0.25">
      <c r="A720" s="125" t="s">
        <v>2152</v>
      </c>
      <c r="B720" s="125" t="s">
        <v>5323</v>
      </c>
      <c r="C720" s="125">
        <v>211</v>
      </c>
      <c r="D720" s="125" t="s">
        <v>5324</v>
      </c>
      <c r="E720" s="125" t="s">
        <v>5303</v>
      </c>
      <c r="F720" s="125" t="s">
        <v>5304</v>
      </c>
      <c r="G720" s="125" t="s">
        <v>5297</v>
      </c>
      <c r="H720" s="125" t="s">
        <v>5576</v>
      </c>
      <c r="I720" s="125" t="s">
        <v>3223</v>
      </c>
    </row>
    <row r="721" spans="1:9" x14ac:dyDescent="0.25">
      <c r="A721" s="125" t="s">
        <v>2194</v>
      </c>
      <c r="B721" s="125" t="s">
        <v>5323</v>
      </c>
      <c r="C721" s="125">
        <v>211</v>
      </c>
      <c r="D721" s="125" t="s">
        <v>5324</v>
      </c>
      <c r="E721" s="125" t="s">
        <v>5303</v>
      </c>
      <c r="F721" s="125" t="s">
        <v>5304</v>
      </c>
      <c r="G721" s="125" t="s">
        <v>5297</v>
      </c>
      <c r="H721" s="125" t="s">
        <v>5576</v>
      </c>
      <c r="I721" s="125" t="s">
        <v>3223</v>
      </c>
    </row>
    <row r="722" spans="1:9" x14ac:dyDescent="0.25">
      <c r="A722" s="125" t="s">
        <v>2459</v>
      </c>
      <c r="B722" s="125" t="s">
        <v>5323</v>
      </c>
      <c r="C722" s="125">
        <v>211</v>
      </c>
      <c r="D722" s="125" t="s">
        <v>5324</v>
      </c>
      <c r="E722" s="125" t="s">
        <v>5303</v>
      </c>
      <c r="F722" s="125" t="s">
        <v>5304</v>
      </c>
      <c r="G722" s="125" t="s">
        <v>5297</v>
      </c>
      <c r="H722" s="125" t="s">
        <v>5576</v>
      </c>
      <c r="I722" s="125" t="s">
        <v>3223</v>
      </c>
    </row>
    <row r="723" spans="1:9" x14ac:dyDescent="0.25">
      <c r="A723" s="125" t="s">
        <v>3036</v>
      </c>
      <c r="B723" s="125" t="s">
        <v>5323</v>
      </c>
      <c r="C723" s="125">
        <v>211</v>
      </c>
      <c r="D723" s="125" t="s">
        <v>5324</v>
      </c>
      <c r="E723" s="125" t="s">
        <v>5303</v>
      </c>
      <c r="F723" s="125" t="s">
        <v>5304</v>
      </c>
      <c r="G723" s="125" t="s">
        <v>5297</v>
      </c>
      <c r="H723" s="125" t="s">
        <v>1199</v>
      </c>
      <c r="I723" s="125" t="s">
        <v>1083</v>
      </c>
    </row>
    <row r="724" spans="1:9" x14ac:dyDescent="0.25">
      <c r="A724" s="125" t="s">
        <v>1358</v>
      </c>
      <c r="B724" s="125" t="s">
        <v>5323</v>
      </c>
      <c r="C724" s="125">
        <v>211</v>
      </c>
      <c r="D724" s="125" t="s">
        <v>5324</v>
      </c>
      <c r="E724" s="125" t="s">
        <v>5303</v>
      </c>
      <c r="F724" s="125" t="s">
        <v>5304</v>
      </c>
      <c r="G724" s="125" t="s">
        <v>5297</v>
      </c>
      <c r="H724" s="125" t="s">
        <v>1199</v>
      </c>
      <c r="I724" s="125" t="s">
        <v>1083</v>
      </c>
    </row>
    <row r="725" spans="1:9" x14ac:dyDescent="0.25">
      <c r="A725" s="125" t="s">
        <v>1919</v>
      </c>
      <c r="B725" s="125" t="s">
        <v>5301</v>
      </c>
      <c r="C725" s="125">
        <v>249</v>
      </c>
      <c r="D725" s="125" t="s">
        <v>5326</v>
      </c>
      <c r="E725" s="125" t="s">
        <v>5303</v>
      </c>
      <c r="F725" s="125" t="s">
        <v>5304</v>
      </c>
      <c r="G725" s="125" t="s">
        <v>5297</v>
      </c>
      <c r="H725" s="125" t="s">
        <v>5325</v>
      </c>
      <c r="I725" s="125" t="s">
        <v>1083</v>
      </c>
    </row>
    <row r="726" spans="1:9" x14ac:dyDescent="0.25">
      <c r="A726" s="125" t="s">
        <v>2310</v>
      </c>
      <c r="B726" s="125" t="s">
        <v>5323</v>
      </c>
      <c r="C726" s="125">
        <v>211</v>
      </c>
      <c r="D726" s="125" t="s">
        <v>5324</v>
      </c>
      <c r="E726" s="125" t="s">
        <v>5303</v>
      </c>
      <c r="F726" s="125" t="s">
        <v>5304</v>
      </c>
      <c r="G726" s="125" t="s">
        <v>5297</v>
      </c>
      <c r="H726" s="125" t="s">
        <v>1199</v>
      </c>
      <c r="I726" s="125" t="s">
        <v>1083</v>
      </c>
    </row>
    <row r="727" spans="1:9" x14ac:dyDescent="0.25">
      <c r="A727" s="125" t="s">
        <v>2255</v>
      </c>
      <c r="B727" s="125" t="s">
        <v>5323</v>
      </c>
      <c r="C727" s="125">
        <v>211</v>
      </c>
      <c r="D727" s="125" t="s">
        <v>5324</v>
      </c>
      <c r="E727" s="125" t="s">
        <v>5303</v>
      </c>
      <c r="F727" s="125" t="s">
        <v>5304</v>
      </c>
      <c r="G727" s="125" t="s">
        <v>5297</v>
      </c>
      <c r="H727" s="125" t="s">
        <v>1199</v>
      </c>
      <c r="I727" s="125" t="s">
        <v>1083</v>
      </c>
    </row>
    <row r="728" spans="1:9" x14ac:dyDescent="0.25">
      <c r="A728" s="125" t="s">
        <v>2601</v>
      </c>
      <c r="B728" s="125" t="s">
        <v>5323</v>
      </c>
      <c r="C728" s="125">
        <v>211</v>
      </c>
      <c r="D728" s="125" t="s">
        <v>5324</v>
      </c>
      <c r="E728" s="125" t="s">
        <v>5303</v>
      </c>
      <c r="F728" s="125" t="s">
        <v>5304</v>
      </c>
      <c r="G728" s="125" t="s">
        <v>5297</v>
      </c>
      <c r="H728" s="125" t="s">
        <v>5577</v>
      </c>
      <c r="I728" s="125" t="s">
        <v>2878</v>
      </c>
    </row>
    <row r="729" spans="1:9" x14ac:dyDescent="0.25">
      <c r="A729" s="125" t="s">
        <v>2423</v>
      </c>
      <c r="B729" s="125" t="s">
        <v>5323</v>
      </c>
      <c r="C729" s="125">
        <v>211</v>
      </c>
      <c r="D729" s="125" t="s">
        <v>5324</v>
      </c>
      <c r="E729" s="125" t="s">
        <v>5303</v>
      </c>
      <c r="F729" s="125" t="s">
        <v>5304</v>
      </c>
      <c r="G729" s="125" t="s">
        <v>5297</v>
      </c>
      <c r="H729" s="125" t="s">
        <v>1199</v>
      </c>
      <c r="I729" s="125" t="s">
        <v>1083</v>
      </c>
    </row>
    <row r="730" spans="1:9" x14ac:dyDescent="0.25">
      <c r="A730" s="125" t="s">
        <v>2909</v>
      </c>
      <c r="B730" s="125" t="s">
        <v>5323</v>
      </c>
      <c r="C730" s="125">
        <v>211</v>
      </c>
      <c r="D730" s="125" t="s">
        <v>5324</v>
      </c>
      <c r="E730" s="125" t="s">
        <v>5303</v>
      </c>
      <c r="F730" s="125" t="s">
        <v>5304</v>
      </c>
      <c r="G730" s="125" t="s">
        <v>5297</v>
      </c>
      <c r="H730" s="125" t="s">
        <v>2103</v>
      </c>
      <c r="I730" s="125" t="s">
        <v>3223</v>
      </c>
    </row>
    <row r="731" spans="1:9" x14ac:dyDescent="0.25">
      <c r="A731" s="125" t="s">
        <v>2331</v>
      </c>
      <c r="B731" s="125" t="s">
        <v>5578</v>
      </c>
      <c r="C731" s="125">
        <v>224</v>
      </c>
      <c r="D731" s="125" t="s">
        <v>5579</v>
      </c>
      <c r="E731" s="125" t="s">
        <v>5364</v>
      </c>
      <c r="F731" s="125" t="s">
        <v>5365</v>
      </c>
      <c r="G731" s="125" t="s">
        <v>5297</v>
      </c>
      <c r="H731" s="125" t="s">
        <v>5580</v>
      </c>
      <c r="I731" s="125" t="s">
        <v>5581</v>
      </c>
    </row>
    <row r="732" spans="1:9" x14ac:dyDescent="0.25">
      <c r="A732" s="125" t="s">
        <v>3580</v>
      </c>
      <c r="B732" s="125" t="s">
        <v>5502</v>
      </c>
      <c r="C732" s="125">
        <v>202</v>
      </c>
      <c r="D732" s="125" t="s">
        <v>5503</v>
      </c>
      <c r="E732" s="125" t="s">
        <v>5295</v>
      </c>
      <c r="F732" s="125" t="s">
        <v>5296</v>
      </c>
      <c r="G732" s="125" t="s">
        <v>5297</v>
      </c>
      <c r="H732" s="125" t="s">
        <v>5582</v>
      </c>
      <c r="I732" s="125" t="s">
        <v>5375</v>
      </c>
    </row>
    <row r="733" spans="1:9" x14ac:dyDescent="0.25">
      <c r="A733" s="125" t="s">
        <v>2900</v>
      </c>
      <c r="B733" s="125" t="s">
        <v>5502</v>
      </c>
      <c r="C733" s="125">
        <v>202</v>
      </c>
      <c r="D733" s="125" t="s">
        <v>5503</v>
      </c>
      <c r="E733" s="125" t="s">
        <v>5295</v>
      </c>
      <c r="F733" s="125" t="s">
        <v>5296</v>
      </c>
      <c r="G733" s="125" t="s">
        <v>5297</v>
      </c>
      <c r="H733" s="125" t="s">
        <v>5582</v>
      </c>
      <c r="I733" s="125" t="s">
        <v>5375</v>
      </c>
    </row>
    <row r="734" spans="1:9" x14ac:dyDescent="0.25">
      <c r="A734" s="125" t="s">
        <v>3152</v>
      </c>
      <c r="B734" s="125" t="s">
        <v>5502</v>
      </c>
      <c r="C734" s="125">
        <v>202</v>
      </c>
      <c r="D734" s="125" t="s">
        <v>5503</v>
      </c>
      <c r="E734" s="125" t="s">
        <v>5295</v>
      </c>
      <c r="F734" s="125" t="s">
        <v>5296</v>
      </c>
      <c r="G734" s="125" t="s">
        <v>5297</v>
      </c>
      <c r="H734" s="125" t="s">
        <v>5583</v>
      </c>
      <c r="I734" s="125" t="s">
        <v>5581</v>
      </c>
    </row>
    <row r="735" spans="1:9" x14ac:dyDescent="0.25">
      <c r="A735" s="125" t="s">
        <v>1765</v>
      </c>
      <c r="B735" s="125" t="s">
        <v>5502</v>
      </c>
      <c r="C735" s="125">
        <v>202</v>
      </c>
      <c r="D735" s="125" t="s">
        <v>5503</v>
      </c>
      <c r="E735" s="125" t="s">
        <v>5295</v>
      </c>
      <c r="F735" s="125" t="s">
        <v>5296</v>
      </c>
      <c r="G735" s="125" t="s">
        <v>5297</v>
      </c>
      <c r="H735" s="125" t="s">
        <v>5583</v>
      </c>
      <c r="I735" s="125" t="s">
        <v>5581</v>
      </c>
    </row>
    <row r="736" spans="1:9" x14ac:dyDescent="0.25">
      <c r="A736" s="125" t="s">
        <v>2265</v>
      </c>
      <c r="B736" s="125" t="s">
        <v>5578</v>
      </c>
      <c r="C736" s="125">
        <v>224</v>
      </c>
      <c r="D736" s="125" t="s">
        <v>5579</v>
      </c>
      <c r="E736" s="125" t="s">
        <v>5364</v>
      </c>
      <c r="F736" s="125" t="s">
        <v>5365</v>
      </c>
      <c r="G736" s="125" t="s">
        <v>5297</v>
      </c>
      <c r="H736" s="125" t="s">
        <v>5580</v>
      </c>
      <c r="I736" s="125" t="s">
        <v>5581</v>
      </c>
    </row>
    <row r="737" spans="1:9" x14ac:dyDescent="0.25">
      <c r="A737" s="125" t="s">
        <v>1430</v>
      </c>
      <c r="B737" s="125" t="s">
        <v>5502</v>
      </c>
      <c r="C737" s="125">
        <v>202</v>
      </c>
      <c r="D737" s="125" t="s">
        <v>5584</v>
      </c>
      <c r="E737" s="125" t="s">
        <v>5295</v>
      </c>
      <c r="F737" s="125" t="s">
        <v>5296</v>
      </c>
      <c r="G737" s="125" t="s">
        <v>5297</v>
      </c>
      <c r="H737" s="125" t="s">
        <v>5583</v>
      </c>
      <c r="I737" s="125" t="s">
        <v>5581</v>
      </c>
    </row>
    <row r="738" spans="1:9" x14ac:dyDescent="0.25">
      <c r="A738" s="125" t="s">
        <v>3200</v>
      </c>
      <c r="B738" s="125" t="s">
        <v>5502</v>
      </c>
      <c r="C738" s="125">
        <v>202</v>
      </c>
      <c r="D738" s="125" t="s">
        <v>5584</v>
      </c>
      <c r="E738" s="125" t="s">
        <v>5295</v>
      </c>
      <c r="F738" s="125" t="s">
        <v>5296</v>
      </c>
      <c r="G738" s="125" t="s">
        <v>5297</v>
      </c>
      <c r="H738" s="125" t="s">
        <v>5583</v>
      </c>
      <c r="I738" s="125" t="s">
        <v>5581</v>
      </c>
    </row>
    <row r="739" spans="1:9" x14ac:dyDescent="0.25">
      <c r="A739" s="125" t="s">
        <v>2250</v>
      </c>
      <c r="B739" s="125" t="s">
        <v>5502</v>
      </c>
      <c r="C739" s="125">
        <v>202</v>
      </c>
      <c r="D739" s="125" t="s">
        <v>5503</v>
      </c>
      <c r="E739" s="125" t="s">
        <v>5295</v>
      </c>
      <c r="F739" s="125" t="s">
        <v>5296</v>
      </c>
      <c r="G739" s="125" t="s">
        <v>5297</v>
      </c>
      <c r="H739" s="125" t="s">
        <v>5582</v>
      </c>
      <c r="I739" s="125" t="s">
        <v>5375</v>
      </c>
    </row>
    <row r="740" spans="1:9" x14ac:dyDescent="0.25">
      <c r="A740" s="125" t="s">
        <v>5585</v>
      </c>
      <c r="B740" s="125" t="s">
        <v>5502</v>
      </c>
      <c r="C740" s="125">
        <v>202</v>
      </c>
      <c r="D740" s="125" t="s">
        <v>5503</v>
      </c>
      <c r="E740" s="125" t="s">
        <v>5295</v>
      </c>
      <c r="F740" s="125" t="s">
        <v>5296</v>
      </c>
      <c r="G740" s="125" t="s">
        <v>5297</v>
      </c>
      <c r="H740" s="125" t="s">
        <v>5586</v>
      </c>
      <c r="I740" s="125" t="s">
        <v>5375</v>
      </c>
    </row>
    <row r="741" spans="1:9" x14ac:dyDescent="0.25">
      <c r="A741" s="125" t="s">
        <v>3437</v>
      </c>
      <c r="B741" s="125" t="s">
        <v>5578</v>
      </c>
      <c r="C741" s="125">
        <v>224</v>
      </c>
      <c r="D741" s="125" t="s">
        <v>5579</v>
      </c>
      <c r="E741" s="125" t="s">
        <v>5364</v>
      </c>
      <c r="F741" s="125" t="s">
        <v>5365</v>
      </c>
      <c r="G741" s="125" t="s">
        <v>5297</v>
      </c>
      <c r="H741" s="125" t="s">
        <v>5580</v>
      </c>
      <c r="I741" s="125" t="s">
        <v>5581</v>
      </c>
    </row>
    <row r="742" spans="1:9" x14ac:dyDescent="0.25">
      <c r="A742" s="125" t="s">
        <v>2666</v>
      </c>
      <c r="B742" s="125" t="s">
        <v>5578</v>
      </c>
      <c r="C742" s="125">
        <v>224</v>
      </c>
      <c r="D742" s="125" t="s">
        <v>5579</v>
      </c>
      <c r="E742" s="125" t="s">
        <v>5364</v>
      </c>
      <c r="F742" s="125" t="s">
        <v>5365</v>
      </c>
      <c r="G742" s="125" t="s">
        <v>5297</v>
      </c>
      <c r="H742" s="125" t="s">
        <v>5580</v>
      </c>
      <c r="I742" s="125" t="s">
        <v>5581</v>
      </c>
    </row>
    <row r="743" spans="1:9" x14ac:dyDescent="0.25">
      <c r="A743" s="125" t="s">
        <v>3491</v>
      </c>
      <c r="B743" s="125" t="s">
        <v>5502</v>
      </c>
      <c r="C743" s="125">
        <v>202</v>
      </c>
      <c r="D743" s="125" t="s">
        <v>5503</v>
      </c>
      <c r="E743" s="125" t="s">
        <v>5295</v>
      </c>
      <c r="F743" s="125" t="s">
        <v>5296</v>
      </c>
      <c r="G743" s="125" t="s">
        <v>5297</v>
      </c>
      <c r="H743" s="125" t="s">
        <v>5587</v>
      </c>
      <c r="I743" s="125" t="s">
        <v>5581</v>
      </c>
    </row>
    <row r="744" spans="1:9" x14ac:dyDescent="0.25">
      <c r="A744" s="125" t="s">
        <v>2668</v>
      </c>
      <c r="B744" s="125" t="s">
        <v>5502</v>
      </c>
      <c r="C744" s="125">
        <v>202</v>
      </c>
      <c r="D744" s="125" t="s">
        <v>5503</v>
      </c>
      <c r="E744" s="125" t="s">
        <v>5295</v>
      </c>
      <c r="F744" s="125" t="s">
        <v>5296</v>
      </c>
      <c r="G744" s="125" t="s">
        <v>5297</v>
      </c>
      <c r="H744" s="125" t="s">
        <v>5580</v>
      </c>
      <c r="I744" s="125" t="s">
        <v>5581</v>
      </c>
    </row>
    <row r="745" spans="1:9" x14ac:dyDescent="0.25">
      <c r="A745" s="125" t="s">
        <v>1875</v>
      </c>
      <c r="B745" s="125" t="s">
        <v>5502</v>
      </c>
      <c r="C745" s="125">
        <v>202</v>
      </c>
      <c r="D745" s="125" t="s">
        <v>5503</v>
      </c>
      <c r="E745" s="125" t="s">
        <v>5295</v>
      </c>
      <c r="F745" s="125" t="s">
        <v>5296</v>
      </c>
      <c r="G745" s="125" t="s">
        <v>5297</v>
      </c>
      <c r="H745" s="125" t="s">
        <v>5582</v>
      </c>
      <c r="I745" s="125" t="s">
        <v>5375</v>
      </c>
    </row>
    <row r="746" spans="1:9" x14ac:dyDescent="0.25">
      <c r="A746" s="125" t="s">
        <v>2513</v>
      </c>
      <c r="B746" s="125" t="s">
        <v>5502</v>
      </c>
      <c r="C746" s="125">
        <v>202</v>
      </c>
      <c r="D746" s="125" t="s">
        <v>5503</v>
      </c>
      <c r="E746" s="125" t="s">
        <v>5295</v>
      </c>
      <c r="F746" s="125" t="s">
        <v>5296</v>
      </c>
      <c r="G746" s="125" t="s">
        <v>5297</v>
      </c>
      <c r="H746" s="125" t="s">
        <v>5587</v>
      </c>
      <c r="I746" s="125" t="s">
        <v>5581</v>
      </c>
    </row>
    <row r="747" spans="1:9" x14ac:dyDescent="0.25">
      <c r="A747" s="125" t="s">
        <v>3045</v>
      </c>
      <c r="B747" s="125" t="s">
        <v>5502</v>
      </c>
      <c r="C747" s="125">
        <v>202</v>
      </c>
      <c r="D747" s="125" t="s">
        <v>5503</v>
      </c>
      <c r="E747" s="125" t="s">
        <v>5295</v>
      </c>
      <c r="F747" s="125" t="s">
        <v>5296</v>
      </c>
      <c r="G747" s="125" t="s">
        <v>5297</v>
      </c>
      <c r="H747" s="125" t="s">
        <v>5583</v>
      </c>
      <c r="I747" s="125" t="s">
        <v>5581</v>
      </c>
    </row>
    <row r="748" spans="1:9" x14ac:dyDescent="0.25">
      <c r="A748" s="125" t="s">
        <v>3309</v>
      </c>
      <c r="B748" s="125" t="s">
        <v>5502</v>
      </c>
      <c r="C748" s="125">
        <v>202</v>
      </c>
      <c r="D748" s="125" t="s">
        <v>5503</v>
      </c>
      <c r="E748" s="125" t="s">
        <v>5295</v>
      </c>
      <c r="F748" s="125" t="s">
        <v>5296</v>
      </c>
      <c r="G748" s="125" t="s">
        <v>5297</v>
      </c>
      <c r="H748" s="125" t="s">
        <v>5582</v>
      </c>
      <c r="I748" s="125" t="s">
        <v>5375</v>
      </c>
    </row>
    <row r="749" spans="1:9" x14ac:dyDescent="0.25">
      <c r="A749" s="125" t="s">
        <v>1948</v>
      </c>
      <c r="B749" s="125" t="s">
        <v>5578</v>
      </c>
      <c r="C749" s="125">
        <v>224</v>
      </c>
      <c r="D749" s="125" t="s">
        <v>5579</v>
      </c>
      <c r="E749" s="125" t="s">
        <v>5364</v>
      </c>
      <c r="F749" s="125" t="s">
        <v>5365</v>
      </c>
      <c r="G749" s="125" t="s">
        <v>5297</v>
      </c>
      <c r="H749" s="125" t="s">
        <v>5587</v>
      </c>
      <c r="I749" s="125" t="s">
        <v>5581</v>
      </c>
    </row>
    <row r="750" spans="1:9" x14ac:dyDescent="0.25">
      <c r="A750" s="125" t="s">
        <v>2998</v>
      </c>
      <c r="B750" s="125" t="s">
        <v>5578</v>
      </c>
      <c r="C750" s="125">
        <v>224</v>
      </c>
      <c r="D750" s="125" t="s">
        <v>5579</v>
      </c>
      <c r="E750" s="125" t="s">
        <v>5364</v>
      </c>
      <c r="F750" s="125" t="s">
        <v>5365</v>
      </c>
      <c r="G750" s="125" t="s">
        <v>5297</v>
      </c>
      <c r="H750" s="125" t="s">
        <v>5587</v>
      </c>
      <c r="I750" s="125" t="s">
        <v>5581</v>
      </c>
    </row>
    <row r="751" spans="1:9" x14ac:dyDescent="0.25">
      <c r="A751" s="125" t="s">
        <v>2262</v>
      </c>
      <c r="B751" s="125" t="s">
        <v>5588</v>
      </c>
      <c r="C751" s="125">
        <v>243</v>
      </c>
      <c r="D751" s="125" t="s">
        <v>5589</v>
      </c>
      <c r="E751" s="125" t="s">
        <v>5364</v>
      </c>
      <c r="F751" s="125" t="s">
        <v>5365</v>
      </c>
      <c r="G751" s="125" t="s">
        <v>5297</v>
      </c>
      <c r="H751" s="125" t="s">
        <v>5590</v>
      </c>
      <c r="I751" s="125" t="s">
        <v>5581</v>
      </c>
    </row>
    <row r="752" spans="1:9" x14ac:dyDescent="0.25">
      <c r="A752" s="125" t="s">
        <v>3011</v>
      </c>
      <c r="B752" s="125" t="s">
        <v>5588</v>
      </c>
      <c r="C752" s="125">
        <v>243</v>
      </c>
      <c r="D752" s="125" t="s">
        <v>5589</v>
      </c>
      <c r="E752" s="125" t="s">
        <v>5364</v>
      </c>
      <c r="F752" s="125" t="s">
        <v>5365</v>
      </c>
      <c r="G752" s="125" t="s">
        <v>5297</v>
      </c>
      <c r="H752" s="125" t="s">
        <v>3409</v>
      </c>
      <c r="I752" s="125" t="s">
        <v>5581</v>
      </c>
    </row>
    <row r="753" spans="1:9" x14ac:dyDescent="0.25">
      <c r="A753" s="125" t="s">
        <v>3230</v>
      </c>
      <c r="B753" s="125" t="s">
        <v>5588</v>
      </c>
      <c r="C753" s="125">
        <v>243</v>
      </c>
      <c r="D753" s="125" t="s">
        <v>5589</v>
      </c>
      <c r="E753" s="125" t="s">
        <v>5364</v>
      </c>
      <c r="F753" s="125" t="s">
        <v>5365</v>
      </c>
      <c r="G753" s="125" t="s">
        <v>5297</v>
      </c>
      <c r="H753" s="125" t="s">
        <v>3376</v>
      </c>
      <c r="I753" s="125" t="s">
        <v>5581</v>
      </c>
    </row>
    <row r="754" spans="1:9" x14ac:dyDescent="0.25">
      <c r="A754" s="125" t="s">
        <v>2213</v>
      </c>
      <c r="B754" s="125" t="s">
        <v>5588</v>
      </c>
      <c r="C754" s="125">
        <v>243</v>
      </c>
      <c r="D754" s="125" t="s">
        <v>5589</v>
      </c>
      <c r="E754" s="125" t="s">
        <v>5364</v>
      </c>
      <c r="F754" s="125" t="s">
        <v>5365</v>
      </c>
      <c r="G754" s="125" t="s">
        <v>5297</v>
      </c>
      <c r="H754" s="125" t="s">
        <v>3409</v>
      </c>
      <c r="I754" s="125" t="s">
        <v>5581</v>
      </c>
    </row>
    <row r="755" spans="1:9" x14ac:dyDescent="0.25">
      <c r="A755" s="125" t="s">
        <v>2078</v>
      </c>
      <c r="B755" s="125" t="s">
        <v>5588</v>
      </c>
      <c r="C755" s="125">
        <v>243</v>
      </c>
      <c r="D755" s="125" t="s">
        <v>5589</v>
      </c>
      <c r="E755" s="125" t="s">
        <v>5364</v>
      </c>
      <c r="F755" s="125" t="s">
        <v>5365</v>
      </c>
      <c r="G755" s="125" t="s">
        <v>5297</v>
      </c>
      <c r="H755" s="125" t="s">
        <v>3409</v>
      </c>
      <c r="I755" s="125" t="s">
        <v>5581</v>
      </c>
    </row>
    <row r="756" spans="1:9" x14ac:dyDescent="0.25">
      <c r="A756" s="125" t="s">
        <v>3424</v>
      </c>
      <c r="B756" s="125" t="s">
        <v>5588</v>
      </c>
      <c r="C756" s="125">
        <v>243</v>
      </c>
      <c r="D756" s="125" t="s">
        <v>5589</v>
      </c>
      <c r="E756" s="125" t="s">
        <v>5364</v>
      </c>
      <c r="F756" s="125" t="s">
        <v>5365</v>
      </c>
      <c r="G756" s="125" t="s">
        <v>5297</v>
      </c>
      <c r="H756" s="125" t="s">
        <v>3409</v>
      </c>
      <c r="I756" s="125" t="s">
        <v>5581</v>
      </c>
    </row>
    <row r="757" spans="1:9" x14ac:dyDescent="0.25">
      <c r="A757" s="125" t="s">
        <v>2275</v>
      </c>
      <c r="B757" s="125" t="s">
        <v>5588</v>
      </c>
      <c r="C757" s="125">
        <v>243</v>
      </c>
      <c r="D757" s="125" t="s">
        <v>5589</v>
      </c>
      <c r="E757" s="125" t="s">
        <v>5364</v>
      </c>
      <c r="F757" s="125" t="s">
        <v>5365</v>
      </c>
      <c r="G757" s="125" t="s">
        <v>5297</v>
      </c>
      <c r="H757" s="125" t="s">
        <v>5587</v>
      </c>
      <c r="I757" s="125" t="s">
        <v>5581</v>
      </c>
    </row>
    <row r="758" spans="1:9" x14ac:dyDescent="0.25">
      <c r="A758" s="125" t="s">
        <v>5591</v>
      </c>
      <c r="B758" s="125" t="s">
        <v>5588</v>
      </c>
      <c r="C758" s="125">
        <v>243</v>
      </c>
      <c r="D758" s="125" t="s">
        <v>5589</v>
      </c>
      <c r="E758" s="125" t="s">
        <v>5364</v>
      </c>
      <c r="F758" s="125" t="s">
        <v>5365</v>
      </c>
      <c r="G758" s="125" t="s">
        <v>5297</v>
      </c>
      <c r="H758" s="125" t="s">
        <v>5590</v>
      </c>
      <c r="I758" s="125" t="s">
        <v>5581</v>
      </c>
    </row>
    <row r="759" spans="1:9" x14ac:dyDescent="0.25">
      <c r="A759" s="125" t="s">
        <v>5592</v>
      </c>
      <c r="B759" s="125" t="s">
        <v>5588</v>
      </c>
      <c r="C759" s="125">
        <v>243</v>
      </c>
      <c r="D759" s="125" t="s">
        <v>5589</v>
      </c>
      <c r="E759" s="125" t="s">
        <v>5364</v>
      </c>
      <c r="F759" s="125" t="s">
        <v>5365</v>
      </c>
      <c r="G759" s="125" t="s">
        <v>5297</v>
      </c>
      <c r="H759" s="125" t="s">
        <v>5590</v>
      </c>
      <c r="I759" s="125" t="s">
        <v>5581</v>
      </c>
    </row>
    <row r="760" spans="1:9" x14ac:dyDescent="0.25">
      <c r="A760" s="125" t="s">
        <v>5593</v>
      </c>
      <c r="B760" s="125" t="s">
        <v>5588</v>
      </c>
      <c r="C760" s="125">
        <v>243</v>
      </c>
      <c r="D760" s="125" t="s">
        <v>5589</v>
      </c>
      <c r="E760" s="125" t="s">
        <v>5364</v>
      </c>
      <c r="F760" s="125" t="s">
        <v>5365</v>
      </c>
      <c r="G760" s="125" t="s">
        <v>5297</v>
      </c>
      <c r="H760" s="125" t="s">
        <v>371</v>
      </c>
      <c r="I760" s="125" t="s">
        <v>371</v>
      </c>
    </row>
    <row r="761" spans="1:9" x14ac:dyDescent="0.25">
      <c r="A761" s="125" t="s">
        <v>5594</v>
      </c>
      <c r="B761" s="125" t="s">
        <v>5588</v>
      </c>
      <c r="C761" s="125">
        <v>243</v>
      </c>
      <c r="D761" s="125" t="s">
        <v>5589</v>
      </c>
      <c r="E761" s="125" t="s">
        <v>5364</v>
      </c>
      <c r="F761" s="125" t="s">
        <v>5365</v>
      </c>
      <c r="G761" s="125" t="s">
        <v>5297</v>
      </c>
      <c r="H761" s="125" t="s">
        <v>371</v>
      </c>
      <c r="I761" s="125" t="s">
        <v>371</v>
      </c>
    </row>
    <row r="762" spans="1:9" x14ac:dyDescent="0.25">
      <c r="A762" s="125" t="s">
        <v>5595</v>
      </c>
      <c r="B762" s="125" t="s">
        <v>5588</v>
      </c>
      <c r="C762" s="125">
        <v>243</v>
      </c>
      <c r="D762" s="125" t="s">
        <v>5589</v>
      </c>
      <c r="E762" s="125" t="s">
        <v>5364</v>
      </c>
      <c r="F762" s="125" t="s">
        <v>5365</v>
      </c>
      <c r="G762" s="125" t="s">
        <v>5297</v>
      </c>
      <c r="H762" s="125" t="s">
        <v>5596</v>
      </c>
      <c r="I762" s="125" t="s">
        <v>5597</v>
      </c>
    </row>
    <row r="763" spans="1:9" x14ac:dyDescent="0.25">
      <c r="A763" s="125" t="s">
        <v>3511</v>
      </c>
      <c r="B763" s="125" t="s">
        <v>5588</v>
      </c>
      <c r="C763" s="125">
        <v>243</v>
      </c>
      <c r="D763" s="125" t="s">
        <v>5589</v>
      </c>
      <c r="E763" s="125" t="s">
        <v>5364</v>
      </c>
      <c r="F763" s="125" t="s">
        <v>5365</v>
      </c>
      <c r="G763" s="125" t="s">
        <v>5297</v>
      </c>
      <c r="H763" s="125" t="s">
        <v>5590</v>
      </c>
      <c r="I763" s="125" t="s">
        <v>5581</v>
      </c>
    </row>
    <row r="764" spans="1:9" x14ac:dyDescent="0.25">
      <c r="A764" s="125" t="s">
        <v>5598</v>
      </c>
      <c r="B764" s="125" t="s">
        <v>5588</v>
      </c>
      <c r="C764" s="125">
        <v>243</v>
      </c>
      <c r="D764" s="125" t="s">
        <v>5589</v>
      </c>
      <c r="E764" s="125" t="s">
        <v>5364</v>
      </c>
      <c r="F764" s="125" t="s">
        <v>5365</v>
      </c>
      <c r="G764" s="125" t="s">
        <v>5297</v>
      </c>
      <c r="H764" s="125" t="s">
        <v>5596</v>
      </c>
      <c r="I764" s="125" t="s">
        <v>5597</v>
      </c>
    </row>
    <row r="765" spans="1:9" x14ac:dyDescent="0.25">
      <c r="A765" s="125" t="s">
        <v>1827</v>
      </c>
      <c r="B765" s="125" t="s">
        <v>5588</v>
      </c>
      <c r="C765" s="125">
        <v>243</v>
      </c>
      <c r="D765" s="125" t="s">
        <v>5589</v>
      </c>
      <c r="E765" s="125" t="s">
        <v>5364</v>
      </c>
      <c r="F765" s="125" t="s">
        <v>5365</v>
      </c>
      <c r="G765" s="125" t="s">
        <v>5297</v>
      </c>
      <c r="H765" s="125" t="s">
        <v>5596</v>
      </c>
      <c r="I765" s="125" t="s">
        <v>5597</v>
      </c>
    </row>
    <row r="766" spans="1:9" x14ac:dyDescent="0.25">
      <c r="A766" s="125" t="s">
        <v>3062</v>
      </c>
      <c r="B766" s="125" t="s">
        <v>5588</v>
      </c>
      <c r="C766" s="125">
        <v>243</v>
      </c>
      <c r="D766" s="125" t="s">
        <v>5589</v>
      </c>
      <c r="E766" s="125" t="s">
        <v>5364</v>
      </c>
      <c r="F766" s="125" t="s">
        <v>5365</v>
      </c>
      <c r="G766" s="125" t="s">
        <v>5297</v>
      </c>
      <c r="H766" s="125" t="s">
        <v>5590</v>
      </c>
      <c r="I766" s="125" t="s">
        <v>5581</v>
      </c>
    </row>
    <row r="767" spans="1:9" x14ac:dyDescent="0.25">
      <c r="A767" s="125" t="s">
        <v>3565</v>
      </c>
      <c r="B767" s="125" t="s">
        <v>5588</v>
      </c>
      <c r="C767" s="125">
        <v>243</v>
      </c>
      <c r="D767" s="125" t="s">
        <v>5589</v>
      </c>
      <c r="E767" s="125" t="s">
        <v>5364</v>
      </c>
      <c r="F767" s="125" t="s">
        <v>5365</v>
      </c>
      <c r="G767" s="125" t="s">
        <v>5297</v>
      </c>
      <c r="H767" s="125" t="s">
        <v>5590</v>
      </c>
      <c r="I767" s="125" t="s">
        <v>5581</v>
      </c>
    </row>
    <row r="768" spans="1:9" x14ac:dyDescent="0.25">
      <c r="A768" s="125" t="s">
        <v>3577</v>
      </c>
      <c r="B768" s="125" t="s">
        <v>5588</v>
      </c>
      <c r="C768" s="125">
        <v>243</v>
      </c>
      <c r="D768" s="125" t="s">
        <v>5589</v>
      </c>
      <c r="E768" s="125" t="s">
        <v>5364</v>
      </c>
      <c r="F768" s="125" t="s">
        <v>5365</v>
      </c>
      <c r="G768" s="125" t="s">
        <v>5297</v>
      </c>
      <c r="H768" s="125" t="s">
        <v>371</v>
      </c>
      <c r="I768" s="125" t="s">
        <v>371</v>
      </c>
    </row>
    <row r="769" spans="1:9" x14ac:dyDescent="0.25">
      <c r="A769" s="125" t="s">
        <v>3520</v>
      </c>
      <c r="B769" s="125" t="s">
        <v>5588</v>
      </c>
      <c r="C769" s="125">
        <v>243</v>
      </c>
      <c r="D769" s="125" t="s">
        <v>5589</v>
      </c>
      <c r="E769" s="125" t="s">
        <v>5364</v>
      </c>
      <c r="F769" s="125" t="s">
        <v>5365</v>
      </c>
      <c r="G769" s="125" t="s">
        <v>5297</v>
      </c>
      <c r="H769" s="125" t="s">
        <v>5590</v>
      </c>
      <c r="I769" s="125" t="s">
        <v>5581</v>
      </c>
    </row>
    <row r="770" spans="1:9" x14ac:dyDescent="0.25">
      <c r="A770" s="125" t="s">
        <v>5599</v>
      </c>
      <c r="B770" s="125" t="s">
        <v>5588</v>
      </c>
      <c r="C770" s="125">
        <v>243</v>
      </c>
      <c r="D770" s="125" t="s">
        <v>5589</v>
      </c>
      <c r="E770" s="125" t="s">
        <v>5364</v>
      </c>
      <c r="F770" s="125" t="s">
        <v>5365</v>
      </c>
      <c r="G770" s="125" t="s">
        <v>5297</v>
      </c>
      <c r="H770" s="125" t="s">
        <v>5590</v>
      </c>
      <c r="I770" s="125" t="s">
        <v>5581</v>
      </c>
    </row>
    <row r="771" spans="1:9" x14ac:dyDescent="0.25">
      <c r="A771" s="125" t="s">
        <v>5600</v>
      </c>
      <c r="B771" s="125" t="s">
        <v>5588</v>
      </c>
      <c r="C771" s="125">
        <v>243</v>
      </c>
      <c r="D771" s="125" t="s">
        <v>5589</v>
      </c>
      <c r="E771" s="125" t="s">
        <v>5364</v>
      </c>
      <c r="F771" s="125" t="s">
        <v>5365</v>
      </c>
      <c r="G771" s="125" t="s">
        <v>5297</v>
      </c>
      <c r="H771" s="125" t="s">
        <v>5596</v>
      </c>
      <c r="I771" s="125" t="s">
        <v>5597</v>
      </c>
    </row>
    <row r="772" spans="1:9" x14ac:dyDescent="0.25">
      <c r="A772" s="125" t="s">
        <v>2884</v>
      </c>
      <c r="B772" s="125" t="s">
        <v>5588</v>
      </c>
      <c r="C772" s="125">
        <v>243</v>
      </c>
      <c r="D772" s="125" t="s">
        <v>5589</v>
      </c>
      <c r="E772" s="125" t="s">
        <v>5364</v>
      </c>
      <c r="F772" s="125" t="s">
        <v>5365</v>
      </c>
      <c r="G772" s="125" t="s">
        <v>5297</v>
      </c>
      <c r="H772" s="125" t="s">
        <v>5596</v>
      </c>
      <c r="I772" s="125" t="s">
        <v>5597</v>
      </c>
    </row>
    <row r="773" spans="1:9" x14ac:dyDescent="0.25">
      <c r="A773" s="125" t="s">
        <v>5601</v>
      </c>
      <c r="B773" s="125" t="s">
        <v>5588</v>
      </c>
      <c r="C773" s="125">
        <v>243</v>
      </c>
      <c r="D773" s="125" t="s">
        <v>5589</v>
      </c>
      <c r="E773" s="125" t="s">
        <v>5364</v>
      </c>
      <c r="F773" s="125" t="s">
        <v>5365</v>
      </c>
      <c r="G773" s="125" t="s">
        <v>5297</v>
      </c>
      <c r="H773" s="125" t="s">
        <v>5590</v>
      </c>
      <c r="I773" s="125" t="s">
        <v>5581</v>
      </c>
    </row>
    <row r="774" spans="1:9" x14ac:dyDescent="0.25">
      <c r="A774" s="125" t="s">
        <v>1970</v>
      </c>
      <c r="B774" s="125" t="s">
        <v>5602</v>
      </c>
      <c r="C774" s="125">
        <v>702</v>
      </c>
      <c r="D774" s="125" t="s">
        <v>5603</v>
      </c>
      <c r="E774" s="125" t="s">
        <v>5465</v>
      </c>
      <c r="F774" s="125" t="s">
        <v>5466</v>
      </c>
      <c r="G774" s="125" t="s">
        <v>5270</v>
      </c>
      <c r="H774" s="125" t="s">
        <v>5604</v>
      </c>
      <c r="I774" s="125" t="s">
        <v>5604</v>
      </c>
    </row>
    <row r="775" spans="1:9" x14ac:dyDescent="0.25">
      <c r="A775" s="125" t="s">
        <v>2561</v>
      </c>
      <c r="B775" s="125" t="s">
        <v>5602</v>
      </c>
      <c r="C775" s="125">
        <v>702</v>
      </c>
      <c r="D775" s="125" t="s">
        <v>5603</v>
      </c>
      <c r="E775" s="125" t="s">
        <v>5465</v>
      </c>
      <c r="F775" s="125" t="s">
        <v>5466</v>
      </c>
      <c r="G775" s="125" t="s">
        <v>5270</v>
      </c>
      <c r="H775" s="125" t="s">
        <v>5604</v>
      </c>
      <c r="I775" s="125" t="s">
        <v>5604</v>
      </c>
    </row>
    <row r="776" spans="1:9" x14ac:dyDescent="0.25">
      <c r="A776" s="125" t="s">
        <v>2682</v>
      </c>
      <c r="B776" s="125" t="s">
        <v>5602</v>
      </c>
      <c r="C776" s="125">
        <v>702</v>
      </c>
      <c r="D776" s="125" t="s">
        <v>5603</v>
      </c>
      <c r="E776" s="125" t="s">
        <v>5465</v>
      </c>
      <c r="F776" s="125" t="s">
        <v>5466</v>
      </c>
      <c r="G776" s="125" t="s">
        <v>5270</v>
      </c>
      <c r="H776" s="125" t="s">
        <v>5604</v>
      </c>
      <c r="I776" s="125" t="s">
        <v>5604</v>
      </c>
    </row>
    <row r="777" spans="1:9" x14ac:dyDescent="0.25">
      <c r="A777" s="125" t="s">
        <v>1972</v>
      </c>
      <c r="B777" s="125" t="s">
        <v>5602</v>
      </c>
      <c r="C777" s="125">
        <v>702</v>
      </c>
      <c r="D777" s="125" t="s">
        <v>5603</v>
      </c>
      <c r="E777" s="125" t="s">
        <v>5465</v>
      </c>
      <c r="F777" s="125" t="s">
        <v>5466</v>
      </c>
      <c r="G777" s="125" t="s">
        <v>5270</v>
      </c>
      <c r="H777" s="125" t="s">
        <v>5604</v>
      </c>
      <c r="I777" s="125" t="s">
        <v>5604</v>
      </c>
    </row>
    <row r="778" spans="1:9" x14ac:dyDescent="0.25">
      <c r="A778" s="125" t="s">
        <v>2141</v>
      </c>
      <c r="B778" s="125" t="s">
        <v>5602</v>
      </c>
      <c r="C778" s="125">
        <v>702</v>
      </c>
      <c r="D778" s="125" t="s">
        <v>5603</v>
      </c>
      <c r="E778" s="125" t="s">
        <v>5465</v>
      </c>
      <c r="F778" s="125" t="s">
        <v>5466</v>
      </c>
      <c r="G778" s="125" t="s">
        <v>5270</v>
      </c>
      <c r="H778" s="125" t="s">
        <v>5604</v>
      </c>
      <c r="I778" s="125" t="s">
        <v>5604</v>
      </c>
    </row>
    <row r="779" spans="1:9" x14ac:dyDescent="0.25">
      <c r="A779" s="125" t="s">
        <v>2683</v>
      </c>
      <c r="B779" s="125" t="s">
        <v>5602</v>
      </c>
      <c r="C779" s="125">
        <v>702</v>
      </c>
      <c r="D779" s="125" t="s">
        <v>5603</v>
      </c>
      <c r="E779" s="125" t="s">
        <v>5465</v>
      </c>
      <c r="F779" s="125" t="s">
        <v>5466</v>
      </c>
      <c r="G779" s="125" t="s">
        <v>5270</v>
      </c>
      <c r="H779" s="125" t="s">
        <v>5604</v>
      </c>
      <c r="I779" s="125" t="s">
        <v>5604</v>
      </c>
    </row>
    <row r="780" spans="1:9" x14ac:dyDescent="0.25">
      <c r="A780" s="125" t="s">
        <v>3325</v>
      </c>
      <c r="B780" s="125" t="s">
        <v>5602</v>
      </c>
      <c r="C780" s="125">
        <v>702</v>
      </c>
      <c r="D780" s="125" t="s">
        <v>5603</v>
      </c>
      <c r="E780" s="125" t="s">
        <v>5465</v>
      </c>
      <c r="F780" s="125" t="s">
        <v>5466</v>
      </c>
      <c r="G780" s="125" t="s">
        <v>5270</v>
      </c>
      <c r="H780" s="125" t="s">
        <v>5604</v>
      </c>
      <c r="I780" s="125" t="s">
        <v>5604</v>
      </c>
    </row>
    <row r="781" spans="1:9" x14ac:dyDescent="0.25">
      <c r="A781" s="125" t="s">
        <v>2990</v>
      </c>
      <c r="B781" s="125" t="s">
        <v>5602</v>
      </c>
      <c r="C781" s="125">
        <v>702</v>
      </c>
      <c r="D781" s="125" t="s">
        <v>5603</v>
      </c>
      <c r="E781" s="125" t="s">
        <v>5465</v>
      </c>
      <c r="F781" s="125" t="s">
        <v>5466</v>
      </c>
      <c r="G781" s="125" t="s">
        <v>5270</v>
      </c>
      <c r="H781" s="125" t="s">
        <v>5604</v>
      </c>
      <c r="I781" s="125" t="s">
        <v>5604</v>
      </c>
    </row>
    <row r="782" spans="1:9" x14ac:dyDescent="0.25">
      <c r="A782" s="125" t="s">
        <v>2299</v>
      </c>
      <c r="B782" s="125" t="s">
        <v>5602</v>
      </c>
      <c r="C782" s="125">
        <v>702</v>
      </c>
      <c r="D782" s="125" t="s">
        <v>5603</v>
      </c>
      <c r="E782" s="125" t="s">
        <v>5465</v>
      </c>
      <c r="F782" s="125" t="s">
        <v>5466</v>
      </c>
      <c r="G782" s="125" t="s">
        <v>5270</v>
      </c>
      <c r="H782" s="125" t="s">
        <v>5604</v>
      </c>
      <c r="I782" s="125" t="s">
        <v>5604</v>
      </c>
    </row>
    <row r="783" spans="1:9" x14ac:dyDescent="0.25">
      <c r="A783" s="125" t="s">
        <v>2024</v>
      </c>
      <c r="B783" s="125" t="s">
        <v>5605</v>
      </c>
      <c r="C783" s="125">
        <v>710</v>
      </c>
      <c r="D783" s="125" t="s">
        <v>5606</v>
      </c>
      <c r="E783" s="125" t="s">
        <v>5465</v>
      </c>
      <c r="F783" s="125" t="s">
        <v>5466</v>
      </c>
      <c r="G783" s="125" t="s">
        <v>5270</v>
      </c>
      <c r="H783" s="125" t="s">
        <v>2709</v>
      </c>
      <c r="I783" s="125" t="s">
        <v>2709</v>
      </c>
    </row>
    <row r="784" spans="1:9" x14ac:dyDescent="0.25">
      <c r="A784" s="125" t="s">
        <v>2710</v>
      </c>
      <c r="B784" s="125" t="s">
        <v>5605</v>
      </c>
      <c r="C784" s="125">
        <v>710</v>
      </c>
      <c r="D784" s="125" t="s">
        <v>5606</v>
      </c>
      <c r="E784" s="125" t="s">
        <v>5465</v>
      </c>
      <c r="F784" s="125" t="s">
        <v>5466</v>
      </c>
      <c r="G784" s="125" t="s">
        <v>5270</v>
      </c>
      <c r="H784" s="125" t="s">
        <v>2709</v>
      </c>
      <c r="I784" s="125" t="s">
        <v>2709</v>
      </c>
    </row>
    <row r="785" spans="1:9" x14ac:dyDescent="0.25">
      <c r="A785" s="125" t="s">
        <v>1447</v>
      </c>
      <c r="B785" s="125" t="s">
        <v>5602</v>
      </c>
      <c r="C785" s="125">
        <v>702</v>
      </c>
      <c r="D785" s="125" t="s">
        <v>5603</v>
      </c>
      <c r="E785" s="125" t="s">
        <v>5465</v>
      </c>
      <c r="F785" s="125" t="s">
        <v>5466</v>
      </c>
      <c r="G785" s="125" t="s">
        <v>5270</v>
      </c>
      <c r="H785" s="125" t="s">
        <v>5604</v>
      </c>
      <c r="I785" s="125" t="s">
        <v>5604</v>
      </c>
    </row>
    <row r="786" spans="1:9" x14ac:dyDescent="0.25">
      <c r="A786" s="125" t="s">
        <v>5607</v>
      </c>
      <c r="B786" s="125" t="s">
        <v>5605</v>
      </c>
      <c r="C786" s="125">
        <v>710</v>
      </c>
      <c r="D786" s="125" t="s">
        <v>5606</v>
      </c>
      <c r="E786" s="125" t="s">
        <v>5465</v>
      </c>
      <c r="F786" s="125" t="s">
        <v>5466</v>
      </c>
      <c r="G786" s="125" t="s">
        <v>5270</v>
      </c>
      <c r="H786" s="125" t="s">
        <v>2709</v>
      </c>
      <c r="I786" s="125" t="s">
        <v>2709</v>
      </c>
    </row>
    <row r="787" spans="1:9" x14ac:dyDescent="0.25">
      <c r="A787" s="125" t="s">
        <v>2703</v>
      </c>
      <c r="B787" s="125" t="s">
        <v>5602</v>
      </c>
      <c r="C787" s="125">
        <v>702</v>
      </c>
      <c r="D787" s="125" t="s">
        <v>5603</v>
      </c>
      <c r="E787" s="125" t="s">
        <v>5465</v>
      </c>
      <c r="F787" s="125" t="s">
        <v>5466</v>
      </c>
      <c r="G787" s="125" t="s">
        <v>5270</v>
      </c>
      <c r="H787" s="125" t="s">
        <v>5604</v>
      </c>
      <c r="I787" s="125" t="s">
        <v>5604</v>
      </c>
    </row>
    <row r="788" spans="1:9" x14ac:dyDescent="0.25">
      <c r="A788" s="125" t="s">
        <v>2835</v>
      </c>
      <c r="B788" s="125" t="s">
        <v>5605</v>
      </c>
      <c r="C788" s="125">
        <v>710</v>
      </c>
      <c r="D788" s="125" t="s">
        <v>5606</v>
      </c>
      <c r="E788" s="125" t="s">
        <v>5465</v>
      </c>
      <c r="F788" s="125" t="s">
        <v>5466</v>
      </c>
      <c r="G788" s="125" t="s">
        <v>5270</v>
      </c>
      <c r="H788" s="125" t="s">
        <v>2709</v>
      </c>
      <c r="I788" s="125" t="s">
        <v>2709</v>
      </c>
    </row>
    <row r="789" spans="1:9" x14ac:dyDescent="0.25">
      <c r="A789" s="125" t="s">
        <v>5608</v>
      </c>
      <c r="B789" s="125" t="s">
        <v>5605</v>
      </c>
      <c r="C789" s="125">
        <v>710</v>
      </c>
      <c r="D789" s="125" t="s">
        <v>5606</v>
      </c>
      <c r="E789" s="125" t="s">
        <v>5465</v>
      </c>
      <c r="F789" s="125" t="s">
        <v>5466</v>
      </c>
      <c r="G789" s="125" t="s">
        <v>5270</v>
      </c>
      <c r="H789" s="125" t="s">
        <v>2709</v>
      </c>
      <c r="I789" s="125" t="s">
        <v>2709</v>
      </c>
    </row>
    <row r="790" spans="1:9" x14ac:dyDescent="0.25">
      <c r="A790" s="125" t="s">
        <v>5609</v>
      </c>
      <c r="B790" s="125" t="s">
        <v>5605</v>
      </c>
      <c r="C790" s="125">
        <v>710</v>
      </c>
      <c r="D790" s="125" t="s">
        <v>5606</v>
      </c>
      <c r="E790" s="125" t="s">
        <v>5465</v>
      </c>
      <c r="F790" s="125" t="s">
        <v>5466</v>
      </c>
      <c r="G790" s="125" t="s">
        <v>5270</v>
      </c>
      <c r="H790" s="125" t="s">
        <v>2709</v>
      </c>
      <c r="I790" s="125" t="s">
        <v>2709</v>
      </c>
    </row>
    <row r="791" spans="1:9" x14ac:dyDescent="0.25">
      <c r="A791" s="125" t="s">
        <v>5610</v>
      </c>
      <c r="B791" s="125" t="s">
        <v>5605</v>
      </c>
      <c r="C791" s="125">
        <v>710</v>
      </c>
      <c r="D791" s="125" t="s">
        <v>5606</v>
      </c>
      <c r="E791" s="125" t="s">
        <v>5465</v>
      </c>
      <c r="F791" s="125" t="s">
        <v>5466</v>
      </c>
      <c r="G791" s="125" t="s">
        <v>5270</v>
      </c>
      <c r="H791" s="125" t="s">
        <v>2709</v>
      </c>
      <c r="I791" s="125" t="s">
        <v>2709</v>
      </c>
    </row>
    <row r="792" spans="1:9" x14ac:dyDescent="0.25">
      <c r="A792" s="125" t="s">
        <v>1360</v>
      </c>
      <c r="B792" s="125" t="s">
        <v>5605</v>
      </c>
      <c r="C792" s="125">
        <v>710</v>
      </c>
      <c r="D792" s="125" t="s">
        <v>5606</v>
      </c>
      <c r="E792" s="125" t="s">
        <v>5465</v>
      </c>
      <c r="F792" s="125" t="s">
        <v>5466</v>
      </c>
      <c r="G792" s="125" t="s">
        <v>5270</v>
      </c>
      <c r="H792" s="125" t="s">
        <v>2709</v>
      </c>
      <c r="I792" s="125" t="s">
        <v>2709</v>
      </c>
    </row>
    <row r="793" spans="1:9" x14ac:dyDescent="0.25">
      <c r="A793" s="125" t="s">
        <v>5611</v>
      </c>
      <c r="B793" s="125" t="s">
        <v>5532</v>
      </c>
      <c r="C793" s="125">
        <v>704</v>
      </c>
      <c r="D793" s="125" t="s">
        <v>5533</v>
      </c>
      <c r="E793" s="125" t="s">
        <v>5270</v>
      </c>
      <c r="F793" s="125" t="s">
        <v>5271</v>
      </c>
      <c r="G793" s="125" t="s">
        <v>5270</v>
      </c>
      <c r="H793" s="125" t="s">
        <v>5612</v>
      </c>
      <c r="I793" s="125" t="s">
        <v>5613</v>
      </c>
    </row>
    <row r="794" spans="1:9" x14ac:dyDescent="0.25">
      <c r="A794" s="125" t="s">
        <v>5614</v>
      </c>
      <c r="B794" s="125" t="s">
        <v>5532</v>
      </c>
      <c r="C794" s="125">
        <v>704</v>
      </c>
      <c r="D794" s="125" t="s">
        <v>5533</v>
      </c>
      <c r="E794" s="125" t="s">
        <v>5270</v>
      </c>
      <c r="F794" s="125" t="s">
        <v>5271</v>
      </c>
      <c r="G794" s="125" t="s">
        <v>5270</v>
      </c>
      <c r="H794" s="125" t="s">
        <v>5604</v>
      </c>
      <c r="I794" s="125" t="s">
        <v>5604</v>
      </c>
    </row>
    <row r="795" spans="1:9" x14ac:dyDescent="0.25">
      <c r="A795" s="125" t="s">
        <v>2650</v>
      </c>
      <c r="B795" s="125" t="s">
        <v>5532</v>
      </c>
      <c r="C795" s="125">
        <v>704</v>
      </c>
      <c r="D795" s="125" t="s">
        <v>5533</v>
      </c>
      <c r="E795" s="125" t="s">
        <v>5270</v>
      </c>
      <c r="F795" s="125" t="s">
        <v>5271</v>
      </c>
      <c r="G795" s="125" t="s">
        <v>5270</v>
      </c>
      <c r="H795" s="125" t="s">
        <v>1102</v>
      </c>
      <c r="I795" s="125" t="s">
        <v>1102</v>
      </c>
    </row>
    <row r="796" spans="1:9" x14ac:dyDescent="0.25">
      <c r="A796" s="125" t="s">
        <v>2647</v>
      </c>
      <c r="B796" s="125" t="s">
        <v>5602</v>
      </c>
      <c r="C796" s="125">
        <v>702</v>
      </c>
      <c r="D796" s="125" t="s">
        <v>5603</v>
      </c>
      <c r="E796" s="125" t="s">
        <v>5465</v>
      </c>
      <c r="F796" s="125" t="s">
        <v>5466</v>
      </c>
      <c r="G796" s="125" t="s">
        <v>5270</v>
      </c>
      <c r="H796" s="125" t="s">
        <v>5604</v>
      </c>
      <c r="I796" s="125" t="s">
        <v>5604</v>
      </c>
    </row>
    <row r="797" spans="1:9" x14ac:dyDescent="0.25">
      <c r="A797" s="125" t="s">
        <v>2711</v>
      </c>
      <c r="B797" s="125" t="s">
        <v>5532</v>
      </c>
      <c r="C797" s="125">
        <v>704</v>
      </c>
      <c r="D797" s="125" t="s">
        <v>5533</v>
      </c>
      <c r="E797" s="125" t="s">
        <v>5270</v>
      </c>
      <c r="F797" s="125" t="s">
        <v>5271</v>
      </c>
      <c r="G797" s="125" t="s">
        <v>5270</v>
      </c>
      <c r="H797" s="125" t="s">
        <v>5604</v>
      </c>
      <c r="I797" s="125" t="s">
        <v>5604</v>
      </c>
    </row>
    <row r="798" spans="1:9" x14ac:dyDescent="0.25">
      <c r="A798" s="125" t="s">
        <v>5615</v>
      </c>
      <c r="B798" s="125" t="s">
        <v>5616</v>
      </c>
      <c r="C798" s="125">
        <v>744</v>
      </c>
      <c r="D798" s="125" t="s">
        <v>5617</v>
      </c>
      <c r="E798" s="125" t="s">
        <v>5465</v>
      </c>
      <c r="F798" s="125" t="s">
        <v>5466</v>
      </c>
      <c r="G798" s="125" t="s">
        <v>5270</v>
      </c>
      <c r="H798" s="125" t="s">
        <v>5618</v>
      </c>
      <c r="I798" s="125" t="s">
        <v>5613</v>
      </c>
    </row>
    <row r="799" spans="1:9" x14ac:dyDescent="0.25">
      <c r="A799" s="125" t="s">
        <v>2514</v>
      </c>
      <c r="B799" s="125" t="s">
        <v>5602</v>
      </c>
      <c r="C799" s="125">
        <v>702</v>
      </c>
      <c r="D799" s="125" t="s">
        <v>5603</v>
      </c>
      <c r="E799" s="125" t="s">
        <v>5465</v>
      </c>
      <c r="F799" s="125" t="s">
        <v>5466</v>
      </c>
      <c r="G799" s="125" t="s">
        <v>5270</v>
      </c>
      <c r="H799" s="125" t="s">
        <v>5618</v>
      </c>
      <c r="I799" s="125" t="s">
        <v>5613</v>
      </c>
    </row>
    <row r="800" spans="1:9" x14ac:dyDescent="0.25">
      <c r="A800" s="125" t="s">
        <v>3076</v>
      </c>
      <c r="B800" s="125" t="s">
        <v>5616</v>
      </c>
      <c r="C800" s="125">
        <v>744</v>
      </c>
      <c r="D800" s="125" t="s">
        <v>5617</v>
      </c>
      <c r="E800" s="125" t="s">
        <v>5465</v>
      </c>
      <c r="F800" s="125" t="s">
        <v>5466</v>
      </c>
      <c r="G800" s="125" t="s">
        <v>5270</v>
      </c>
      <c r="H800" s="125" t="s">
        <v>5618</v>
      </c>
      <c r="I800" s="125" t="s">
        <v>5613</v>
      </c>
    </row>
    <row r="801" spans="1:9" x14ac:dyDescent="0.25">
      <c r="A801" s="125" t="s">
        <v>5619</v>
      </c>
      <c r="B801" s="125" t="s">
        <v>5616</v>
      </c>
      <c r="C801" s="125">
        <v>744</v>
      </c>
      <c r="D801" s="125" t="s">
        <v>5617</v>
      </c>
      <c r="E801" s="125" t="s">
        <v>5465</v>
      </c>
      <c r="F801" s="125" t="s">
        <v>5466</v>
      </c>
      <c r="G801" s="125" t="s">
        <v>5270</v>
      </c>
      <c r="H801" s="125" t="s">
        <v>5618</v>
      </c>
      <c r="I801" s="125" t="s">
        <v>5613</v>
      </c>
    </row>
    <row r="802" spans="1:9" x14ac:dyDescent="0.25">
      <c r="A802" s="125" t="s">
        <v>3347</v>
      </c>
      <c r="B802" s="125" t="s">
        <v>5616</v>
      </c>
      <c r="C802" s="125">
        <v>744</v>
      </c>
      <c r="D802" s="125" t="s">
        <v>5617</v>
      </c>
      <c r="E802" s="125" t="s">
        <v>5465</v>
      </c>
      <c r="F802" s="125" t="s">
        <v>5466</v>
      </c>
      <c r="G802" s="125" t="s">
        <v>5270</v>
      </c>
      <c r="H802" s="125" t="s">
        <v>5618</v>
      </c>
      <c r="I802" s="125" t="s">
        <v>5613</v>
      </c>
    </row>
    <row r="803" spans="1:9" x14ac:dyDescent="0.25">
      <c r="A803" s="125" t="s">
        <v>5620</v>
      </c>
      <c r="B803" s="125" t="s">
        <v>5605</v>
      </c>
      <c r="C803" s="125">
        <v>710</v>
      </c>
      <c r="D803" s="125" t="s">
        <v>5606</v>
      </c>
      <c r="E803" s="125" t="s">
        <v>5465</v>
      </c>
      <c r="F803" s="125" t="s">
        <v>5466</v>
      </c>
      <c r="G803" s="125" t="s">
        <v>5270</v>
      </c>
      <c r="H803" s="125" t="s">
        <v>1102</v>
      </c>
      <c r="I803" s="125" t="s">
        <v>1102</v>
      </c>
    </row>
    <row r="804" spans="1:9" x14ac:dyDescent="0.25">
      <c r="A804" s="125" t="s">
        <v>5621</v>
      </c>
      <c r="B804" s="125" t="s">
        <v>5605</v>
      </c>
      <c r="C804" s="125">
        <v>710</v>
      </c>
      <c r="D804" s="125" t="s">
        <v>5606</v>
      </c>
      <c r="E804" s="125" t="s">
        <v>5465</v>
      </c>
      <c r="F804" s="125" t="s">
        <v>5466</v>
      </c>
      <c r="G804" s="125" t="s">
        <v>5270</v>
      </c>
      <c r="H804" s="125" t="s">
        <v>2709</v>
      </c>
      <c r="I804" s="125" t="s">
        <v>2709</v>
      </c>
    </row>
    <row r="805" spans="1:9" x14ac:dyDescent="0.25">
      <c r="A805" s="125" t="s">
        <v>5622</v>
      </c>
      <c r="B805" s="125" t="s">
        <v>5605</v>
      </c>
      <c r="C805" s="125">
        <v>710</v>
      </c>
      <c r="D805" s="125" t="s">
        <v>5606</v>
      </c>
      <c r="E805" s="125" t="s">
        <v>5465</v>
      </c>
      <c r="F805" s="125" t="s">
        <v>5466</v>
      </c>
      <c r="G805" s="125" t="s">
        <v>5270</v>
      </c>
      <c r="H805" s="125" t="s">
        <v>1102</v>
      </c>
      <c r="I805" s="125" t="s">
        <v>1102</v>
      </c>
    </row>
    <row r="806" spans="1:9" x14ac:dyDescent="0.25">
      <c r="A806" s="125" t="s">
        <v>2335</v>
      </c>
      <c r="B806" s="125" t="s">
        <v>5616</v>
      </c>
      <c r="C806" s="125">
        <v>744</v>
      </c>
      <c r="D806" s="125" t="s">
        <v>5617</v>
      </c>
      <c r="E806" s="125" t="s">
        <v>5465</v>
      </c>
      <c r="F806" s="125" t="s">
        <v>5466</v>
      </c>
      <c r="G806" s="125" t="s">
        <v>5270</v>
      </c>
      <c r="H806" s="125" t="s">
        <v>5618</v>
      </c>
      <c r="I806" s="125" t="s">
        <v>5613</v>
      </c>
    </row>
    <row r="807" spans="1:9" x14ac:dyDescent="0.25">
      <c r="A807" s="125" t="s">
        <v>2752</v>
      </c>
      <c r="B807" s="125" t="s">
        <v>5602</v>
      </c>
      <c r="C807" s="125">
        <v>702</v>
      </c>
      <c r="D807" s="125" t="s">
        <v>5603</v>
      </c>
      <c r="E807" s="125" t="s">
        <v>5465</v>
      </c>
      <c r="F807" s="125" t="s">
        <v>5466</v>
      </c>
      <c r="G807" s="125" t="s">
        <v>5270</v>
      </c>
      <c r="H807" s="125" t="s">
        <v>5604</v>
      </c>
      <c r="I807" s="125" t="s">
        <v>5604</v>
      </c>
    </row>
    <row r="808" spans="1:9" x14ac:dyDescent="0.25">
      <c r="A808" s="125" t="s">
        <v>5623</v>
      </c>
      <c r="B808" s="125" t="s">
        <v>5616</v>
      </c>
      <c r="C808" s="125">
        <v>744</v>
      </c>
      <c r="D808" s="125" t="s">
        <v>5617</v>
      </c>
      <c r="E808" s="125" t="s">
        <v>5465</v>
      </c>
      <c r="F808" s="125" t="s">
        <v>5466</v>
      </c>
      <c r="G808" s="125" t="s">
        <v>5270</v>
      </c>
      <c r="H808" s="125" t="s">
        <v>5618</v>
      </c>
      <c r="I808" s="125" t="s">
        <v>5613</v>
      </c>
    </row>
    <row r="809" spans="1:9" x14ac:dyDescent="0.25">
      <c r="A809" s="125" t="s">
        <v>2273</v>
      </c>
      <c r="B809" s="125" t="s">
        <v>5616</v>
      </c>
      <c r="C809" s="125">
        <v>744</v>
      </c>
      <c r="D809" s="125" t="s">
        <v>5617</v>
      </c>
      <c r="E809" s="125" t="s">
        <v>5465</v>
      </c>
      <c r="F809" s="125" t="s">
        <v>5466</v>
      </c>
      <c r="G809" s="125" t="s">
        <v>5270</v>
      </c>
      <c r="H809" s="125" t="s">
        <v>5618</v>
      </c>
      <c r="I809" s="125" t="s">
        <v>5613</v>
      </c>
    </row>
    <row r="810" spans="1:9" x14ac:dyDescent="0.25">
      <c r="A810" s="125" t="s">
        <v>2987</v>
      </c>
      <c r="B810" s="125" t="s">
        <v>5616</v>
      </c>
      <c r="C810" s="125">
        <v>744</v>
      </c>
      <c r="D810" s="125" t="s">
        <v>5617</v>
      </c>
      <c r="E810" s="125" t="s">
        <v>5465</v>
      </c>
      <c r="F810" s="125" t="s">
        <v>5466</v>
      </c>
      <c r="G810" s="125" t="s">
        <v>5270</v>
      </c>
      <c r="H810" s="125" t="s">
        <v>5618</v>
      </c>
      <c r="I810" s="125" t="s">
        <v>5613</v>
      </c>
    </row>
    <row r="811" spans="1:9" x14ac:dyDescent="0.25">
      <c r="A811" s="125" t="s">
        <v>5624</v>
      </c>
      <c r="B811" s="125" t="s">
        <v>5463</v>
      </c>
      <c r="C811" s="125">
        <v>709</v>
      </c>
      <c r="D811" s="125" t="s">
        <v>5464</v>
      </c>
      <c r="E811" s="125" t="s">
        <v>5465</v>
      </c>
      <c r="F811" s="125" t="s">
        <v>5466</v>
      </c>
      <c r="G811" s="125" t="s">
        <v>5270</v>
      </c>
      <c r="H811" s="125" t="s">
        <v>5625</v>
      </c>
      <c r="I811" s="125" t="s">
        <v>5625</v>
      </c>
    </row>
    <row r="812" spans="1:9" x14ac:dyDescent="0.25">
      <c r="A812" s="125" t="s">
        <v>5626</v>
      </c>
      <c r="B812" s="125" t="s">
        <v>5463</v>
      </c>
      <c r="C812" s="125">
        <v>709</v>
      </c>
      <c r="D812" s="125" t="s">
        <v>5464</v>
      </c>
      <c r="E812" s="125" t="s">
        <v>5465</v>
      </c>
      <c r="F812" s="125" t="s">
        <v>5466</v>
      </c>
      <c r="G812" s="125" t="s">
        <v>5270</v>
      </c>
      <c r="H812" s="125" t="s">
        <v>5625</v>
      </c>
      <c r="I812" s="125" t="s">
        <v>5625</v>
      </c>
    </row>
    <row r="813" spans="1:9" x14ac:dyDescent="0.25">
      <c r="A813" s="125" t="s">
        <v>3344</v>
      </c>
      <c r="B813" s="125" t="s">
        <v>5463</v>
      </c>
      <c r="C813" s="125">
        <v>709</v>
      </c>
      <c r="D813" s="125" t="s">
        <v>5464</v>
      </c>
      <c r="E813" s="125" t="s">
        <v>5465</v>
      </c>
      <c r="F813" s="125" t="s">
        <v>5466</v>
      </c>
      <c r="G813" s="125" t="s">
        <v>5270</v>
      </c>
      <c r="H813" s="125" t="s">
        <v>5625</v>
      </c>
      <c r="I813" s="125" t="s">
        <v>5625</v>
      </c>
    </row>
    <row r="814" spans="1:9" x14ac:dyDescent="0.25">
      <c r="A814" s="125" t="s">
        <v>3100</v>
      </c>
      <c r="B814" s="125" t="s">
        <v>5605</v>
      </c>
      <c r="C814" s="125">
        <v>710</v>
      </c>
      <c r="D814" s="125" t="s">
        <v>5606</v>
      </c>
      <c r="E814" s="125" t="s">
        <v>5465</v>
      </c>
      <c r="F814" s="125" t="s">
        <v>5466</v>
      </c>
      <c r="G814" s="125" t="s">
        <v>5270</v>
      </c>
      <c r="H814" s="125" t="s">
        <v>5625</v>
      </c>
      <c r="I814" s="125" t="s">
        <v>5625</v>
      </c>
    </row>
    <row r="815" spans="1:9" x14ac:dyDescent="0.25">
      <c r="A815" s="125" t="s">
        <v>3406</v>
      </c>
      <c r="B815" s="125" t="s">
        <v>5605</v>
      </c>
      <c r="C815" s="125">
        <v>710</v>
      </c>
      <c r="D815" s="125" t="s">
        <v>5606</v>
      </c>
      <c r="E815" s="125" t="s">
        <v>5465</v>
      </c>
      <c r="F815" s="125" t="s">
        <v>5466</v>
      </c>
      <c r="G815" s="125" t="s">
        <v>5270</v>
      </c>
      <c r="H815" s="125" t="s">
        <v>5612</v>
      </c>
      <c r="I815" s="125" t="s">
        <v>5613</v>
      </c>
    </row>
    <row r="816" spans="1:9" x14ac:dyDescent="0.25">
      <c r="A816" s="125" t="s">
        <v>2635</v>
      </c>
      <c r="B816" s="125" t="s">
        <v>5605</v>
      </c>
      <c r="C816" s="125">
        <v>710</v>
      </c>
      <c r="D816" s="125" t="s">
        <v>5606</v>
      </c>
      <c r="E816" s="125" t="s">
        <v>5465</v>
      </c>
      <c r="F816" s="125" t="s">
        <v>5466</v>
      </c>
      <c r="G816" s="125" t="s">
        <v>5270</v>
      </c>
      <c r="H816" s="125" t="s">
        <v>5612</v>
      </c>
      <c r="I816" s="125" t="s">
        <v>5613</v>
      </c>
    </row>
    <row r="817" spans="1:9" x14ac:dyDescent="0.25">
      <c r="A817" s="125" t="s">
        <v>2761</v>
      </c>
      <c r="B817" s="125" t="s">
        <v>5605</v>
      </c>
      <c r="C817" s="125">
        <v>710</v>
      </c>
      <c r="D817" s="125" t="s">
        <v>5606</v>
      </c>
      <c r="E817" s="125" t="s">
        <v>5465</v>
      </c>
      <c r="F817" s="125" t="s">
        <v>5466</v>
      </c>
      <c r="G817" s="125" t="s">
        <v>5270</v>
      </c>
      <c r="H817" s="125" t="s">
        <v>5612</v>
      </c>
      <c r="I817" s="125" t="s">
        <v>5613</v>
      </c>
    </row>
    <row r="818" spans="1:9" x14ac:dyDescent="0.25">
      <c r="A818" s="125" t="s">
        <v>1800</v>
      </c>
      <c r="B818" s="125" t="s">
        <v>5602</v>
      </c>
      <c r="C818" s="125">
        <v>702</v>
      </c>
      <c r="D818" s="125" t="s">
        <v>5603</v>
      </c>
      <c r="E818" s="125" t="s">
        <v>5465</v>
      </c>
      <c r="F818" s="125" t="s">
        <v>5466</v>
      </c>
      <c r="G818" s="125" t="s">
        <v>5270</v>
      </c>
      <c r="H818" s="125" t="s">
        <v>5604</v>
      </c>
      <c r="I818" s="125" t="s">
        <v>5604</v>
      </c>
    </row>
    <row r="819" spans="1:9" x14ac:dyDescent="0.25">
      <c r="A819" s="125" t="s">
        <v>5627</v>
      </c>
      <c r="B819" s="125" t="s">
        <v>5605</v>
      </c>
      <c r="C819" s="125">
        <v>710</v>
      </c>
      <c r="D819" s="125" t="s">
        <v>5606</v>
      </c>
      <c r="E819" s="125" t="s">
        <v>5465</v>
      </c>
      <c r="F819" s="125" t="s">
        <v>5466</v>
      </c>
      <c r="G819" s="125" t="s">
        <v>5270</v>
      </c>
      <c r="H819" s="125" t="s">
        <v>1578</v>
      </c>
      <c r="I819" s="125" t="s">
        <v>5628</v>
      </c>
    </row>
    <row r="820" spans="1:9" x14ac:dyDescent="0.25">
      <c r="A820" s="125" t="s">
        <v>2398</v>
      </c>
      <c r="B820" s="125" t="s">
        <v>5605</v>
      </c>
      <c r="C820" s="125">
        <v>710</v>
      </c>
      <c r="D820" s="125" t="s">
        <v>5606</v>
      </c>
      <c r="E820" s="125" t="s">
        <v>5465</v>
      </c>
      <c r="F820" s="125" t="s">
        <v>5466</v>
      </c>
      <c r="G820" s="125" t="s">
        <v>5270</v>
      </c>
      <c r="H820" s="125" t="s">
        <v>5612</v>
      </c>
      <c r="I820" s="125" t="s">
        <v>5613</v>
      </c>
    </row>
    <row r="821" spans="1:9" x14ac:dyDescent="0.25">
      <c r="A821" s="125" t="s">
        <v>2982</v>
      </c>
      <c r="B821" s="125" t="s">
        <v>5605</v>
      </c>
      <c r="C821" s="125">
        <v>710</v>
      </c>
      <c r="D821" s="125" t="s">
        <v>5606</v>
      </c>
      <c r="E821" s="125" t="s">
        <v>5465</v>
      </c>
      <c r="F821" s="125" t="s">
        <v>5466</v>
      </c>
      <c r="G821" s="125" t="s">
        <v>5270</v>
      </c>
      <c r="H821" s="125" t="s">
        <v>5612</v>
      </c>
      <c r="I821" s="125" t="s">
        <v>5613</v>
      </c>
    </row>
    <row r="822" spans="1:9" x14ac:dyDescent="0.25">
      <c r="A822" s="125" t="s">
        <v>2533</v>
      </c>
      <c r="B822" s="125" t="s">
        <v>5605</v>
      </c>
      <c r="C822" s="125">
        <v>710</v>
      </c>
      <c r="D822" s="125" t="s">
        <v>5606</v>
      </c>
      <c r="E822" s="125" t="s">
        <v>5465</v>
      </c>
      <c r="F822" s="125" t="s">
        <v>5466</v>
      </c>
      <c r="G822" s="125" t="s">
        <v>5270</v>
      </c>
      <c r="H822" s="125" t="s">
        <v>5612</v>
      </c>
      <c r="I822" s="125" t="s">
        <v>5613</v>
      </c>
    </row>
    <row r="823" spans="1:9" x14ac:dyDescent="0.25">
      <c r="A823" s="125" t="s">
        <v>2153</v>
      </c>
      <c r="B823" s="125" t="s">
        <v>5605</v>
      </c>
      <c r="C823" s="125">
        <v>710</v>
      </c>
      <c r="D823" s="125" t="s">
        <v>5606</v>
      </c>
      <c r="E823" s="125" t="s">
        <v>5465</v>
      </c>
      <c r="F823" s="125" t="s">
        <v>5466</v>
      </c>
      <c r="G823" s="125" t="s">
        <v>5270</v>
      </c>
      <c r="H823" s="125" t="s">
        <v>5612</v>
      </c>
      <c r="I823" s="125" t="s">
        <v>5613</v>
      </c>
    </row>
    <row r="824" spans="1:9" x14ac:dyDescent="0.25">
      <c r="A824" s="125" t="s">
        <v>2144</v>
      </c>
      <c r="B824" s="125" t="s">
        <v>5602</v>
      </c>
      <c r="C824" s="125">
        <v>702</v>
      </c>
      <c r="D824" s="125" t="s">
        <v>5603</v>
      </c>
      <c r="E824" s="125" t="s">
        <v>5465</v>
      </c>
      <c r="F824" s="125" t="s">
        <v>5466</v>
      </c>
      <c r="G824" s="125" t="s">
        <v>5270</v>
      </c>
      <c r="H824" s="125" t="s">
        <v>5604</v>
      </c>
      <c r="I824" s="125" t="s">
        <v>5604</v>
      </c>
    </row>
    <row r="825" spans="1:9" x14ac:dyDescent="0.25">
      <c r="A825" s="125" t="s">
        <v>2686</v>
      </c>
      <c r="B825" s="125" t="s">
        <v>5602</v>
      </c>
      <c r="C825" s="125">
        <v>702</v>
      </c>
      <c r="D825" s="125" t="s">
        <v>5603</v>
      </c>
      <c r="E825" s="125" t="s">
        <v>5465</v>
      </c>
      <c r="F825" s="125" t="s">
        <v>5466</v>
      </c>
      <c r="G825" s="125" t="s">
        <v>5270</v>
      </c>
      <c r="H825" s="125" t="s">
        <v>5604</v>
      </c>
      <c r="I825" s="125" t="s">
        <v>5604</v>
      </c>
    </row>
    <row r="826" spans="1:9" x14ac:dyDescent="0.25">
      <c r="A826" s="125" t="s">
        <v>2438</v>
      </c>
      <c r="B826" s="125" t="s">
        <v>5602</v>
      </c>
      <c r="C826" s="125">
        <v>702</v>
      </c>
      <c r="D826" s="125" t="s">
        <v>5603</v>
      </c>
      <c r="E826" s="125" t="s">
        <v>5465</v>
      </c>
      <c r="F826" s="125" t="s">
        <v>5466</v>
      </c>
      <c r="G826" s="125" t="s">
        <v>5270</v>
      </c>
      <c r="H826" s="125" t="s">
        <v>5604</v>
      </c>
      <c r="I826" s="125" t="s">
        <v>5604</v>
      </c>
    </row>
    <row r="827" spans="1:9" x14ac:dyDescent="0.25">
      <c r="A827" s="125" t="s">
        <v>3003</v>
      </c>
      <c r="B827" s="125" t="s">
        <v>5602</v>
      </c>
      <c r="C827" s="125">
        <v>702</v>
      </c>
      <c r="D827" s="125" t="s">
        <v>5603</v>
      </c>
      <c r="E827" s="125" t="s">
        <v>5465</v>
      </c>
      <c r="F827" s="125" t="s">
        <v>5466</v>
      </c>
      <c r="G827" s="125" t="s">
        <v>5270</v>
      </c>
      <c r="H827" s="125" t="s">
        <v>5604</v>
      </c>
      <c r="I827" s="125" t="s">
        <v>5604</v>
      </c>
    </row>
    <row r="828" spans="1:9" x14ac:dyDescent="0.25">
      <c r="A828" s="125" t="s">
        <v>5629</v>
      </c>
      <c r="B828" s="125" t="s">
        <v>5602</v>
      </c>
      <c r="C828" s="125">
        <v>702</v>
      </c>
      <c r="D828" s="125" t="s">
        <v>5603</v>
      </c>
      <c r="E828" s="125" t="s">
        <v>5465</v>
      </c>
      <c r="F828" s="125" t="s">
        <v>5466</v>
      </c>
      <c r="G828" s="125" t="s">
        <v>5270</v>
      </c>
      <c r="H828" s="125" t="s">
        <v>5604</v>
      </c>
      <c r="I828" s="125" t="s">
        <v>5604</v>
      </c>
    </row>
    <row r="829" spans="1:9" x14ac:dyDescent="0.25">
      <c r="A829" s="125" t="s">
        <v>2012</v>
      </c>
      <c r="B829" s="125" t="s">
        <v>5630</v>
      </c>
      <c r="C829" s="125">
        <v>216</v>
      </c>
      <c r="D829" s="125" t="s">
        <v>5478</v>
      </c>
      <c r="E829" s="125" t="s">
        <v>5295</v>
      </c>
      <c r="F829" s="125" t="s">
        <v>5296</v>
      </c>
      <c r="G829" s="125" t="s">
        <v>5297</v>
      </c>
      <c r="H829" s="125" t="s">
        <v>1207</v>
      </c>
      <c r="I829" s="125" t="s">
        <v>5375</v>
      </c>
    </row>
    <row r="830" spans="1:9" x14ac:dyDescent="0.25">
      <c r="A830" s="125" t="s">
        <v>3117</v>
      </c>
      <c r="B830" s="125" t="s">
        <v>5630</v>
      </c>
      <c r="C830" s="125">
        <v>216</v>
      </c>
      <c r="D830" s="125" t="s">
        <v>5478</v>
      </c>
      <c r="E830" s="125" t="s">
        <v>5295</v>
      </c>
      <c r="F830" s="125" t="s">
        <v>5296</v>
      </c>
      <c r="G830" s="125" t="s">
        <v>5297</v>
      </c>
      <c r="H830" s="125" t="s">
        <v>3116</v>
      </c>
      <c r="I830" s="125" t="s">
        <v>3482</v>
      </c>
    </row>
    <row r="831" spans="1:9" x14ac:dyDescent="0.25">
      <c r="A831" s="125" t="s">
        <v>2371</v>
      </c>
      <c r="B831" s="125" t="s">
        <v>5630</v>
      </c>
      <c r="C831" s="125">
        <v>216</v>
      </c>
      <c r="D831" s="125" t="s">
        <v>5478</v>
      </c>
      <c r="E831" s="125" t="s">
        <v>5295</v>
      </c>
      <c r="F831" s="125" t="s">
        <v>5296</v>
      </c>
      <c r="G831" s="125" t="s">
        <v>5297</v>
      </c>
      <c r="H831" s="125" t="s">
        <v>5505</v>
      </c>
      <c r="I831" s="125" t="s">
        <v>3482</v>
      </c>
    </row>
    <row r="832" spans="1:9" x14ac:dyDescent="0.25">
      <c r="A832" s="125" t="s">
        <v>1208</v>
      </c>
      <c r="B832" s="125" t="s">
        <v>5630</v>
      </c>
      <c r="C832" s="125">
        <v>216</v>
      </c>
      <c r="D832" s="125" t="s">
        <v>5478</v>
      </c>
      <c r="E832" s="125" t="s">
        <v>5295</v>
      </c>
      <c r="F832" s="125" t="s">
        <v>5296</v>
      </c>
      <c r="G832" s="125" t="s">
        <v>5297</v>
      </c>
      <c r="H832" s="125" t="s">
        <v>1207</v>
      </c>
      <c r="I832" s="125" t="s">
        <v>5375</v>
      </c>
    </row>
    <row r="833" spans="1:9" x14ac:dyDescent="0.25">
      <c r="A833" s="125" t="s">
        <v>3178</v>
      </c>
      <c r="B833" s="125" t="s">
        <v>5630</v>
      </c>
      <c r="C833" s="125">
        <v>216</v>
      </c>
      <c r="D833" s="125" t="s">
        <v>5478</v>
      </c>
      <c r="E833" s="125" t="s">
        <v>5295</v>
      </c>
      <c r="F833" s="125" t="s">
        <v>5296</v>
      </c>
      <c r="G833" s="125" t="s">
        <v>5297</v>
      </c>
      <c r="H833" s="125" t="s">
        <v>1207</v>
      </c>
      <c r="I833" s="125" t="s">
        <v>5375</v>
      </c>
    </row>
    <row r="834" spans="1:9" x14ac:dyDescent="0.25">
      <c r="A834" s="125" t="s">
        <v>2958</v>
      </c>
      <c r="B834" s="125" t="s">
        <v>5630</v>
      </c>
      <c r="C834" s="125">
        <v>216</v>
      </c>
      <c r="D834" s="125" t="s">
        <v>5478</v>
      </c>
      <c r="E834" s="125" t="s">
        <v>5295</v>
      </c>
      <c r="F834" s="125" t="s">
        <v>5296</v>
      </c>
      <c r="G834" s="125" t="s">
        <v>5297</v>
      </c>
      <c r="H834" s="125" t="s">
        <v>1207</v>
      </c>
      <c r="I834" s="125" t="s">
        <v>5375</v>
      </c>
    </row>
    <row r="835" spans="1:9" x14ac:dyDescent="0.25">
      <c r="A835" s="125" t="s">
        <v>1253</v>
      </c>
      <c r="B835" s="125" t="s">
        <v>5630</v>
      </c>
      <c r="C835" s="125">
        <v>216</v>
      </c>
      <c r="D835" s="125" t="s">
        <v>5478</v>
      </c>
      <c r="E835" s="125" t="s">
        <v>5295</v>
      </c>
      <c r="F835" s="125" t="s">
        <v>5296</v>
      </c>
      <c r="G835" s="125" t="s">
        <v>5297</v>
      </c>
      <c r="H835" s="125" t="s">
        <v>1252</v>
      </c>
      <c r="I835" s="125" t="s">
        <v>5375</v>
      </c>
    </row>
    <row r="836" spans="1:9" x14ac:dyDescent="0.25">
      <c r="A836" s="125" t="s">
        <v>1087</v>
      </c>
      <c r="B836" s="125" t="s">
        <v>5630</v>
      </c>
      <c r="C836" s="125">
        <v>216</v>
      </c>
      <c r="D836" s="125" t="s">
        <v>5478</v>
      </c>
      <c r="E836" s="125" t="s">
        <v>5295</v>
      </c>
      <c r="F836" s="125" t="s">
        <v>5296</v>
      </c>
      <c r="G836" s="125" t="s">
        <v>5297</v>
      </c>
      <c r="H836" s="125" t="s">
        <v>5631</v>
      </c>
      <c r="I836" s="125" t="s">
        <v>3482</v>
      </c>
    </row>
    <row r="837" spans="1:9" x14ac:dyDescent="0.25">
      <c r="A837" s="125" t="s">
        <v>5632</v>
      </c>
      <c r="B837" s="125" t="s">
        <v>5630</v>
      </c>
      <c r="C837" s="125">
        <v>216</v>
      </c>
      <c r="D837" s="125" t="s">
        <v>5478</v>
      </c>
      <c r="E837" s="125" t="s">
        <v>5295</v>
      </c>
      <c r="F837" s="125" t="s">
        <v>5296</v>
      </c>
      <c r="G837" s="125" t="s">
        <v>5297</v>
      </c>
      <c r="H837" s="125" t="s">
        <v>3116</v>
      </c>
      <c r="I837" s="125" t="s">
        <v>3482</v>
      </c>
    </row>
    <row r="838" spans="1:9" x14ac:dyDescent="0.25">
      <c r="A838" s="125" t="s">
        <v>1695</v>
      </c>
      <c r="B838" s="125" t="s">
        <v>5630</v>
      </c>
      <c r="C838" s="125">
        <v>216</v>
      </c>
      <c r="D838" s="125" t="s">
        <v>5478</v>
      </c>
      <c r="E838" s="125" t="s">
        <v>5295</v>
      </c>
      <c r="F838" s="125" t="s">
        <v>5296</v>
      </c>
      <c r="G838" s="125" t="s">
        <v>5297</v>
      </c>
      <c r="H838" s="125" t="s">
        <v>3116</v>
      </c>
      <c r="I838" s="125" t="s">
        <v>3482</v>
      </c>
    </row>
    <row r="839" spans="1:9" x14ac:dyDescent="0.25">
      <c r="A839" s="125" t="s">
        <v>2279</v>
      </c>
      <c r="B839" s="125" t="s">
        <v>5630</v>
      </c>
      <c r="C839" s="125">
        <v>216</v>
      </c>
      <c r="D839" s="125" t="s">
        <v>5478</v>
      </c>
      <c r="E839" s="125" t="s">
        <v>5295</v>
      </c>
      <c r="F839" s="125" t="s">
        <v>5296</v>
      </c>
      <c r="G839" s="125" t="s">
        <v>5297</v>
      </c>
      <c r="H839" s="125" t="s">
        <v>5504</v>
      </c>
      <c r="I839" s="125" t="s">
        <v>3183</v>
      </c>
    </row>
    <row r="840" spans="1:9" x14ac:dyDescent="0.25">
      <c r="A840" s="125" t="s">
        <v>3096</v>
      </c>
      <c r="B840" s="125" t="s">
        <v>5336</v>
      </c>
      <c r="C840" s="125">
        <v>222</v>
      </c>
      <c r="D840" s="125" t="s">
        <v>5337</v>
      </c>
      <c r="E840" s="125" t="s">
        <v>5303</v>
      </c>
      <c r="F840" s="125" t="s">
        <v>5304</v>
      </c>
      <c r="G840" s="125" t="s">
        <v>5297</v>
      </c>
      <c r="H840" s="125" t="s">
        <v>1055</v>
      </c>
      <c r="I840" s="125" t="s">
        <v>5633</v>
      </c>
    </row>
    <row r="841" spans="1:9" x14ac:dyDescent="0.25">
      <c r="A841" s="125" t="s">
        <v>1787</v>
      </c>
      <c r="B841" s="125" t="s">
        <v>5336</v>
      </c>
      <c r="C841" s="125">
        <v>222</v>
      </c>
      <c r="D841" s="125" t="s">
        <v>5337</v>
      </c>
      <c r="E841" s="125" t="s">
        <v>5303</v>
      </c>
      <c r="F841" s="125" t="s">
        <v>5304</v>
      </c>
      <c r="G841" s="125" t="s">
        <v>5297</v>
      </c>
      <c r="H841" s="125" t="s">
        <v>5634</v>
      </c>
      <c r="I841" s="125" t="s">
        <v>5633</v>
      </c>
    </row>
    <row r="842" spans="1:9" x14ac:dyDescent="0.25">
      <c r="A842" s="125" t="s">
        <v>5635</v>
      </c>
      <c r="B842" s="125" t="s">
        <v>5336</v>
      </c>
      <c r="C842" s="125">
        <v>222</v>
      </c>
      <c r="D842" s="125" t="s">
        <v>5337</v>
      </c>
      <c r="E842" s="125" t="s">
        <v>5303</v>
      </c>
      <c r="F842" s="125" t="s">
        <v>5304</v>
      </c>
      <c r="G842" s="125" t="s">
        <v>5297</v>
      </c>
      <c r="H842" s="125" t="s">
        <v>371</v>
      </c>
      <c r="I842" s="125" t="s">
        <v>371</v>
      </c>
    </row>
    <row r="843" spans="1:9" x14ac:dyDescent="0.25">
      <c r="A843" s="125" t="s">
        <v>2460</v>
      </c>
      <c r="B843" s="125" t="s">
        <v>5336</v>
      </c>
      <c r="C843" s="125">
        <v>222</v>
      </c>
      <c r="D843" s="125" t="s">
        <v>5337</v>
      </c>
      <c r="E843" s="125" t="s">
        <v>5303</v>
      </c>
      <c r="F843" s="125" t="s">
        <v>5304</v>
      </c>
      <c r="G843" s="125" t="s">
        <v>5297</v>
      </c>
      <c r="H843" s="125" t="s">
        <v>5634</v>
      </c>
      <c r="I843" s="125" t="s">
        <v>5633</v>
      </c>
    </row>
    <row r="844" spans="1:9" x14ac:dyDescent="0.25">
      <c r="A844" s="125" t="s">
        <v>3353</v>
      </c>
      <c r="B844" s="125" t="s">
        <v>5336</v>
      </c>
      <c r="C844" s="125">
        <v>222</v>
      </c>
      <c r="D844" s="125" t="s">
        <v>5337</v>
      </c>
      <c r="E844" s="125" t="s">
        <v>5303</v>
      </c>
      <c r="F844" s="125" t="s">
        <v>5304</v>
      </c>
      <c r="G844" s="125" t="s">
        <v>5297</v>
      </c>
      <c r="H844" s="125" t="s">
        <v>371</v>
      </c>
      <c r="I844" s="125" t="s">
        <v>371</v>
      </c>
    </row>
    <row r="845" spans="1:9" x14ac:dyDescent="0.25">
      <c r="A845" s="125" t="s">
        <v>2356</v>
      </c>
      <c r="B845" s="125" t="s">
        <v>5336</v>
      </c>
      <c r="C845" s="125">
        <v>222</v>
      </c>
      <c r="D845" s="125" t="s">
        <v>5337</v>
      </c>
      <c r="E845" s="125" t="s">
        <v>5303</v>
      </c>
      <c r="F845" s="125" t="s">
        <v>5304</v>
      </c>
      <c r="G845" s="125" t="s">
        <v>5297</v>
      </c>
      <c r="H845" s="125" t="s">
        <v>5634</v>
      </c>
      <c r="I845" s="125" t="s">
        <v>5633</v>
      </c>
    </row>
    <row r="846" spans="1:9" x14ac:dyDescent="0.25">
      <c r="A846" s="125" t="s">
        <v>3002</v>
      </c>
      <c r="B846" s="125" t="s">
        <v>5336</v>
      </c>
      <c r="C846" s="125">
        <v>222</v>
      </c>
      <c r="D846" s="125" t="s">
        <v>5337</v>
      </c>
      <c r="E846" s="125" t="s">
        <v>5303</v>
      </c>
      <c r="F846" s="125" t="s">
        <v>5304</v>
      </c>
      <c r="G846" s="125" t="s">
        <v>5297</v>
      </c>
      <c r="H846" s="125" t="s">
        <v>371</v>
      </c>
      <c r="I846" s="125" t="s">
        <v>371</v>
      </c>
    </row>
    <row r="847" spans="1:9" x14ac:dyDescent="0.25">
      <c r="A847" s="125" t="s">
        <v>2787</v>
      </c>
      <c r="B847" s="125" t="s">
        <v>5336</v>
      </c>
      <c r="C847" s="125">
        <v>222</v>
      </c>
      <c r="D847" s="125" t="s">
        <v>5337</v>
      </c>
      <c r="E847" s="125" t="s">
        <v>5303</v>
      </c>
      <c r="F847" s="125" t="s">
        <v>5304</v>
      </c>
      <c r="G847" s="125" t="s">
        <v>5297</v>
      </c>
      <c r="H847" s="125" t="s">
        <v>5636</v>
      </c>
      <c r="I847" s="125" t="s">
        <v>5633</v>
      </c>
    </row>
    <row r="848" spans="1:9" x14ac:dyDescent="0.25">
      <c r="A848" s="125" t="s">
        <v>5637</v>
      </c>
      <c r="B848" s="125" t="s">
        <v>5336</v>
      </c>
      <c r="C848" s="125">
        <v>222</v>
      </c>
      <c r="D848" s="125" t="s">
        <v>5337</v>
      </c>
      <c r="E848" s="125" t="s">
        <v>5303</v>
      </c>
      <c r="F848" s="125" t="s">
        <v>5304</v>
      </c>
      <c r="G848" s="125" t="s">
        <v>5297</v>
      </c>
      <c r="H848" s="125" t="s">
        <v>5636</v>
      </c>
      <c r="I848" s="125" t="s">
        <v>5633</v>
      </c>
    </row>
    <row r="849" spans="1:9" x14ac:dyDescent="0.25">
      <c r="A849" s="125" t="s">
        <v>5638</v>
      </c>
      <c r="B849" s="125" t="s">
        <v>5336</v>
      </c>
      <c r="C849" s="125">
        <v>222</v>
      </c>
      <c r="D849" s="125" t="s">
        <v>5337</v>
      </c>
      <c r="E849" s="125" t="s">
        <v>5303</v>
      </c>
      <c r="F849" s="125" t="s">
        <v>5304</v>
      </c>
      <c r="G849" s="125" t="s">
        <v>5297</v>
      </c>
      <c r="H849" s="125" t="s">
        <v>5636</v>
      </c>
      <c r="I849" s="125" t="s">
        <v>5633</v>
      </c>
    </row>
    <row r="850" spans="1:9" x14ac:dyDescent="0.25">
      <c r="A850" s="125" t="s">
        <v>3447</v>
      </c>
      <c r="B850" s="125" t="s">
        <v>5336</v>
      </c>
      <c r="C850" s="125">
        <v>222</v>
      </c>
      <c r="D850" s="125" t="s">
        <v>5337</v>
      </c>
      <c r="E850" s="125" t="s">
        <v>5303</v>
      </c>
      <c r="F850" s="125" t="s">
        <v>5304</v>
      </c>
      <c r="G850" s="125" t="s">
        <v>5297</v>
      </c>
      <c r="H850" s="125" t="s">
        <v>5639</v>
      </c>
      <c r="I850" s="125" t="s">
        <v>5633</v>
      </c>
    </row>
    <row r="851" spans="1:9" x14ac:dyDescent="0.25">
      <c r="A851" s="125" t="s">
        <v>1246</v>
      </c>
      <c r="B851" s="125" t="s">
        <v>5336</v>
      </c>
      <c r="C851" s="125">
        <v>222</v>
      </c>
      <c r="D851" s="125" t="s">
        <v>5337</v>
      </c>
      <c r="E851" s="125" t="s">
        <v>5303</v>
      </c>
      <c r="F851" s="125" t="s">
        <v>5304</v>
      </c>
      <c r="G851" s="125" t="s">
        <v>5297</v>
      </c>
      <c r="H851" s="125" t="s">
        <v>1055</v>
      </c>
      <c r="I851" s="125" t="s">
        <v>5633</v>
      </c>
    </row>
    <row r="852" spans="1:9" x14ac:dyDescent="0.25">
      <c r="A852" s="125" t="s">
        <v>3084</v>
      </c>
      <c r="B852" s="125" t="s">
        <v>5336</v>
      </c>
      <c r="C852" s="125">
        <v>222</v>
      </c>
      <c r="D852" s="125" t="s">
        <v>5337</v>
      </c>
      <c r="E852" s="125" t="s">
        <v>5303</v>
      </c>
      <c r="F852" s="125" t="s">
        <v>5304</v>
      </c>
      <c r="G852" s="125" t="s">
        <v>5297</v>
      </c>
      <c r="H852" s="125" t="s">
        <v>5640</v>
      </c>
      <c r="I852" s="125" t="s">
        <v>5633</v>
      </c>
    </row>
    <row r="853" spans="1:9" x14ac:dyDescent="0.25">
      <c r="A853" s="125" t="s">
        <v>5641</v>
      </c>
      <c r="B853" s="125" t="s">
        <v>5336</v>
      </c>
      <c r="C853" s="125">
        <v>222</v>
      </c>
      <c r="D853" s="125" t="s">
        <v>5337</v>
      </c>
      <c r="E853" s="125" t="s">
        <v>5303</v>
      </c>
      <c r="F853" s="125" t="s">
        <v>5304</v>
      </c>
      <c r="G853" s="125" t="s">
        <v>5297</v>
      </c>
      <c r="H853" s="125" t="s">
        <v>371</v>
      </c>
      <c r="I853" s="125" t="s">
        <v>371</v>
      </c>
    </row>
    <row r="854" spans="1:9" x14ac:dyDescent="0.25">
      <c r="A854" s="125" t="s">
        <v>5642</v>
      </c>
      <c r="B854" s="125" t="s">
        <v>5336</v>
      </c>
      <c r="C854" s="125">
        <v>222</v>
      </c>
      <c r="D854" s="125" t="s">
        <v>5337</v>
      </c>
      <c r="E854" s="125" t="s">
        <v>5303</v>
      </c>
      <c r="F854" s="125" t="s">
        <v>5304</v>
      </c>
      <c r="G854" s="125" t="s">
        <v>5297</v>
      </c>
      <c r="H854" s="125" t="s">
        <v>5639</v>
      </c>
      <c r="I854" s="125" t="s">
        <v>5633</v>
      </c>
    </row>
    <row r="855" spans="1:9" x14ac:dyDescent="0.25">
      <c r="A855" s="125" t="s">
        <v>2492</v>
      </c>
      <c r="B855" s="125" t="s">
        <v>5336</v>
      </c>
      <c r="C855" s="125">
        <v>222</v>
      </c>
      <c r="D855" s="125" t="s">
        <v>5337</v>
      </c>
      <c r="E855" s="125" t="s">
        <v>5303</v>
      </c>
      <c r="F855" s="125" t="s">
        <v>5304</v>
      </c>
      <c r="G855" s="125" t="s">
        <v>5297</v>
      </c>
      <c r="H855" s="125" t="s">
        <v>5643</v>
      </c>
      <c r="I855" s="125" t="s">
        <v>5643</v>
      </c>
    </row>
    <row r="856" spans="1:9" x14ac:dyDescent="0.25">
      <c r="A856" s="125" t="s">
        <v>5644</v>
      </c>
      <c r="B856" s="125" t="s">
        <v>5336</v>
      </c>
      <c r="C856" s="125">
        <v>222</v>
      </c>
      <c r="D856" s="125" t="s">
        <v>5337</v>
      </c>
      <c r="E856" s="125" t="s">
        <v>5303</v>
      </c>
      <c r="F856" s="125" t="s">
        <v>5304</v>
      </c>
      <c r="G856" s="125" t="s">
        <v>5297</v>
      </c>
      <c r="H856" s="125" t="s">
        <v>371</v>
      </c>
      <c r="I856" s="125" t="s">
        <v>371</v>
      </c>
    </row>
    <row r="857" spans="1:9" x14ac:dyDescent="0.25">
      <c r="A857" s="125" t="s">
        <v>3175</v>
      </c>
      <c r="B857" s="125" t="s">
        <v>5336</v>
      </c>
      <c r="C857" s="125">
        <v>222</v>
      </c>
      <c r="D857" s="125" t="s">
        <v>5337</v>
      </c>
      <c r="E857" s="125" t="s">
        <v>5303</v>
      </c>
      <c r="F857" s="125" t="s">
        <v>5304</v>
      </c>
      <c r="G857" s="125" t="s">
        <v>5297</v>
      </c>
      <c r="H857" s="125" t="s">
        <v>1055</v>
      </c>
      <c r="I857" s="125" t="s">
        <v>5633</v>
      </c>
    </row>
    <row r="858" spans="1:9" x14ac:dyDescent="0.25">
      <c r="A858" s="125" t="s">
        <v>1914</v>
      </c>
      <c r="B858" s="125" t="s">
        <v>5336</v>
      </c>
      <c r="C858" s="125">
        <v>222</v>
      </c>
      <c r="D858" s="125" t="s">
        <v>5337</v>
      </c>
      <c r="E858" s="125" t="s">
        <v>5303</v>
      </c>
      <c r="F858" s="125" t="s">
        <v>5304</v>
      </c>
      <c r="G858" s="125" t="s">
        <v>5297</v>
      </c>
      <c r="H858" s="125" t="s">
        <v>5645</v>
      </c>
      <c r="I858" s="125" t="s">
        <v>5633</v>
      </c>
    </row>
    <row r="859" spans="1:9" x14ac:dyDescent="0.25">
      <c r="A859" s="125" t="s">
        <v>2178</v>
      </c>
      <c r="B859" s="125" t="s">
        <v>5336</v>
      </c>
      <c r="C859" s="125">
        <v>222</v>
      </c>
      <c r="D859" s="125" t="s">
        <v>5337</v>
      </c>
      <c r="E859" s="125" t="s">
        <v>5303</v>
      </c>
      <c r="F859" s="125" t="s">
        <v>5304</v>
      </c>
      <c r="G859" s="125" t="s">
        <v>5297</v>
      </c>
      <c r="H859" s="125" t="s">
        <v>5645</v>
      </c>
      <c r="I859" s="125" t="s">
        <v>5633</v>
      </c>
    </row>
    <row r="860" spans="1:9" x14ac:dyDescent="0.25">
      <c r="A860" s="125" t="s">
        <v>1668</v>
      </c>
      <c r="B860" s="125" t="s">
        <v>5336</v>
      </c>
      <c r="C860" s="125">
        <v>222</v>
      </c>
      <c r="D860" s="125" t="s">
        <v>5337</v>
      </c>
      <c r="E860" s="125" t="s">
        <v>5303</v>
      </c>
      <c r="F860" s="125" t="s">
        <v>5304</v>
      </c>
      <c r="G860" s="125" t="s">
        <v>5297</v>
      </c>
      <c r="H860" s="125" t="s">
        <v>5645</v>
      </c>
      <c r="I860" s="125" t="s">
        <v>5633</v>
      </c>
    </row>
    <row r="861" spans="1:9" x14ac:dyDescent="0.25">
      <c r="A861" s="125" t="s">
        <v>3040</v>
      </c>
      <c r="B861" s="125" t="s">
        <v>5336</v>
      </c>
      <c r="C861" s="125">
        <v>222</v>
      </c>
      <c r="D861" s="125" t="s">
        <v>5337</v>
      </c>
      <c r="E861" s="125" t="s">
        <v>5303</v>
      </c>
      <c r="F861" s="125" t="s">
        <v>5304</v>
      </c>
      <c r="G861" s="125" t="s">
        <v>5297</v>
      </c>
      <c r="H861" s="125" t="s">
        <v>5645</v>
      </c>
      <c r="I861" s="125" t="s">
        <v>5633</v>
      </c>
    </row>
    <row r="862" spans="1:9" x14ac:dyDescent="0.25">
      <c r="A862" s="125" t="s">
        <v>2029</v>
      </c>
      <c r="B862" s="125" t="s">
        <v>5336</v>
      </c>
      <c r="C862" s="125">
        <v>222</v>
      </c>
      <c r="D862" s="125" t="s">
        <v>5337</v>
      </c>
      <c r="E862" s="125" t="s">
        <v>5303</v>
      </c>
      <c r="F862" s="125" t="s">
        <v>5304</v>
      </c>
      <c r="G862" s="125" t="s">
        <v>5297</v>
      </c>
      <c r="H862" s="125" t="s">
        <v>5645</v>
      </c>
      <c r="I862" s="125" t="s">
        <v>5633</v>
      </c>
    </row>
    <row r="863" spans="1:9" x14ac:dyDescent="0.25">
      <c r="A863" s="125" t="s">
        <v>2491</v>
      </c>
      <c r="B863" s="125" t="s">
        <v>5336</v>
      </c>
      <c r="C863" s="125">
        <v>222</v>
      </c>
      <c r="D863" s="125" t="s">
        <v>5337</v>
      </c>
      <c r="E863" s="125" t="s">
        <v>5303</v>
      </c>
      <c r="F863" s="125" t="s">
        <v>5304</v>
      </c>
      <c r="G863" s="125" t="s">
        <v>5297</v>
      </c>
      <c r="H863" s="125" t="s">
        <v>5645</v>
      </c>
      <c r="I863" s="125" t="s">
        <v>5633</v>
      </c>
    </row>
    <row r="864" spans="1:9" x14ac:dyDescent="0.25">
      <c r="A864" s="125" t="s">
        <v>5646</v>
      </c>
      <c r="B864" s="125" t="s">
        <v>5336</v>
      </c>
      <c r="C864" s="125">
        <v>222</v>
      </c>
      <c r="D864" s="125" t="s">
        <v>5337</v>
      </c>
      <c r="E864" s="125" t="s">
        <v>5303</v>
      </c>
      <c r="F864" s="125" t="s">
        <v>5304</v>
      </c>
      <c r="G864" s="125" t="s">
        <v>5297</v>
      </c>
      <c r="H864" s="125" t="s">
        <v>371</v>
      </c>
      <c r="I864" s="125" t="s">
        <v>371</v>
      </c>
    </row>
    <row r="865" spans="1:9" x14ac:dyDescent="0.25">
      <c r="A865" s="125" t="s">
        <v>3432</v>
      </c>
      <c r="B865" s="125" t="s">
        <v>5336</v>
      </c>
      <c r="C865" s="125">
        <v>222</v>
      </c>
      <c r="D865" s="125" t="s">
        <v>5337</v>
      </c>
      <c r="E865" s="125" t="s">
        <v>5303</v>
      </c>
      <c r="F865" s="125" t="s">
        <v>5304</v>
      </c>
      <c r="G865" s="125" t="s">
        <v>5297</v>
      </c>
      <c r="H865" s="125" t="s">
        <v>5639</v>
      </c>
      <c r="I865" s="125" t="s">
        <v>5633</v>
      </c>
    </row>
    <row r="866" spans="1:9" x14ac:dyDescent="0.25">
      <c r="A866" s="125" t="s">
        <v>2088</v>
      </c>
      <c r="B866" s="125" t="s">
        <v>5336</v>
      </c>
      <c r="C866" s="125">
        <v>222</v>
      </c>
      <c r="D866" s="125" t="s">
        <v>5337</v>
      </c>
      <c r="E866" s="125" t="s">
        <v>5303</v>
      </c>
      <c r="F866" s="125" t="s">
        <v>5304</v>
      </c>
      <c r="G866" s="125" t="s">
        <v>5297</v>
      </c>
      <c r="H866" s="125" t="s">
        <v>5639</v>
      </c>
      <c r="I866" s="125" t="s">
        <v>5633</v>
      </c>
    </row>
    <row r="867" spans="1:9" x14ac:dyDescent="0.25">
      <c r="A867" s="125" t="s">
        <v>2021</v>
      </c>
      <c r="B867" s="125" t="s">
        <v>5336</v>
      </c>
      <c r="C867" s="125">
        <v>222</v>
      </c>
      <c r="D867" s="125" t="s">
        <v>5337</v>
      </c>
      <c r="E867" s="125" t="s">
        <v>5303</v>
      </c>
      <c r="F867" s="125" t="s">
        <v>5304</v>
      </c>
      <c r="G867" s="125" t="s">
        <v>5297</v>
      </c>
      <c r="H867" s="125" t="s">
        <v>1055</v>
      </c>
      <c r="I867" s="125" t="s">
        <v>5633</v>
      </c>
    </row>
    <row r="868" spans="1:9" x14ac:dyDescent="0.25">
      <c r="A868" s="125" t="s">
        <v>1472</v>
      </c>
      <c r="B868" s="125" t="s">
        <v>5336</v>
      </c>
      <c r="C868" s="125">
        <v>222</v>
      </c>
      <c r="D868" s="125" t="s">
        <v>5337</v>
      </c>
      <c r="E868" s="125" t="s">
        <v>5303</v>
      </c>
      <c r="F868" s="125" t="s">
        <v>5304</v>
      </c>
      <c r="G868" s="125" t="s">
        <v>5297</v>
      </c>
      <c r="H868" s="125" t="s">
        <v>5634</v>
      </c>
      <c r="I868" s="125" t="s">
        <v>5633</v>
      </c>
    </row>
    <row r="869" spans="1:9" x14ac:dyDescent="0.25">
      <c r="A869" s="125" t="s">
        <v>1427</v>
      </c>
      <c r="B869" s="125" t="s">
        <v>5336</v>
      </c>
      <c r="C869" s="125">
        <v>222</v>
      </c>
      <c r="D869" s="125" t="s">
        <v>5337</v>
      </c>
      <c r="E869" s="125" t="s">
        <v>5303</v>
      </c>
      <c r="F869" s="125" t="s">
        <v>5304</v>
      </c>
      <c r="G869" s="125" t="s">
        <v>5297</v>
      </c>
      <c r="H869" s="125" t="s">
        <v>5647</v>
      </c>
      <c r="I869" s="125" t="s">
        <v>5633</v>
      </c>
    </row>
    <row r="870" spans="1:9" x14ac:dyDescent="0.25">
      <c r="A870" s="125" t="s">
        <v>2180</v>
      </c>
      <c r="B870" s="125" t="s">
        <v>5336</v>
      </c>
      <c r="C870" s="125">
        <v>222</v>
      </c>
      <c r="D870" s="125" t="s">
        <v>5337</v>
      </c>
      <c r="E870" s="125" t="s">
        <v>5303</v>
      </c>
      <c r="F870" s="125" t="s">
        <v>5304</v>
      </c>
      <c r="G870" s="125" t="s">
        <v>5297</v>
      </c>
      <c r="H870" s="125" t="s">
        <v>5647</v>
      </c>
      <c r="I870" s="125" t="s">
        <v>5633</v>
      </c>
    </row>
    <row r="871" spans="1:9" x14ac:dyDescent="0.25">
      <c r="A871" s="125" t="s">
        <v>1868</v>
      </c>
      <c r="B871" s="125" t="s">
        <v>5336</v>
      </c>
      <c r="C871" s="125">
        <v>222</v>
      </c>
      <c r="D871" s="125" t="s">
        <v>5337</v>
      </c>
      <c r="E871" s="125" t="s">
        <v>5303</v>
      </c>
      <c r="F871" s="125" t="s">
        <v>5304</v>
      </c>
      <c r="G871" s="125" t="s">
        <v>5297</v>
      </c>
      <c r="H871" s="125" t="s">
        <v>5634</v>
      </c>
      <c r="I871" s="125" t="s">
        <v>5633</v>
      </c>
    </row>
    <row r="872" spans="1:9" x14ac:dyDescent="0.25">
      <c r="A872" s="125" t="s">
        <v>3443</v>
      </c>
      <c r="B872" s="125" t="s">
        <v>5336</v>
      </c>
      <c r="C872" s="125">
        <v>222</v>
      </c>
      <c r="D872" s="125" t="s">
        <v>5337</v>
      </c>
      <c r="E872" s="125" t="s">
        <v>5303</v>
      </c>
      <c r="F872" s="125" t="s">
        <v>5304</v>
      </c>
      <c r="G872" s="125" t="s">
        <v>5297</v>
      </c>
      <c r="H872" s="125" t="s">
        <v>5634</v>
      </c>
      <c r="I872" s="125" t="s">
        <v>5633</v>
      </c>
    </row>
    <row r="873" spans="1:9" x14ac:dyDescent="0.25">
      <c r="A873" s="125" t="s">
        <v>1579</v>
      </c>
      <c r="B873" s="125" t="s">
        <v>5648</v>
      </c>
      <c r="C873" s="125">
        <v>714</v>
      </c>
      <c r="D873" s="125" t="s">
        <v>5649</v>
      </c>
      <c r="E873" s="125" t="s">
        <v>5465</v>
      </c>
      <c r="F873" s="125" t="s">
        <v>5466</v>
      </c>
      <c r="G873" s="125" t="s">
        <v>5270</v>
      </c>
      <c r="H873" s="125" t="s">
        <v>1578</v>
      </c>
      <c r="I873" s="125" t="s">
        <v>5628</v>
      </c>
    </row>
    <row r="874" spans="1:9" x14ac:dyDescent="0.25">
      <c r="A874" s="125" t="s">
        <v>2729</v>
      </c>
      <c r="B874" s="125" t="s">
        <v>5648</v>
      </c>
      <c r="C874" s="125">
        <v>714</v>
      </c>
      <c r="D874" s="125" t="s">
        <v>5649</v>
      </c>
      <c r="E874" s="125" t="s">
        <v>5465</v>
      </c>
      <c r="F874" s="125" t="s">
        <v>5466</v>
      </c>
      <c r="G874" s="125" t="s">
        <v>5270</v>
      </c>
      <c r="H874" s="125" t="s">
        <v>5650</v>
      </c>
      <c r="I874" s="125" t="s">
        <v>5650</v>
      </c>
    </row>
    <row r="875" spans="1:9" x14ac:dyDescent="0.25">
      <c r="A875" s="125" t="s">
        <v>5651</v>
      </c>
      <c r="B875" s="125" t="s">
        <v>5648</v>
      </c>
      <c r="C875" s="125">
        <v>714</v>
      </c>
      <c r="D875" s="125" t="s">
        <v>5649</v>
      </c>
      <c r="E875" s="125" t="s">
        <v>5465</v>
      </c>
      <c r="F875" s="125" t="s">
        <v>5466</v>
      </c>
      <c r="G875" s="125" t="s">
        <v>5270</v>
      </c>
      <c r="H875" s="125" t="s">
        <v>5650</v>
      </c>
      <c r="I875" s="125" t="s">
        <v>5650</v>
      </c>
    </row>
    <row r="876" spans="1:9" x14ac:dyDescent="0.25">
      <c r="A876" s="125" t="s">
        <v>5652</v>
      </c>
      <c r="B876" s="125" t="s">
        <v>5648</v>
      </c>
      <c r="C876" s="125">
        <v>714</v>
      </c>
      <c r="D876" s="125" t="s">
        <v>5649</v>
      </c>
      <c r="E876" s="125" t="s">
        <v>5465</v>
      </c>
      <c r="F876" s="125" t="s">
        <v>5466</v>
      </c>
      <c r="G876" s="125" t="s">
        <v>5270</v>
      </c>
      <c r="H876" s="125" t="s">
        <v>5650</v>
      </c>
      <c r="I876" s="125" t="s">
        <v>5650</v>
      </c>
    </row>
    <row r="877" spans="1:9" x14ac:dyDescent="0.25">
      <c r="A877" s="125" t="s">
        <v>2632</v>
      </c>
      <c r="B877" s="125" t="s">
        <v>5648</v>
      </c>
      <c r="C877" s="125">
        <v>714</v>
      </c>
      <c r="D877" s="125" t="s">
        <v>5649</v>
      </c>
      <c r="E877" s="125" t="s">
        <v>5465</v>
      </c>
      <c r="F877" s="125" t="s">
        <v>5466</v>
      </c>
      <c r="G877" s="125" t="s">
        <v>5270</v>
      </c>
      <c r="H877" s="125" t="s">
        <v>5650</v>
      </c>
      <c r="I877" s="125" t="s">
        <v>5650</v>
      </c>
    </row>
    <row r="878" spans="1:9" x14ac:dyDescent="0.25">
      <c r="A878" s="125" t="s">
        <v>5653</v>
      </c>
      <c r="B878" s="125" t="s">
        <v>5648</v>
      </c>
      <c r="C878" s="125">
        <v>714</v>
      </c>
      <c r="D878" s="125" t="s">
        <v>5649</v>
      </c>
      <c r="E878" s="125" t="s">
        <v>5465</v>
      </c>
      <c r="F878" s="125" t="s">
        <v>5466</v>
      </c>
      <c r="G878" s="125" t="s">
        <v>5270</v>
      </c>
      <c r="H878" s="125" t="s">
        <v>5650</v>
      </c>
      <c r="I878" s="125" t="s">
        <v>5650</v>
      </c>
    </row>
    <row r="879" spans="1:9" x14ac:dyDescent="0.25">
      <c r="A879" s="125" t="s">
        <v>2582</v>
      </c>
      <c r="B879" s="125" t="s">
        <v>5648</v>
      </c>
      <c r="C879" s="125">
        <v>714</v>
      </c>
      <c r="D879" s="125" t="s">
        <v>5649</v>
      </c>
      <c r="E879" s="125" t="s">
        <v>5465</v>
      </c>
      <c r="F879" s="125" t="s">
        <v>5466</v>
      </c>
      <c r="G879" s="125" t="s">
        <v>5270</v>
      </c>
      <c r="H879" s="125" t="s">
        <v>2517</v>
      </c>
      <c r="I879" s="125" t="s">
        <v>5628</v>
      </c>
    </row>
    <row r="880" spans="1:9" x14ac:dyDescent="0.25">
      <c r="A880" s="125" t="s">
        <v>5654</v>
      </c>
      <c r="B880" s="125" t="s">
        <v>5648</v>
      </c>
      <c r="C880" s="125">
        <v>714</v>
      </c>
      <c r="D880" s="125" t="s">
        <v>5649</v>
      </c>
      <c r="E880" s="125" t="s">
        <v>5465</v>
      </c>
      <c r="F880" s="125" t="s">
        <v>5466</v>
      </c>
      <c r="G880" s="125" t="s">
        <v>5270</v>
      </c>
      <c r="H880" s="125" t="s">
        <v>1102</v>
      </c>
      <c r="I880" s="125" t="s">
        <v>1102</v>
      </c>
    </row>
    <row r="881" spans="1:9" x14ac:dyDescent="0.25">
      <c r="A881" s="125" t="s">
        <v>3332</v>
      </c>
      <c r="B881" s="125" t="s">
        <v>5648</v>
      </c>
      <c r="C881" s="125">
        <v>714</v>
      </c>
      <c r="D881" s="125" t="s">
        <v>5649</v>
      </c>
      <c r="E881" s="125" t="s">
        <v>5465</v>
      </c>
      <c r="F881" s="125" t="s">
        <v>5466</v>
      </c>
      <c r="G881" s="125" t="s">
        <v>5270</v>
      </c>
      <c r="H881" s="125" t="s">
        <v>2517</v>
      </c>
      <c r="I881" s="125" t="s">
        <v>5628</v>
      </c>
    </row>
    <row r="882" spans="1:9" x14ac:dyDescent="0.25">
      <c r="A882" s="125" t="s">
        <v>5655</v>
      </c>
      <c r="B882" s="125" t="s">
        <v>5648</v>
      </c>
      <c r="C882" s="125">
        <v>714</v>
      </c>
      <c r="D882" s="125" t="s">
        <v>5649</v>
      </c>
      <c r="E882" s="125" t="s">
        <v>5465</v>
      </c>
      <c r="F882" s="125" t="s">
        <v>5466</v>
      </c>
      <c r="G882" s="125" t="s">
        <v>5270</v>
      </c>
      <c r="H882" s="125" t="s">
        <v>2517</v>
      </c>
      <c r="I882" s="125" t="s">
        <v>5628</v>
      </c>
    </row>
    <row r="883" spans="1:9" x14ac:dyDescent="0.25">
      <c r="A883" s="125" t="s">
        <v>5656</v>
      </c>
      <c r="B883" s="125" t="s">
        <v>5648</v>
      </c>
      <c r="C883" s="125">
        <v>714</v>
      </c>
      <c r="D883" s="125" t="s">
        <v>5649</v>
      </c>
      <c r="E883" s="125" t="s">
        <v>5465</v>
      </c>
      <c r="F883" s="125" t="s">
        <v>5466</v>
      </c>
      <c r="G883" s="125" t="s">
        <v>5270</v>
      </c>
      <c r="H883" s="125" t="s">
        <v>2517</v>
      </c>
      <c r="I883" s="125" t="s">
        <v>5628</v>
      </c>
    </row>
    <row r="884" spans="1:9" x14ac:dyDescent="0.25">
      <c r="A884" s="125" t="s">
        <v>2116</v>
      </c>
      <c r="B884" s="125" t="s">
        <v>5648</v>
      </c>
      <c r="C884" s="125">
        <v>714</v>
      </c>
      <c r="D884" s="125" t="s">
        <v>5649</v>
      </c>
      <c r="E884" s="125" t="s">
        <v>5465</v>
      </c>
      <c r="F884" s="125" t="s">
        <v>5466</v>
      </c>
      <c r="G884" s="125" t="s">
        <v>5270</v>
      </c>
      <c r="H884" s="125" t="s">
        <v>1578</v>
      </c>
      <c r="I884" s="125" t="s">
        <v>5628</v>
      </c>
    </row>
    <row r="885" spans="1:9" x14ac:dyDescent="0.25">
      <c r="A885" s="125" t="s">
        <v>5657</v>
      </c>
      <c r="B885" s="125" t="s">
        <v>5648</v>
      </c>
      <c r="C885" s="125">
        <v>714</v>
      </c>
      <c r="D885" s="125" t="s">
        <v>5649</v>
      </c>
      <c r="E885" s="125" t="s">
        <v>5465</v>
      </c>
      <c r="F885" s="125" t="s">
        <v>5466</v>
      </c>
      <c r="G885" s="125" t="s">
        <v>5270</v>
      </c>
      <c r="H885" s="125" t="s">
        <v>2517</v>
      </c>
      <c r="I885" s="125" t="s">
        <v>5628</v>
      </c>
    </row>
    <row r="886" spans="1:9" x14ac:dyDescent="0.25">
      <c r="A886" s="125" t="s">
        <v>5658</v>
      </c>
      <c r="B886" s="125" t="s">
        <v>5648</v>
      </c>
      <c r="C886" s="125">
        <v>714</v>
      </c>
      <c r="D886" s="125" t="s">
        <v>5649</v>
      </c>
      <c r="E886" s="125" t="s">
        <v>5465</v>
      </c>
      <c r="F886" s="125" t="s">
        <v>5466</v>
      </c>
      <c r="G886" s="125" t="s">
        <v>5270</v>
      </c>
      <c r="H886" s="125" t="s">
        <v>2517</v>
      </c>
      <c r="I886" s="125" t="s">
        <v>5628</v>
      </c>
    </row>
    <row r="887" spans="1:9" x14ac:dyDescent="0.25">
      <c r="A887" s="125" t="s">
        <v>1133</v>
      </c>
      <c r="B887" s="125" t="s">
        <v>5648</v>
      </c>
      <c r="C887" s="125">
        <v>714</v>
      </c>
      <c r="D887" s="125" t="s">
        <v>5649</v>
      </c>
      <c r="E887" s="125" t="s">
        <v>5465</v>
      </c>
      <c r="F887" s="125" t="s">
        <v>5466</v>
      </c>
      <c r="G887" s="125" t="s">
        <v>5270</v>
      </c>
      <c r="H887" s="125" t="s">
        <v>1578</v>
      </c>
      <c r="I887" s="125" t="s">
        <v>5628</v>
      </c>
    </row>
    <row r="888" spans="1:9" x14ac:dyDescent="0.25">
      <c r="A888" s="125" t="s">
        <v>5659</v>
      </c>
      <c r="B888" s="125" t="s">
        <v>5648</v>
      </c>
      <c r="C888" s="125">
        <v>714</v>
      </c>
      <c r="D888" s="125" t="s">
        <v>5649</v>
      </c>
      <c r="E888" s="125" t="s">
        <v>5465</v>
      </c>
      <c r="F888" s="125" t="s">
        <v>5466</v>
      </c>
      <c r="G888" s="125" t="s">
        <v>5270</v>
      </c>
      <c r="H888" s="125" t="s">
        <v>1578</v>
      </c>
      <c r="I888" s="125" t="s">
        <v>5628</v>
      </c>
    </row>
    <row r="889" spans="1:9" x14ac:dyDescent="0.25">
      <c r="A889" s="125" t="s">
        <v>3049</v>
      </c>
      <c r="B889" s="125" t="s">
        <v>5648</v>
      </c>
      <c r="C889" s="125">
        <v>714</v>
      </c>
      <c r="D889" s="125" t="s">
        <v>5649</v>
      </c>
      <c r="E889" s="125" t="s">
        <v>5465</v>
      </c>
      <c r="F889" s="125" t="s">
        <v>5466</v>
      </c>
      <c r="G889" s="125" t="s">
        <v>5270</v>
      </c>
      <c r="H889" s="125" t="s">
        <v>1578</v>
      </c>
      <c r="I889" s="125" t="s">
        <v>5628</v>
      </c>
    </row>
    <row r="890" spans="1:9" x14ac:dyDescent="0.25">
      <c r="A890" s="125" t="s">
        <v>5660</v>
      </c>
      <c r="B890" s="125" t="s">
        <v>5648</v>
      </c>
      <c r="C890" s="125">
        <v>714</v>
      </c>
      <c r="D890" s="125" t="s">
        <v>5649</v>
      </c>
      <c r="E890" s="125" t="s">
        <v>5465</v>
      </c>
      <c r="F890" s="125" t="s">
        <v>5466</v>
      </c>
      <c r="G890" s="125" t="s">
        <v>5270</v>
      </c>
      <c r="H890" s="125" t="s">
        <v>1578</v>
      </c>
      <c r="I890" s="125" t="s">
        <v>5628</v>
      </c>
    </row>
    <row r="891" spans="1:9" x14ac:dyDescent="0.25">
      <c r="A891" s="125" t="s">
        <v>2518</v>
      </c>
      <c r="B891" s="125" t="s">
        <v>5648</v>
      </c>
      <c r="C891" s="125">
        <v>714</v>
      </c>
      <c r="D891" s="125" t="s">
        <v>5649</v>
      </c>
      <c r="E891" s="125" t="s">
        <v>5465</v>
      </c>
      <c r="F891" s="125" t="s">
        <v>5466</v>
      </c>
      <c r="G891" s="125" t="s">
        <v>5270</v>
      </c>
      <c r="H891" s="125" t="s">
        <v>2517</v>
      </c>
      <c r="I891" s="125" t="s">
        <v>5628</v>
      </c>
    </row>
    <row r="892" spans="1:9" x14ac:dyDescent="0.25">
      <c r="A892" s="125" t="s">
        <v>3579</v>
      </c>
      <c r="B892" s="125" t="s">
        <v>5648</v>
      </c>
      <c r="C892" s="125">
        <v>714</v>
      </c>
      <c r="D892" s="125" t="s">
        <v>5649</v>
      </c>
      <c r="E892" s="125" t="s">
        <v>5465</v>
      </c>
      <c r="F892" s="125" t="s">
        <v>5466</v>
      </c>
      <c r="G892" s="125" t="s">
        <v>5270</v>
      </c>
      <c r="H892" s="125" t="s">
        <v>2517</v>
      </c>
      <c r="I892" s="125" t="s">
        <v>5628</v>
      </c>
    </row>
    <row r="893" spans="1:9" x14ac:dyDescent="0.25">
      <c r="A893" s="125" t="s">
        <v>3071</v>
      </c>
      <c r="B893" s="125" t="s">
        <v>5648</v>
      </c>
      <c r="C893" s="125">
        <v>714</v>
      </c>
      <c r="D893" s="125" t="s">
        <v>5649</v>
      </c>
      <c r="E893" s="125" t="s">
        <v>5465</v>
      </c>
      <c r="F893" s="125" t="s">
        <v>5466</v>
      </c>
      <c r="G893" s="125" t="s">
        <v>5270</v>
      </c>
      <c r="H893" s="125" t="s">
        <v>2517</v>
      </c>
      <c r="I893" s="125" t="s">
        <v>5628</v>
      </c>
    </row>
    <row r="894" spans="1:9" x14ac:dyDescent="0.25">
      <c r="A894" s="125" t="s">
        <v>2282</v>
      </c>
      <c r="B894" s="125" t="s">
        <v>5339</v>
      </c>
      <c r="C894" s="125">
        <v>235</v>
      </c>
      <c r="D894" s="140" t="s">
        <v>5340</v>
      </c>
      <c r="E894" s="125" t="s">
        <v>5341</v>
      </c>
      <c r="F894" s="140" t="s">
        <v>5342</v>
      </c>
      <c r="G894" s="125" t="s">
        <v>5297</v>
      </c>
      <c r="H894" s="125" t="s">
        <v>2281</v>
      </c>
      <c r="I894" s="125" t="s">
        <v>5344</v>
      </c>
    </row>
    <row r="895" spans="1:9" x14ac:dyDescent="0.25">
      <c r="A895" s="125" t="s">
        <v>3543</v>
      </c>
      <c r="B895" s="125" t="s">
        <v>5339</v>
      </c>
      <c r="C895" s="125">
        <v>235</v>
      </c>
      <c r="D895" s="140" t="s">
        <v>5340</v>
      </c>
      <c r="E895" s="125" t="s">
        <v>5341</v>
      </c>
      <c r="F895" s="140" t="s">
        <v>5342</v>
      </c>
      <c r="G895" s="125" t="s">
        <v>5297</v>
      </c>
      <c r="H895" s="125" t="s">
        <v>2281</v>
      </c>
      <c r="I895" s="125" t="s">
        <v>5344</v>
      </c>
    </row>
    <row r="896" spans="1:9" x14ac:dyDescent="0.25">
      <c r="A896" s="125" t="s">
        <v>3218</v>
      </c>
      <c r="B896" s="125" t="s">
        <v>5339</v>
      </c>
      <c r="C896" s="125">
        <v>235</v>
      </c>
      <c r="D896" s="140" t="s">
        <v>5340</v>
      </c>
      <c r="E896" s="125" t="s">
        <v>5341</v>
      </c>
      <c r="F896" s="140" t="s">
        <v>5342</v>
      </c>
      <c r="G896" s="125" t="s">
        <v>5297</v>
      </c>
      <c r="H896" s="125" t="s">
        <v>1102</v>
      </c>
      <c r="I896" s="125" t="s">
        <v>1102</v>
      </c>
    </row>
    <row r="897" spans="1:9" x14ac:dyDescent="0.25">
      <c r="A897" s="125" t="s">
        <v>2625</v>
      </c>
      <c r="B897" s="125" t="s">
        <v>5339</v>
      </c>
      <c r="C897" s="125">
        <v>235</v>
      </c>
      <c r="D897" s="140" t="s">
        <v>5340</v>
      </c>
      <c r="E897" s="125" t="s">
        <v>5341</v>
      </c>
      <c r="F897" s="140" t="s">
        <v>5342</v>
      </c>
      <c r="G897" s="125" t="s">
        <v>5297</v>
      </c>
      <c r="H897" s="125" t="s">
        <v>2281</v>
      </c>
      <c r="I897" s="125" t="s">
        <v>5344</v>
      </c>
    </row>
    <row r="898" spans="1:9" x14ac:dyDescent="0.25">
      <c r="A898" s="125" t="s">
        <v>3355</v>
      </c>
      <c r="B898" s="125" t="s">
        <v>5339</v>
      </c>
      <c r="C898" s="125">
        <v>235</v>
      </c>
      <c r="D898" s="140" t="s">
        <v>5340</v>
      </c>
      <c r="E898" s="125" t="s">
        <v>5341</v>
      </c>
      <c r="F898" s="140" t="s">
        <v>5342</v>
      </c>
      <c r="G898" s="125" t="s">
        <v>5297</v>
      </c>
      <c r="H898" s="125" t="s">
        <v>5661</v>
      </c>
      <c r="I898" s="125" t="s">
        <v>5344</v>
      </c>
    </row>
    <row r="899" spans="1:9" x14ac:dyDescent="0.25">
      <c r="A899" s="125" t="s">
        <v>2167</v>
      </c>
      <c r="B899" s="125" t="s">
        <v>5339</v>
      </c>
      <c r="C899" s="125">
        <v>235</v>
      </c>
      <c r="D899" s="140" t="s">
        <v>5340</v>
      </c>
      <c r="E899" s="125" t="s">
        <v>5341</v>
      </c>
      <c r="F899" s="140" t="s">
        <v>5342</v>
      </c>
      <c r="G899" s="125" t="s">
        <v>5297</v>
      </c>
      <c r="H899" s="125" t="s">
        <v>5661</v>
      </c>
      <c r="I899" s="125" t="s">
        <v>5344</v>
      </c>
    </row>
    <row r="900" spans="1:9" x14ac:dyDescent="0.25">
      <c r="A900" s="125" t="s">
        <v>2558</v>
      </c>
      <c r="B900" s="125" t="s">
        <v>5339</v>
      </c>
      <c r="C900" s="125">
        <v>235</v>
      </c>
      <c r="D900" s="140" t="s">
        <v>5340</v>
      </c>
      <c r="E900" s="125" t="s">
        <v>5341</v>
      </c>
      <c r="F900" s="140" t="s">
        <v>5342</v>
      </c>
      <c r="G900" s="125" t="s">
        <v>5297</v>
      </c>
      <c r="H900" s="125" t="s">
        <v>5661</v>
      </c>
      <c r="I900" s="125" t="s">
        <v>5344</v>
      </c>
    </row>
    <row r="901" spans="1:9" x14ac:dyDescent="0.25">
      <c r="A901" s="125" t="s">
        <v>2628</v>
      </c>
      <c r="B901" s="125" t="s">
        <v>5339</v>
      </c>
      <c r="C901" s="125">
        <v>235</v>
      </c>
      <c r="D901" s="140" t="s">
        <v>5340</v>
      </c>
      <c r="E901" s="125" t="s">
        <v>5341</v>
      </c>
      <c r="F901" s="140" t="s">
        <v>5342</v>
      </c>
      <c r="G901" s="125" t="s">
        <v>5297</v>
      </c>
      <c r="H901" s="125" t="s">
        <v>5662</v>
      </c>
      <c r="I901" s="125" t="s">
        <v>5344</v>
      </c>
    </row>
    <row r="902" spans="1:9" x14ac:dyDescent="0.25">
      <c r="A902" s="125" t="s">
        <v>1979</v>
      </c>
      <c r="B902" s="125" t="s">
        <v>5663</v>
      </c>
      <c r="C902" s="125">
        <v>712</v>
      </c>
      <c r="D902" s="140" t="s">
        <v>5664</v>
      </c>
      <c r="E902" s="125" t="s">
        <v>5665</v>
      </c>
      <c r="F902" s="140" t="s">
        <v>5666</v>
      </c>
      <c r="G902" s="125" t="s">
        <v>5270</v>
      </c>
      <c r="H902" s="125" t="s">
        <v>5667</v>
      </c>
      <c r="I902" s="125" t="s">
        <v>5668</v>
      </c>
    </row>
    <row r="903" spans="1:9" x14ac:dyDescent="0.25">
      <c r="A903" s="125" t="s">
        <v>3058</v>
      </c>
      <c r="B903" s="125" t="s">
        <v>5663</v>
      </c>
      <c r="C903" s="125">
        <v>712</v>
      </c>
      <c r="D903" s="140" t="s">
        <v>5664</v>
      </c>
      <c r="E903" s="125" t="s">
        <v>5665</v>
      </c>
      <c r="F903" s="140" t="s">
        <v>5666</v>
      </c>
      <c r="G903" s="125" t="s">
        <v>5270</v>
      </c>
      <c r="H903" s="125" t="s">
        <v>5667</v>
      </c>
      <c r="I903" s="125" t="s">
        <v>5668</v>
      </c>
    </row>
    <row r="904" spans="1:9" x14ac:dyDescent="0.25">
      <c r="A904" s="125" t="s">
        <v>3466</v>
      </c>
      <c r="B904" s="125" t="s">
        <v>5663</v>
      </c>
      <c r="C904" s="125">
        <v>712</v>
      </c>
      <c r="D904" s="140" t="s">
        <v>5664</v>
      </c>
      <c r="E904" s="125" t="s">
        <v>5665</v>
      </c>
      <c r="F904" s="140" t="s">
        <v>5666</v>
      </c>
      <c r="G904" s="125" t="s">
        <v>5270</v>
      </c>
      <c r="H904" s="125" t="s">
        <v>5667</v>
      </c>
      <c r="I904" s="125" t="s">
        <v>5668</v>
      </c>
    </row>
    <row r="905" spans="1:9" x14ac:dyDescent="0.25">
      <c r="A905" s="125" t="s">
        <v>3242</v>
      </c>
      <c r="B905" s="125" t="s">
        <v>5663</v>
      </c>
      <c r="C905" s="125">
        <v>712</v>
      </c>
      <c r="D905" s="140" t="s">
        <v>5664</v>
      </c>
      <c r="E905" s="125" t="s">
        <v>5665</v>
      </c>
      <c r="F905" s="140" t="s">
        <v>5666</v>
      </c>
      <c r="G905" s="125" t="s">
        <v>5270</v>
      </c>
      <c r="H905" s="125" t="s">
        <v>5667</v>
      </c>
      <c r="I905" s="125" t="s">
        <v>5668</v>
      </c>
    </row>
    <row r="906" spans="1:9" x14ac:dyDescent="0.25">
      <c r="A906" s="125" t="s">
        <v>2456</v>
      </c>
      <c r="B906" s="125" t="s">
        <v>5648</v>
      </c>
      <c r="C906" s="125">
        <v>714</v>
      </c>
      <c r="D906" s="125" t="s">
        <v>5649</v>
      </c>
      <c r="E906" s="125" t="s">
        <v>5465</v>
      </c>
      <c r="F906" s="125" t="s">
        <v>5466</v>
      </c>
      <c r="G906" s="125" t="s">
        <v>5270</v>
      </c>
      <c r="H906" s="125" t="s">
        <v>5667</v>
      </c>
      <c r="I906" s="125" t="s">
        <v>5668</v>
      </c>
    </row>
    <row r="907" spans="1:9" x14ac:dyDescent="0.25">
      <c r="A907" s="125" t="s">
        <v>1545</v>
      </c>
      <c r="B907" s="125" t="s">
        <v>5648</v>
      </c>
      <c r="C907" s="125">
        <v>714</v>
      </c>
      <c r="D907" s="125" t="s">
        <v>5649</v>
      </c>
      <c r="E907" s="125" t="s">
        <v>5465</v>
      </c>
      <c r="F907" s="125" t="s">
        <v>5466</v>
      </c>
      <c r="G907" s="125" t="s">
        <v>5270</v>
      </c>
      <c r="H907" s="125" t="s">
        <v>5667</v>
      </c>
      <c r="I907" s="125" t="s">
        <v>5668</v>
      </c>
    </row>
    <row r="908" spans="1:9" x14ac:dyDescent="0.25">
      <c r="A908" s="125" t="s">
        <v>2499</v>
      </c>
      <c r="B908" s="125" t="s">
        <v>5663</v>
      </c>
      <c r="C908" s="125">
        <v>712</v>
      </c>
      <c r="D908" s="140" t="s">
        <v>5664</v>
      </c>
      <c r="E908" s="125" t="s">
        <v>5665</v>
      </c>
      <c r="F908" s="140" t="s">
        <v>5666</v>
      </c>
      <c r="G908" s="125" t="s">
        <v>5270</v>
      </c>
      <c r="H908" s="125" t="s">
        <v>5667</v>
      </c>
      <c r="I908" s="125" t="s">
        <v>5668</v>
      </c>
    </row>
    <row r="909" spans="1:9" x14ac:dyDescent="0.25">
      <c r="A909" s="125" t="s">
        <v>2334</v>
      </c>
      <c r="B909" s="125" t="s">
        <v>5663</v>
      </c>
      <c r="C909" s="125">
        <v>712</v>
      </c>
      <c r="D909" s="140" t="s">
        <v>5664</v>
      </c>
      <c r="E909" s="125" t="s">
        <v>5665</v>
      </c>
      <c r="F909" s="140" t="s">
        <v>5666</v>
      </c>
      <c r="G909" s="125" t="s">
        <v>5270</v>
      </c>
      <c r="H909" s="125" t="s">
        <v>5667</v>
      </c>
      <c r="I909" s="125" t="s">
        <v>5668</v>
      </c>
    </row>
    <row r="910" spans="1:9" x14ac:dyDescent="0.25">
      <c r="A910" s="125" t="s">
        <v>5669</v>
      </c>
      <c r="B910" s="125" t="s">
        <v>5663</v>
      </c>
      <c r="C910" s="125">
        <v>712</v>
      </c>
      <c r="D910" s="140" t="s">
        <v>5664</v>
      </c>
      <c r="E910" s="125" t="s">
        <v>5665</v>
      </c>
      <c r="F910" s="140" t="s">
        <v>5666</v>
      </c>
      <c r="G910" s="125" t="s">
        <v>5270</v>
      </c>
      <c r="H910" s="125" t="s">
        <v>5667</v>
      </c>
      <c r="I910" s="125" t="s">
        <v>5668</v>
      </c>
    </row>
    <row r="911" spans="1:9" x14ac:dyDescent="0.25">
      <c r="A911" s="125" t="s">
        <v>2500</v>
      </c>
      <c r="B911" s="125" t="s">
        <v>5663</v>
      </c>
      <c r="C911" s="125">
        <v>712</v>
      </c>
      <c r="D911" s="140" t="s">
        <v>5664</v>
      </c>
      <c r="E911" s="125" t="s">
        <v>5665</v>
      </c>
      <c r="F911" s="140" t="s">
        <v>5666</v>
      </c>
      <c r="G911" s="125" t="s">
        <v>5270</v>
      </c>
      <c r="H911" s="125" t="s">
        <v>5667</v>
      </c>
      <c r="I911" s="125" t="s">
        <v>5668</v>
      </c>
    </row>
    <row r="912" spans="1:9" x14ac:dyDescent="0.25">
      <c r="A912" s="125" t="s">
        <v>3563</v>
      </c>
      <c r="B912" s="125" t="s">
        <v>5663</v>
      </c>
      <c r="C912" s="125">
        <v>712</v>
      </c>
      <c r="D912" s="140" t="s">
        <v>5664</v>
      </c>
      <c r="E912" s="125" t="s">
        <v>5665</v>
      </c>
      <c r="F912" s="140" t="s">
        <v>5666</v>
      </c>
      <c r="G912" s="125" t="s">
        <v>5270</v>
      </c>
      <c r="H912" s="125" t="s">
        <v>1102</v>
      </c>
      <c r="I912" s="125" t="s">
        <v>1102</v>
      </c>
    </row>
    <row r="913" spans="1:9" x14ac:dyDescent="0.25">
      <c r="A913" s="125" t="s">
        <v>2497</v>
      </c>
      <c r="B913" s="125" t="s">
        <v>5663</v>
      </c>
      <c r="C913" s="125">
        <v>712</v>
      </c>
      <c r="D913" s="140" t="s">
        <v>5664</v>
      </c>
      <c r="E913" s="125" t="s">
        <v>5665</v>
      </c>
      <c r="F913" s="140" t="s">
        <v>5666</v>
      </c>
      <c r="G913" s="125" t="s">
        <v>5270</v>
      </c>
      <c r="H913" s="125" t="s">
        <v>5667</v>
      </c>
      <c r="I913" s="125" t="s">
        <v>5668</v>
      </c>
    </row>
    <row r="914" spans="1:9" x14ac:dyDescent="0.25">
      <c r="A914" s="125" t="s">
        <v>2816</v>
      </c>
      <c r="B914" s="125" t="s">
        <v>5663</v>
      </c>
      <c r="C914" s="125">
        <v>712</v>
      </c>
      <c r="D914" s="140" t="s">
        <v>5664</v>
      </c>
      <c r="E914" s="125" t="s">
        <v>5665</v>
      </c>
      <c r="F914" s="140" t="s">
        <v>5666</v>
      </c>
      <c r="G914" s="125" t="s">
        <v>5270</v>
      </c>
      <c r="H914" s="125" t="s">
        <v>5667</v>
      </c>
      <c r="I914" s="125" t="s">
        <v>5668</v>
      </c>
    </row>
    <row r="915" spans="1:9" x14ac:dyDescent="0.25">
      <c r="A915" s="125" t="s">
        <v>2461</v>
      </c>
      <c r="B915" s="125" t="s">
        <v>5663</v>
      </c>
      <c r="C915" s="125">
        <v>712</v>
      </c>
      <c r="D915" s="140" t="s">
        <v>5664</v>
      </c>
      <c r="E915" s="125" t="s">
        <v>5665</v>
      </c>
      <c r="F915" s="140" t="s">
        <v>5666</v>
      </c>
      <c r="G915" s="125" t="s">
        <v>5270</v>
      </c>
      <c r="H915" s="125" t="s">
        <v>5667</v>
      </c>
      <c r="I915" s="125" t="s">
        <v>5668</v>
      </c>
    </row>
    <row r="916" spans="1:9" x14ac:dyDescent="0.25">
      <c r="A916" s="125" t="s">
        <v>2803</v>
      </c>
      <c r="B916" s="125" t="s">
        <v>5605</v>
      </c>
      <c r="C916" s="125">
        <v>710</v>
      </c>
      <c r="D916" s="125" t="s">
        <v>5606</v>
      </c>
      <c r="E916" s="125" t="s">
        <v>5465</v>
      </c>
      <c r="F916" s="125" t="s">
        <v>5466</v>
      </c>
      <c r="G916" s="125" t="s">
        <v>5270</v>
      </c>
      <c r="H916" s="125" t="s">
        <v>5667</v>
      </c>
      <c r="I916" s="125" t="s">
        <v>5668</v>
      </c>
    </row>
    <row r="917" spans="1:9" x14ac:dyDescent="0.25">
      <c r="A917" s="125" t="s">
        <v>5670</v>
      </c>
      <c r="B917" s="125" t="s">
        <v>5663</v>
      </c>
      <c r="C917" s="125">
        <v>712</v>
      </c>
      <c r="D917" s="140" t="s">
        <v>5664</v>
      </c>
      <c r="E917" s="125" t="s">
        <v>5665</v>
      </c>
      <c r="F917" s="140" t="s">
        <v>5666</v>
      </c>
      <c r="G917" s="125" t="s">
        <v>5270</v>
      </c>
      <c r="H917" s="125" t="s">
        <v>5667</v>
      </c>
      <c r="I917" s="125" t="s">
        <v>5668</v>
      </c>
    </row>
    <row r="918" spans="1:9" x14ac:dyDescent="0.25">
      <c r="A918" s="125" t="s">
        <v>5671</v>
      </c>
      <c r="B918" s="125" t="s">
        <v>5663</v>
      </c>
      <c r="C918" s="125">
        <v>712</v>
      </c>
      <c r="D918" s="140" t="s">
        <v>5664</v>
      </c>
      <c r="E918" s="125" t="s">
        <v>5665</v>
      </c>
      <c r="F918" s="140" t="s">
        <v>5666</v>
      </c>
      <c r="G918" s="125" t="s">
        <v>5270</v>
      </c>
      <c r="H918" s="125" t="s">
        <v>5667</v>
      </c>
      <c r="I918" s="125" t="s">
        <v>5668</v>
      </c>
    </row>
    <row r="919" spans="1:9" x14ac:dyDescent="0.25">
      <c r="A919" s="125" t="s">
        <v>3312</v>
      </c>
      <c r="B919" s="125" t="s">
        <v>5663</v>
      </c>
      <c r="C919" s="125">
        <v>712</v>
      </c>
      <c r="D919" s="140" t="s">
        <v>5664</v>
      </c>
      <c r="E919" s="125" t="s">
        <v>5665</v>
      </c>
      <c r="F919" s="140" t="s">
        <v>5666</v>
      </c>
      <c r="G919" s="125" t="s">
        <v>5270</v>
      </c>
      <c r="H919" s="125" t="s">
        <v>5667</v>
      </c>
      <c r="I919" s="125" t="s">
        <v>5668</v>
      </c>
    </row>
    <row r="920" spans="1:9" x14ac:dyDescent="0.25">
      <c r="A920" s="125" t="s">
        <v>2495</v>
      </c>
      <c r="B920" s="125" t="s">
        <v>5663</v>
      </c>
      <c r="C920" s="125">
        <v>712</v>
      </c>
      <c r="D920" s="140" t="s">
        <v>5664</v>
      </c>
      <c r="E920" s="125" t="s">
        <v>5665</v>
      </c>
      <c r="F920" s="140" t="s">
        <v>5666</v>
      </c>
      <c r="G920" s="125" t="s">
        <v>5270</v>
      </c>
      <c r="H920" s="125" t="s">
        <v>5667</v>
      </c>
      <c r="I920" s="125" t="s">
        <v>5668</v>
      </c>
    </row>
    <row r="921" spans="1:9" x14ac:dyDescent="0.25">
      <c r="A921" s="125" t="s">
        <v>3065</v>
      </c>
      <c r="B921" s="125" t="s">
        <v>5663</v>
      </c>
      <c r="C921" s="125">
        <v>712</v>
      </c>
      <c r="D921" s="140" t="s">
        <v>5664</v>
      </c>
      <c r="E921" s="125" t="s">
        <v>5665</v>
      </c>
      <c r="F921" s="140" t="s">
        <v>5666</v>
      </c>
      <c r="G921" s="125" t="s">
        <v>5270</v>
      </c>
      <c r="H921" s="125" t="s">
        <v>5667</v>
      </c>
      <c r="I921" s="125" t="s">
        <v>5668</v>
      </c>
    </row>
    <row r="922" spans="1:9" x14ac:dyDescent="0.25">
      <c r="A922" s="125" t="s">
        <v>3478</v>
      </c>
      <c r="B922" s="125" t="s">
        <v>5663</v>
      </c>
      <c r="C922" s="125">
        <v>712</v>
      </c>
      <c r="D922" s="140" t="s">
        <v>5664</v>
      </c>
      <c r="E922" s="125" t="s">
        <v>5665</v>
      </c>
      <c r="F922" s="140" t="s">
        <v>5666</v>
      </c>
      <c r="G922" s="125" t="s">
        <v>5270</v>
      </c>
      <c r="H922" s="125" t="s">
        <v>5667</v>
      </c>
      <c r="I922" s="125" t="s">
        <v>5668</v>
      </c>
    </row>
    <row r="923" spans="1:9" x14ac:dyDescent="0.25">
      <c r="A923" s="125" t="s">
        <v>5672</v>
      </c>
      <c r="B923" s="125" t="s">
        <v>5663</v>
      </c>
      <c r="C923" s="125">
        <v>712</v>
      </c>
      <c r="D923" s="140" t="s">
        <v>5664</v>
      </c>
      <c r="E923" s="125" t="s">
        <v>5665</v>
      </c>
      <c r="F923" s="140" t="s">
        <v>5666</v>
      </c>
      <c r="G923" s="125" t="s">
        <v>5270</v>
      </c>
      <c r="H923" s="125" t="s">
        <v>5667</v>
      </c>
      <c r="I923" s="125" t="s">
        <v>5668</v>
      </c>
    </row>
    <row r="924" spans="1:9" x14ac:dyDescent="0.25">
      <c r="A924" s="125" t="s">
        <v>5673</v>
      </c>
      <c r="B924" s="125" t="s">
        <v>5663</v>
      </c>
      <c r="C924" s="125">
        <v>712</v>
      </c>
      <c r="D924" s="140" t="s">
        <v>5664</v>
      </c>
      <c r="E924" s="125" t="s">
        <v>5665</v>
      </c>
      <c r="F924" s="140" t="s">
        <v>5666</v>
      </c>
      <c r="G924" s="125" t="s">
        <v>5270</v>
      </c>
      <c r="H924" s="125" t="s">
        <v>1102</v>
      </c>
      <c r="I924" s="125" t="s">
        <v>1102</v>
      </c>
    </row>
    <row r="925" spans="1:9" x14ac:dyDescent="0.25">
      <c r="A925" s="125" t="s">
        <v>1593</v>
      </c>
      <c r="B925" s="125" t="s">
        <v>5663</v>
      </c>
      <c r="C925" s="125">
        <v>712</v>
      </c>
      <c r="D925" s="140" t="s">
        <v>5664</v>
      </c>
      <c r="E925" s="125" t="s">
        <v>5665</v>
      </c>
      <c r="F925" s="140" t="s">
        <v>5666</v>
      </c>
      <c r="G925" s="125" t="s">
        <v>5270</v>
      </c>
      <c r="H925" s="125" t="s">
        <v>5667</v>
      </c>
      <c r="I925" s="125" t="s">
        <v>5668</v>
      </c>
    </row>
    <row r="926" spans="1:9" x14ac:dyDescent="0.25">
      <c r="A926" s="125" t="s">
        <v>3234</v>
      </c>
      <c r="B926" s="125" t="s">
        <v>5663</v>
      </c>
      <c r="C926" s="125">
        <v>712</v>
      </c>
      <c r="D926" s="140" t="s">
        <v>5664</v>
      </c>
      <c r="E926" s="125" t="s">
        <v>5665</v>
      </c>
      <c r="F926" s="140" t="s">
        <v>5666</v>
      </c>
      <c r="G926" s="125" t="s">
        <v>5270</v>
      </c>
      <c r="H926" s="125" t="s">
        <v>5667</v>
      </c>
      <c r="I926" s="125" t="s">
        <v>5668</v>
      </c>
    </row>
    <row r="927" spans="1:9" x14ac:dyDescent="0.25">
      <c r="A927" s="125" t="s">
        <v>1490</v>
      </c>
      <c r="B927" s="125" t="s">
        <v>5663</v>
      </c>
      <c r="C927" s="125">
        <v>712</v>
      </c>
      <c r="D927" s="140" t="s">
        <v>5664</v>
      </c>
      <c r="E927" s="125" t="s">
        <v>5665</v>
      </c>
      <c r="F927" s="140" t="s">
        <v>5666</v>
      </c>
      <c r="G927" s="125" t="s">
        <v>5270</v>
      </c>
      <c r="H927" s="125" t="s">
        <v>5667</v>
      </c>
      <c r="I927" s="125" t="s">
        <v>5668</v>
      </c>
    </row>
    <row r="928" spans="1:9" x14ac:dyDescent="0.25">
      <c r="A928" s="125" t="s">
        <v>3500</v>
      </c>
      <c r="B928" s="125" t="s">
        <v>5663</v>
      </c>
      <c r="C928" s="125">
        <v>712</v>
      </c>
      <c r="D928" s="140" t="s">
        <v>5664</v>
      </c>
      <c r="E928" s="125" t="s">
        <v>5665</v>
      </c>
      <c r="F928" s="140" t="s">
        <v>5666</v>
      </c>
      <c r="G928" s="125" t="s">
        <v>5270</v>
      </c>
      <c r="H928" s="125" t="s">
        <v>5667</v>
      </c>
      <c r="I928" s="125" t="s">
        <v>5668</v>
      </c>
    </row>
    <row r="929" spans="1:9" x14ac:dyDescent="0.25">
      <c r="A929" s="125" t="s">
        <v>2393</v>
      </c>
      <c r="B929" s="125" t="s">
        <v>5663</v>
      </c>
      <c r="C929" s="125">
        <v>712</v>
      </c>
      <c r="D929" s="140" t="s">
        <v>5664</v>
      </c>
      <c r="E929" s="125" t="s">
        <v>5665</v>
      </c>
      <c r="F929" s="140" t="s">
        <v>5666</v>
      </c>
      <c r="G929" s="125" t="s">
        <v>5270</v>
      </c>
      <c r="H929" s="125" t="s">
        <v>5667</v>
      </c>
      <c r="I929" s="125" t="s">
        <v>5668</v>
      </c>
    </row>
    <row r="930" spans="1:9" x14ac:dyDescent="0.25">
      <c r="A930" s="139" t="s">
        <v>3154</v>
      </c>
      <c r="B930" s="125" t="s">
        <v>5663</v>
      </c>
      <c r="C930" s="125">
        <v>712</v>
      </c>
      <c r="D930" s="140" t="s">
        <v>5664</v>
      </c>
      <c r="E930" s="125" t="s">
        <v>5665</v>
      </c>
      <c r="F930" s="140" t="s">
        <v>5666</v>
      </c>
      <c r="G930" s="125" t="s">
        <v>5270</v>
      </c>
      <c r="H930" s="125" t="s">
        <v>5674</v>
      </c>
      <c r="I930" s="125" t="s">
        <v>5675</v>
      </c>
    </row>
    <row r="931" spans="1:9" x14ac:dyDescent="0.25">
      <c r="A931" s="139" t="s">
        <v>5676</v>
      </c>
      <c r="B931" s="125" t="s">
        <v>5663</v>
      </c>
      <c r="C931" s="125">
        <v>712</v>
      </c>
      <c r="D931" s="140" t="s">
        <v>5664</v>
      </c>
      <c r="E931" s="125" t="s">
        <v>5665</v>
      </c>
      <c r="F931" s="140" t="s">
        <v>5666</v>
      </c>
      <c r="G931" s="125" t="s">
        <v>5270</v>
      </c>
      <c r="H931" s="125" t="s">
        <v>5677</v>
      </c>
      <c r="I931" s="125" t="s">
        <v>5675</v>
      </c>
    </row>
    <row r="932" spans="1:9" x14ac:dyDescent="0.25">
      <c r="A932" s="125" t="s">
        <v>1249</v>
      </c>
      <c r="B932" s="125" t="s">
        <v>5663</v>
      </c>
      <c r="C932" s="125">
        <v>712</v>
      </c>
      <c r="D932" s="140" t="s">
        <v>5664</v>
      </c>
      <c r="E932" s="125" t="s">
        <v>5665</v>
      </c>
      <c r="F932" s="140" t="s">
        <v>5666</v>
      </c>
      <c r="G932" s="125" t="s">
        <v>5270</v>
      </c>
      <c r="H932" s="125" t="s">
        <v>5677</v>
      </c>
      <c r="I932" s="125" t="s">
        <v>5675</v>
      </c>
    </row>
    <row r="933" spans="1:9" x14ac:dyDescent="0.25">
      <c r="A933" s="125" t="s">
        <v>5678</v>
      </c>
      <c r="B933" s="125" t="s">
        <v>5648</v>
      </c>
      <c r="C933" s="125">
        <v>714</v>
      </c>
      <c r="D933" s="125" t="s">
        <v>5649</v>
      </c>
      <c r="E933" s="125" t="s">
        <v>5465</v>
      </c>
      <c r="F933" s="125" t="s">
        <v>5466</v>
      </c>
      <c r="G933" s="125" t="s">
        <v>5270</v>
      </c>
      <c r="H933" s="125" t="s">
        <v>2517</v>
      </c>
      <c r="I933" s="125" t="s">
        <v>5628</v>
      </c>
    </row>
    <row r="934" spans="1:9" x14ac:dyDescent="0.25">
      <c r="A934" s="125" t="s">
        <v>2531</v>
      </c>
      <c r="B934" s="125" t="s">
        <v>5663</v>
      </c>
      <c r="C934" s="125">
        <v>712</v>
      </c>
      <c r="D934" s="140" t="s">
        <v>5664</v>
      </c>
      <c r="E934" s="125" t="s">
        <v>5665</v>
      </c>
      <c r="F934" s="140" t="s">
        <v>5666</v>
      </c>
      <c r="G934" s="125" t="s">
        <v>5270</v>
      </c>
      <c r="H934" s="125" t="s">
        <v>5677</v>
      </c>
      <c r="I934" s="125" t="s">
        <v>5675</v>
      </c>
    </row>
    <row r="935" spans="1:9" x14ac:dyDescent="0.25">
      <c r="A935" s="125" t="s">
        <v>5679</v>
      </c>
      <c r="B935" s="125" t="s">
        <v>5605</v>
      </c>
      <c r="C935" s="125">
        <v>710</v>
      </c>
      <c r="D935" s="125" t="s">
        <v>5606</v>
      </c>
      <c r="E935" s="125" t="s">
        <v>5465</v>
      </c>
      <c r="F935" s="125" t="s">
        <v>5466</v>
      </c>
      <c r="G935" s="125" t="s">
        <v>5270</v>
      </c>
      <c r="H935" s="125" t="s">
        <v>5680</v>
      </c>
      <c r="I935" s="125" t="s">
        <v>5668</v>
      </c>
    </row>
    <row r="936" spans="1:9" x14ac:dyDescent="0.25">
      <c r="A936" s="125" t="s">
        <v>2874</v>
      </c>
      <c r="B936" s="125" t="s">
        <v>5605</v>
      </c>
      <c r="C936" s="125">
        <v>710</v>
      </c>
      <c r="D936" s="125" t="s">
        <v>5606</v>
      </c>
      <c r="E936" s="125" t="s">
        <v>5465</v>
      </c>
      <c r="F936" s="125" t="s">
        <v>5466</v>
      </c>
      <c r="G936" s="125" t="s">
        <v>5270</v>
      </c>
      <c r="H936" s="125" t="s">
        <v>5677</v>
      </c>
      <c r="I936" s="125" t="s">
        <v>5675</v>
      </c>
    </row>
    <row r="937" spans="1:9" x14ac:dyDescent="0.25">
      <c r="A937" s="125" t="s">
        <v>2322</v>
      </c>
      <c r="B937" s="125" t="s">
        <v>5605</v>
      </c>
      <c r="C937" s="125">
        <v>710</v>
      </c>
      <c r="D937" s="125" t="s">
        <v>5606</v>
      </c>
      <c r="E937" s="125" t="s">
        <v>5465</v>
      </c>
      <c r="F937" s="125" t="s">
        <v>5466</v>
      </c>
      <c r="G937" s="125" t="s">
        <v>5270</v>
      </c>
      <c r="H937" s="125" t="s">
        <v>5680</v>
      </c>
      <c r="I937" s="125" t="s">
        <v>5668</v>
      </c>
    </row>
    <row r="938" spans="1:9" x14ac:dyDescent="0.25">
      <c r="A938" s="125" t="s">
        <v>5681</v>
      </c>
      <c r="B938" s="125" t="s">
        <v>5663</v>
      </c>
      <c r="C938" s="125">
        <v>712</v>
      </c>
      <c r="D938" s="140" t="s">
        <v>5664</v>
      </c>
      <c r="E938" s="125" t="s">
        <v>5665</v>
      </c>
      <c r="F938" s="140" t="s">
        <v>5666</v>
      </c>
      <c r="G938" s="125" t="s">
        <v>5270</v>
      </c>
      <c r="H938" s="125" t="s">
        <v>5680</v>
      </c>
      <c r="I938" s="125" t="s">
        <v>5668</v>
      </c>
    </row>
    <row r="939" spans="1:9" x14ac:dyDescent="0.25">
      <c r="A939" s="125" t="s">
        <v>1177</v>
      </c>
      <c r="B939" s="125" t="s">
        <v>5663</v>
      </c>
      <c r="C939" s="125">
        <v>712</v>
      </c>
      <c r="D939" s="140" t="s">
        <v>5664</v>
      </c>
      <c r="E939" s="125" t="s">
        <v>5665</v>
      </c>
      <c r="F939" s="140" t="s">
        <v>5666</v>
      </c>
      <c r="G939" s="125" t="s">
        <v>5270</v>
      </c>
      <c r="H939" s="125" t="s">
        <v>5680</v>
      </c>
      <c r="I939" s="125" t="s">
        <v>5668</v>
      </c>
    </row>
    <row r="940" spans="1:9" x14ac:dyDescent="0.25">
      <c r="A940" s="125" t="s">
        <v>2830</v>
      </c>
      <c r="B940" s="125" t="s">
        <v>5663</v>
      </c>
      <c r="C940" s="125">
        <v>712</v>
      </c>
      <c r="D940" s="140" t="s">
        <v>5664</v>
      </c>
      <c r="E940" s="125" t="s">
        <v>5665</v>
      </c>
      <c r="F940" s="140" t="s">
        <v>5666</v>
      </c>
      <c r="G940" s="125" t="s">
        <v>5270</v>
      </c>
      <c r="H940" s="125" t="s">
        <v>5682</v>
      </c>
      <c r="I940" s="125" t="s">
        <v>5668</v>
      </c>
    </row>
    <row r="941" spans="1:9" x14ac:dyDescent="0.25">
      <c r="A941" s="125" t="s">
        <v>3083</v>
      </c>
      <c r="B941" s="125" t="s">
        <v>5663</v>
      </c>
      <c r="C941" s="125">
        <v>712</v>
      </c>
      <c r="D941" s="140" t="s">
        <v>5664</v>
      </c>
      <c r="E941" s="125" t="s">
        <v>5665</v>
      </c>
      <c r="F941" s="140" t="s">
        <v>5666</v>
      </c>
      <c r="G941" s="125" t="s">
        <v>5270</v>
      </c>
      <c r="H941" s="125" t="s">
        <v>5682</v>
      </c>
      <c r="I941" s="125" t="s">
        <v>5668</v>
      </c>
    </row>
    <row r="942" spans="1:9" x14ac:dyDescent="0.25">
      <c r="A942" s="125" t="s">
        <v>1536</v>
      </c>
      <c r="B942" s="125" t="s">
        <v>5663</v>
      </c>
      <c r="C942" s="125">
        <v>712</v>
      </c>
      <c r="D942" s="140" t="s">
        <v>5664</v>
      </c>
      <c r="E942" s="125" t="s">
        <v>5665</v>
      </c>
      <c r="F942" s="140" t="s">
        <v>5666</v>
      </c>
      <c r="G942" s="125" t="s">
        <v>5270</v>
      </c>
      <c r="H942" s="125" t="s">
        <v>5682</v>
      </c>
      <c r="I942" s="125" t="s">
        <v>5668</v>
      </c>
    </row>
    <row r="943" spans="1:9" x14ac:dyDescent="0.25">
      <c r="A943" s="125" t="s">
        <v>2122</v>
      </c>
      <c r="B943" s="125" t="s">
        <v>5663</v>
      </c>
      <c r="C943" s="125">
        <v>712</v>
      </c>
      <c r="D943" s="140" t="s">
        <v>5664</v>
      </c>
      <c r="E943" s="125" t="s">
        <v>5665</v>
      </c>
      <c r="F943" s="140" t="s">
        <v>5666</v>
      </c>
      <c r="G943" s="125" t="s">
        <v>5270</v>
      </c>
      <c r="H943" s="125" t="s">
        <v>5682</v>
      </c>
      <c r="I943" s="125" t="s">
        <v>5668</v>
      </c>
    </row>
    <row r="944" spans="1:9" x14ac:dyDescent="0.25">
      <c r="A944" s="125" t="s">
        <v>3405</v>
      </c>
      <c r="B944" s="125" t="s">
        <v>5663</v>
      </c>
      <c r="C944" s="125">
        <v>712</v>
      </c>
      <c r="D944" s="140" t="s">
        <v>5664</v>
      </c>
      <c r="E944" s="125" t="s">
        <v>5665</v>
      </c>
      <c r="F944" s="140" t="s">
        <v>5666</v>
      </c>
      <c r="G944" s="125" t="s">
        <v>5270</v>
      </c>
      <c r="H944" s="125" t="s">
        <v>5682</v>
      </c>
      <c r="I944" s="125" t="s">
        <v>5668</v>
      </c>
    </row>
    <row r="945" spans="1:9" x14ac:dyDescent="0.25">
      <c r="A945" s="125" t="s">
        <v>3300</v>
      </c>
      <c r="B945" s="125" t="s">
        <v>5663</v>
      </c>
      <c r="C945" s="125">
        <v>712</v>
      </c>
      <c r="D945" s="140" t="s">
        <v>5664</v>
      </c>
      <c r="E945" s="125" t="s">
        <v>5665</v>
      </c>
      <c r="F945" s="140" t="s">
        <v>5666</v>
      </c>
      <c r="G945" s="125" t="s">
        <v>5270</v>
      </c>
      <c r="H945" s="125" t="s">
        <v>5683</v>
      </c>
      <c r="I945" s="125" t="s">
        <v>5684</v>
      </c>
    </row>
    <row r="946" spans="1:9" x14ac:dyDescent="0.25">
      <c r="A946" s="125" t="s">
        <v>5685</v>
      </c>
      <c r="B946" s="125" t="s">
        <v>5663</v>
      </c>
      <c r="C946" s="125">
        <v>712</v>
      </c>
      <c r="D946" s="140" t="s">
        <v>5664</v>
      </c>
      <c r="E946" s="125" t="s">
        <v>5665</v>
      </c>
      <c r="F946" s="140" t="s">
        <v>5666</v>
      </c>
      <c r="G946" s="125" t="s">
        <v>5270</v>
      </c>
      <c r="H946" s="125" t="s">
        <v>5683</v>
      </c>
      <c r="I946" s="125" t="s">
        <v>5684</v>
      </c>
    </row>
    <row r="947" spans="1:9" x14ac:dyDescent="0.25">
      <c r="A947" s="125" t="s">
        <v>3530</v>
      </c>
      <c r="B947" s="125" t="s">
        <v>5663</v>
      </c>
      <c r="C947" s="125">
        <v>712</v>
      </c>
      <c r="D947" s="140" t="s">
        <v>5664</v>
      </c>
      <c r="E947" s="125" t="s">
        <v>5665</v>
      </c>
      <c r="F947" s="140" t="s">
        <v>5666</v>
      </c>
      <c r="G947" s="125" t="s">
        <v>5270</v>
      </c>
      <c r="H947" s="125" t="s">
        <v>5683</v>
      </c>
      <c r="I947" s="125" t="s">
        <v>5684</v>
      </c>
    </row>
    <row r="948" spans="1:9" x14ac:dyDescent="0.25">
      <c r="A948" s="125" t="s">
        <v>2519</v>
      </c>
      <c r="B948" s="125" t="s">
        <v>5648</v>
      </c>
      <c r="C948" s="125">
        <v>714</v>
      </c>
      <c r="D948" s="125" t="s">
        <v>5649</v>
      </c>
      <c r="E948" s="125" t="s">
        <v>5465</v>
      </c>
      <c r="F948" s="125" t="s">
        <v>5466</v>
      </c>
      <c r="G948" s="125" t="s">
        <v>5270</v>
      </c>
      <c r="H948" s="125" t="s">
        <v>5674</v>
      </c>
      <c r="I948" s="125" t="s">
        <v>5675</v>
      </c>
    </row>
    <row r="949" spans="1:9" x14ac:dyDescent="0.25">
      <c r="A949" s="125" t="s">
        <v>1491</v>
      </c>
      <c r="B949" s="125" t="s">
        <v>5648</v>
      </c>
      <c r="C949" s="125">
        <v>714</v>
      </c>
      <c r="D949" s="125" t="s">
        <v>5649</v>
      </c>
      <c r="E949" s="125" t="s">
        <v>5465</v>
      </c>
      <c r="F949" s="125" t="s">
        <v>5466</v>
      </c>
      <c r="G949" s="125" t="s">
        <v>5270</v>
      </c>
      <c r="H949" s="125" t="s">
        <v>5674</v>
      </c>
      <c r="I949" s="125" t="s">
        <v>5675</v>
      </c>
    </row>
    <row r="950" spans="1:9" x14ac:dyDescent="0.25">
      <c r="A950" s="125" t="s">
        <v>3322</v>
      </c>
      <c r="B950" s="125" t="s">
        <v>5648</v>
      </c>
      <c r="C950" s="125">
        <v>714</v>
      </c>
      <c r="D950" s="125" t="s">
        <v>5649</v>
      </c>
      <c r="E950" s="125" t="s">
        <v>5465</v>
      </c>
      <c r="F950" s="125" t="s">
        <v>5466</v>
      </c>
      <c r="G950" s="125" t="s">
        <v>5270</v>
      </c>
      <c r="H950" s="125" t="s">
        <v>5674</v>
      </c>
      <c r="I950" s="125" t="s">
        <v>5675</v>
      </c>
    </row>
    <row r="951" spans="1:9" x14ac:dyDescent="0.25">
      <c r="A951" s="125" t="s">
        <v>2855</v>
      </c>
      <c r="B951" s="125" t="s">
        <v>5648</v>
      </c>
      <c r="C951" s="125">
        <v>714</v>
      </c>
      <c r="D951" s="125" t="s">
        <v>5649</v>
      </c>
      <c r="E951" s="125" t="s">
        <v>5465</v>
      </c>
      <c r="F951" s="125" t="s">
        <v>5466</v>
      </c>
      <c r="G951" s="125" t="s">
        <v>5270</v>
      </c>
      <c r="H951" s="125" t="s">
        <v>5686</v>
      </c>
      <c r="I951" s="125" t="s">
        <v>5686</v>
      </c>
    </row>
    <row r="952" spans="1:9" x14ac:dyDescent="0.25">
      <c r="A952" s="125" t="s">
        <v>1265</v>
      </c>
      <c r="B952" s="125" t="s">
        <v>5327</v>
      </c>
      <c r="C952" s="125">
        <v>227</v>
      </c>
      <c r="D952" s="125" t="s">
        <v>5328</v>
      </c>
      <c r="E952" s="125" t="s">
        <v>5303</v>
      </c>
      <c r="F952" s="125" t="s">
        <v>5304</v>
      </c>
      <c r="G952" s="125" t="s">
        <v>5297</v>
      </c>
      <c r="H952" s="125" t="s">
        <v>1264</v>
      </c>
      <c r="I952" s="125" t="s">
        <v>2640</v>
      </c>
    </row>
    <row r="953" spans="1:9" x14ac:dyDescent="0.25">
      <c r="A953" s="125" t="s">
        <v>3109</v>
      </c>
      <c r="B953" s="125" t="s">
        <v>5327</v>
      </c>
      <c r="C953" s="125">
        <v>227</v>
      </c>
      <c r="D953" s="125" t="s">
        <v>5328</v>
      </c>
      <c r="E953" s="125" t="s">
        <v>5303</v>
      </c>
      <c r="F953" s="125" t="s">
        <v>5304</v>
      </c>
      <c r="G953" s="125" t="s">
        <v>5297</v>
      </c>
      <c r="H953" s="125" t="s">
        <v>1376</v>
      </c>
      <c r="I953" s="125" t="s">
        <v>2640</v>
      </c>
    </row>
    <row r="954" spans="1:9" x14ac:dyDescent="0.25">
      <c r="A954" s="125" t="s">
        <v>2923</v>
      </c>
      <c r="B954" s="125" t="s">
        <v>5327</v>
      </c>
      <c r="C954" s="125">
        <v>227</v>
      </c>
      <c r="D954" s="125" t="s">
        <v>5328</v>
      </c>
      <c r="E954" s="125" t="s">
        <v>5303</v>
      </c>
      <c r="F954" s="125" t="s">
        <v>5304</v>
      </c>
      <c r="G954" s="125" t="s">
        <v>5297</v>
      </c>
      <c r="H954" s="125" t="s">
        <v>371</v>
      </c>
      <c r="I954" s="125" t="s">
        <v>371</v>
      </c>
    </row>
    <row r="955" spans="1:9" x14ac:dyDescent="0.25">
      <c r="A955" s="125" t="s">
        <v>1995</v>
      </c>
      <c r="B955" s="125" t="s">
        <v>5327</v>
      </c>
      <c r="C955" s="125">
        <v>227</v>
      </c>
      <c r="D955" s="125" t="s">
        <v>5328</v>
      </c>
      <c r="E955" s="125" t="s">
        <v>5303</v>
      </c>
      <c r="F955" s="125" t="s">
        <v>5304</v>
      </c>
      <c r="G955" s="125" t="s">
        <v>5297</v>
      </c>
      <c r="H955" s="125" t="s">
        <v>1376</v>
      </c>
      <c r="I955" s="125" t="s">
        <v>2640</v>
      </c>
    </row>
    <row r="956" spans="1:9" x14ac:dyDescent="0.25">
      <c r="A956" s="125" t="s">
        <v>5687</v>
      </c>
      <c r="B956" s="125" t="s">
        <v>5327</v>
      </c>
      <c r="C956" s="125">
        <v>227</v>
      </c>
      <c r="D956" s="125" t="s">
        <v>5328</v>
      </c>
      <c r="E956" s="125" t="s">
        <v>5303</v>
      </c>
      <c r="F956" s="125" t="s">
        <v>5304</v>
      </c>
      <c r="G956" s="125" t="s">
        <v>5297</v>
      </c>
      <c r="H956" s="125" t="s">
        <v>1376</v>
      </c>
      <c r="I956" s="125" t="s">
        <v>2640</v>
      </c>
    </row>
    <row r="957" spans="1:9" x14ac:dyDescent="0.25">
      <c r="A957" s="125" t="s">
        <v>3369</v>
      </c>
      <c r="B957" s="125" t="s">
        <v>5320</v>
      </c>
      <c r="C957" s="125">
        <v>234</v>
      </c>
      <c r="D957" s="125" t="s">
        <v>5321</v>
      </c>
      <c r="E957" s="125" t="s">
        <v>5303</v>
      </c>
      <c r="F957" s="125" t="s">
        <v>5304</v>
      </c>
      <c r="G957" s="125" t="s">
        <v>5297</v>
      </c>
      <c r="H957" s="125" t="s">
        <v>5688</v>
      </c>
      <c r="I957" s="125" t="s">
        <v>2640</v>
      </c>
    </row>
    <row r="958" spans="1:9" x14ac:dyDescent="0.25">
      <c r="A958" s="125" t="s">
        <v>2408</v>
      </c>
      <c r="B958" s="125" t="s">
        <v>5320</v>
      </c>
      <c r="C958" s="125">
        <v>234</v>
      </c>
      <c r="D958" s="125" t="s">
        <v>5321</v>
      </c>
      <c r="E958" s="125" t="s">
        <v>5303</v>
      </c>
      <c r="F958" s="125" t="s">
        <v>5304</v>
      </c>
      <c r="G958" s="125" t="s">
        <v>5297</v>
      </c>
      <c r="H958" s="125" t="s">
        <v>5688</v>
      </c>
      <c r="I958" s="125" t="s">
        <v>2640</v>
      </c>
    </row>
    <row r="959" spans="1:9" x14ac:dyDescent="0.25">
      <c r="A959" s="125" t="s">
        <v>2865</v>
      </c>
      <c r="B959" s="125" t="s">
        <v>5320</v>
      </c>
      <c r="C959" s="125">
        <v>234</v>
      </c>
      <c r="D959" s="125" t="s">
        <v>5321</v>
      </c>
      <c r="E959" s="125" t="s">
        <v>5303</v>
      </c>
      <c r="F959" s="125" t="s">
        <v>5304</v>
      </c>
      <c r="G959" s="125" t="s">
        <v>5297</v>
      </c>
      <c r="H959" s="125" t="s">
        <v>5688</v>
      </c>
      <c r="I959" s="125" t="s">
        <v>2640</v>
      </c>
    </row>
    <row r="960" spans="1:9" x14ac:dyDescent="0.25">
      <c r="A960" s="125" t="s">
        <v>3569</v>
      </c>
      <c r="B960" s="125" t="s">
        <v>5320</v>
      </c>
      <c r="C960" s="125">
        <v>234</v>
      </c>
      <c r="D960" s="125" t="s">
        <v>5321</v>
      </c>
      <c r="E960" s="125" t="s">
        <v>5303</v>
      </c>
      <c r="F960" s="125" t="s">
        <v>5304</v>
      </c>
      <c r="G960" s="125" t="s">
        <v>5297</v>
      </c>
      <c r="H960" s="125" t="s">
        <v>5688</v>
      </c>
      <c r="I960" s="125" t="s">
        <v>2640</v>
      </c>
    </row>
    <row r="961" spans="1:9" x14ac:dyDescent="0.25">
      <c r="A961" s="125" t="s">
        <v>5689</v>
      </c>
      <c r="B961" s="125" t="s">
        <v>5320</v>
      </c>
      <c r="C961" s="125">
        <v>234</v>
      </c>
      <c r="D961" s="125" t="s">
        <v>5321</v>
      </c>
      <c r="E961" s="125" t="s">
        <v>5303</v>
      </c>
      <c r="F961" s="125" t="s">
        <v>5304</v>
      </c>
      <c r="G961" s="125" t="s">
        <v>5297</v>
      </c>
      <c r="H961" s="125" t="s">
        <v>371</v>
      </c>
      <c r="I961" s="125" t="s">
        <v>371</v>
      </c>
    </row>
    <row r="962" spans="1:9" x14ac:dyDescent="0.25">
      <c r="A962" s="125" t="s">
        <v>1682</v>
      </c>
      <c r="B962" s="125" t="s">
        <v>5320</v>
      </c>
      <c r="C962" s="125">
        <v>234</v>
      </c>
      <c r="D962" s="125" t="s">
        <v>5321</v>
      </c>
      <c r="E962" s="125" t="s">
        <v>5303</v>
      </c>
      <c r="F962" s="125" t="s">
        <v>5304</v>
      </c>
      <c r="G962" s="125" t="s">
        <v>5297</v>
      </c>
      <c r="H962" s="125" t="s">
        <v>371</v>
      </c>
      <c r="I962" s="125" t="s">
        <v>371</v>
      </c>
    </row>
    <row r="963" spans="1:9" x14ac:dyDescent="0.25">
      <c r="A963" s="125" t="s">
        <v>1539</v>
      </c>
      <c r="B963" s="125" t="s">
        <v>5327</v>
      </c>
      <c r="C963" s="125">
        <v>227</v>
      </c>
      <c r="D963" s="125" t="s">
        <v>5328</v>
      </c>
      <c r="E963" s="125" t="s">
        <v>5303</v>
      </c>
      <c r="F963" s="125" t="s">
        <v>5304</v>
      </c>
      <c r="G963" s="125" t="s">
        <v>5297</v>
      </c>
      <c r="H963" s="125" t="s">
        <v>1264</v>
      </c>
      <c r="I963" s="125" t="s">
        <v>2640</v>
      </c>
    </row>
    <row r="964" spans="1:9" x14ac:dyDescent="0.25">
      <c r="A964" s="125" t="s">
        <v>1520</v>
      </c>
      <c r="B964" s="125" t="s">
        <v>5320</v>
      </c>
      <c r="C964" s="125">
        <v>234</v>
      </c>
      <c r="D964" s="125" t="s">
        <v>5321</v>
      </c>
      <c r="E964" s="125" t="s">
        <v>5303</v>
      </c>
      <c r="F964" s="125" t="s">
        <v>5304</v>
      </c>
      <c r="G964" s="125" t="s">
        <v>5297</v>
      </c>
      <c r="H964" s="125" t="s">
        <v>1519</v>
      </c>
      <c r="I964" s="125" t="s">
        <v>2640</v>
      </c>
    </row>
    <row r="965" spans="1:9" x14ac:dyDescent="0.25">
      <c r="A965" s="125" t="s">
        <v>3073</v>
      </c>
      <c r="B965" s="125" t="s">
        <v>5327</v>
      </c>
      <c r="C965" s="125">
        <v>227</v>
      </c>
      <c r="D965" s="125" t="s">
        <v>5328</v>
      </c>
      <c r="E965" s="125" t="s">
        <v>5303</v>
      </c>
      <c r="F965" s="125" t="s">
        <v>5304</v>
      </c>
      <c r="G965" s="125" t="s">
        <v>5297</v>
      </c>
      <c r="H965" s="125" t="s">
        <v>1519</v>
      </c>
      <c r="I965" s="125" t="s">
        <v>2640</v>
      </c>
    </row>
    <row r="966" spans="1:9" x14ac:dyDescent="0.25">
      <c r="A966" s="125" t="s">
        <v>1782</v>
      </c>
      <c r="B966" s="125" t="s">
        <v>5327</v>
      </c>
      <c r="C966" s="125">
        <v>227</v>
      </c>
      <c r="D966" s="125" t="s">
        <v>5328</v>
      </c>
      <c r="E966" s="125" t="s">
        <v>5303</v>
      </c>
      <c r="F966" s="125" t="s">
        <v>5304</v>
      </c>
      <c r="G966" s="125" t="s">
        <v>5297</v>
      </c>
      <c r="H966" s="125" t="s">
        <v>1264</v>
      </c>
      <c r="I966" s="125" t="s">
        <v>2640</v>
      </c>
    </row>
    <row r="967" spans="1:9" x14ac:dyDescent="0.25">
      <c r="A967" s="125" t="s">
        <v>1444</v>
      </c>
      <c r="B967" s="125" t="s">
        <v>5327</v>
      </c>
      <c r="C967" s="125">
        <v>227</v>
      </c>
      <c r="D967" s="125" t="s">
        <v>5328</v>
      </c>
      <c r="E967" s="125" t="s">
        <v>5303</v>
      </c>
      <c r="F967" s="125" t="s">
        <v>5304</v>
      </c>
      <c r="G967" s="125" t="s">
        <v>5297</v>
      </c>
      <c r="H967" s="125" t="s">
        <v>1376</v>
      </c>
      <c r="I967" s="125" t="s">
        <v>2640</v>
      </c>
    </row>
    <row r="968" spans="1:9" x14ac:dyDescent="0.25">
      <c r="A968" s="125" t="s">
        <v>1235</v>
      </c>
      <c r="B968" s="125" t="s">
        <v>5320</v>
      </c>
      <c r="C968" s="125">
        <v>234</v>
      </c>
      <c r="D968" s="125" t="s">
        <v>5321</v>
      </c>
      <c r="E968" s="125" t="s">
        <v>5303</v>
      </c>
      <c r="F968" s="125" t="s">
        <v>5304</v>
      </c>
      <c r="G968" s="125" t="s">
        <v>5297</v>
      </c>
      <c r="H968" s="125" t="s">
        <v>1234</v>
      </c>
      <c r="I968" s="125" t="s">
        <v>2640</v>
      </c>
    </row>
    <row r="969" spans="1:9" x14ac:dyDescent="0.25">
      <c r="A969" s="125" t="s">
        <v>1990</v>
      </c>
      <c r="B969" s="125" t="s">
        <v>5320</v>
      </c>
      <c r="C969" s="125">
        <v>234</v>
      </c>
      <c r="D969" s="125" t="s">
        <v>5321</v>
      </c>
      <c r="E969" s="125" t="s">
        <v>5303</v>
      </c>
      <c r="F969" s="125" t="s">
        <v>5304</v>
      </c>
      <c r="G969" s="125" t="s">
        <v>5297</v>
      </c>
      <c r="H969" s="125" t="s">
        <v>1234</v>
      </c>
      <c r="I969" s="125" t="s">
        <v>2640</v>
      </c>
    </row>
    <row r="970" spans="1:9" x14ac:dyDescent="0.25">
      <c r="A970" s="125" t="s">
        <v>2057</v>
      </c>
      <c r="B970" s="125" t="s">
        <v>5320</v>
      </c>
      <c r="C970" s="125">
        <v>234</v>
      </c>
      <c r="D970" s="125" t="s">
        <v>5321</v>
      </c>
      <c r="E970" s="125" t="s">
        <v>5303</v>
      </c>
      <c r="F970" s="125" t="s">
        <v>5304</v>
      </c>
      <c r="G970" s="125" t="s">
        <v>5297</v>
      </c>
      <c r="H970" s="125" t="s">
        <v>1519</v>
      </c>
      <c r="I970" s="125" t="s">
        <v>2640</v>
      </c>
    </row>
    <row r="971" spans="1:9" x14ac:dyDescent="0.25">
      <c r="A971" s="125" t="s">
        <v>1513</v>
      </c>
      <c r="B971" s="125" t="s">
        <v>5320</v>
      </c>
      <c r="C971" s="125">
        <v>234</v>
      </c>
      <c r="D971" s="125" t="s">
        <v>5321</v>
      </c>
      <c r="E971" s="125" t="s">
        <v>5303</v>
      </c>
      <c r="F971" s="125" t="s">
        <v>5304</v>
      </c>
      <c r="G971" s="125" t="s">
        <v>5297</v>
      </c>
      <c r="H971" s="125" t="s">
        <v>5690</v>
      </c>
      <c r="I971" s="125" t="s">
        <v>2640</v>
      </c>
    </row>
    <row r="972" spans="1:9" x14ac:dyDescent="0.25">
      <c r="A972" s="125" t="s">
        <v>2008</v>
      </c>
      <c r="B972" s="125" t="s">
        <v>5320</v>
      </c>
      <c r="C972" s="125">
        <v>234</v>
      </c>
      <c r="D972" s="125" t="s">
        <v>5321</v>
      </c>
      <c r="E972" s="125" t="s">
        <v>5303</v>
      </c>
      <c r="F972" s="125" t="s">
        <v>5304</v>
      </c>
      <c r="G972" s="125" t="s">
        <v>5297</v>
      </c>
      <c r="H972" s="125" t="s">
        <v>5690</v>
      </c>
      <c r="I972" s="125" t="s">
        <v>2640</v>
      </c>
    </row>
    <row r="973" spans="1:9" x14ac:dyDescent="0.25">
      <c r="A973" s="125" t="s">
        <v>3005</v>
      </c>
      <c r="B973" s="125" t="s">
        <v>5320</v>
      </c>
      <c r="C973" s="125">
        <v>234</v>
      </c>
      <c r="D973" s="125" t="s">
        <v>5321</v>
      </c>
      <c r="E973" s="125" t="s">
        <v>5303</v>
      </c>
      <c r="F973" s="125" t="s">
        <v>5304</v>
      </c>
      <c r="G973" s="125" t="s">
        <v>5297</v>
      </c>
      <c r="H973" s="125" t="s">
        <v>5690</v>
      </c>
      <c r="I973" s="125" t="s">
        <v>2640</v>
      </c>
    </row>
    <row r="974" spans="1:9" x14ac:dyDescent="0.25">
      <c r="A974" s="125" t="s">
        <v>1454</v>
      </c>
      <c r="B974" s="125" t="s">
        <v>5320</v>
      </c>
      <c r="C974" s="125">
        <v>234</v>
      </c>
      <c r="D974" s="125" t="s">
        <v>5321</v>
      </c>
      <c r="E974" s="125" t="s">
        <v>5303</v>
      </c>
      <c r="F974" s="125" t="s">
        <v>5304</v>
      </c>
      <c r="G974" s="125" t="s">
        <v>5297</v>
      </c>
      <c r="H974" s="125" t="s">
        <v>371</v>
      </c>
      <c r="I974" s="125" t="s">
        <v>371</v>
      </c>
    </row>
    <row r="975" spans="1:9" x14ac:dyDescent="0.25">
      <c r="A975" s="125" t="s">
        <v>1377</v>
      </c>
      <c r="B975" s="125" t="s">
        <v>5327</v>
      </c>
      <c r="C975" s="125">
        <v>227</v>
      </c>
      <c r="D975" s="125" t="s">
        <v>5328</v>
      </c>
      <c r="E975" s="125" t="s">
        <v>5303</v>
      </c>
      <c r="F975" s="125" t="s">
        <v>5304</v>
      </c>
      <c r="G975" s="125" t="s">
        <v>5297</v>
      </c>
      <c r="H975" s="125" t="s">
        <v>1376</v>
      </c>
      <c r="I975" s="125" t="s">
        <v>2640</v>
      </c>
    </row>
    <row r="976" spans="1:9" x14ac:dyDescent="0.25">
      <c r="A976" s="125" t="s">
        <v>1378</v>
      </c>
      <c r="B976" s="125" t="s">
        <v>5327</v>
      </c>
      <c r="C976" s="125">
        <v>227</v>
      </c>
      <c r="D976" s="125" t="s">
        <v>5328</v>
      </c>
      <c r="E976" s="125" t="s">
        <v>5303</v>
      </c>
      <c r="F976" s="125" t="s">
        <v>5304</v>
      </c>
      <c r="G976" s="125" t="s">
        <v>5297</v>
      </c>
      <c r="H976" s="125" t="s">
        <v>5690</v>
      </c>
      <c r="I976" s="125" t="s">
        <v>2640</v>
      </c>
    </row>
    <row r="977" spans="1:9" x14ac:dyDescent="0.25">
      <c r="A977" s="125" t="s">
        <v>2661</v>
      </c>
      <c r="B977" s="125" t="s">
        <v>5327</v>
      </c>
      <c r="C977" s="125">
        <v>227</v>
      </c>
      <c r="D977" s="125" t="s">
        <v>5328</v>
      </c>
      <c r="E977" s="125" t="s">
        <v>5303</v>
      </c>
      <c r="F977" s="125" t="s">
        <v>5304</v>
      </c>
      <c r="G977" s="125" t="s">
        <v>5297</v>
      </c>
      <c r="H977" s="125" t="s">
        <v>5690</v>
      </c>
      <c r="I977" s="125" t="s">
        <v>2640</v>
      </c>
    </row>
    <row r="978" spans="1:9" x14ac:dyDescent="0.25">
      <c r="A978" s="125" t="s">
        <v>3094</v>
      </c>
      <c r="B978" s="125" t="s">
        <v>5327</v>
      </c>
      <c r="C978" s="125">
        <v>227</v>
      </c>
      <c r="D978" s="125" t="s">
        <v>5328</v>
      </c>
      <c r="E978" s="125" t="s">
        <v>5303</v>
      </c>
      <c r="F978" s="125" t="s">
        <v>5304</v>
      </c>
      <c r="G978" s="125" t="s">
        <v>5297</v>
      </c>
      <c r="H978" s="125" t="s">
        <v>5690</v>
      </c>
      <c r="I978" s="125" t="s">
        <v>2640</v>
      </c>
    </row>
    <row r="979" spans="1:9" x14ac:dyDescent="0.25">
      <c r="A979" s="125" t="s">
        <v>2068</v>
      </c>
      <c r="B979" s="125" t="s">
        <v>5691</v>
      </c>
      <c r="C979" s="125">
        <v>210</v>
      </c>
      <c r="D979" s="125" t="s">
        <v>5692</v>
      </c>
      <c r="E979" s="125" t="s">
        <v>5364</v>
      </c>
      <c r="F979" s="125" t="s">
        <v>5365</v>
      </c>
      <c r="G979" s="125" t="s">
        <v>5297</v>
      </c>
      <c r="H979" s="125" t="s">
        <v>2067</v>
      </c>
      <c r="I979" s="125" t="s">
        <v>1953</v>
      </c>
    </row>
    <row r="980" spans="1:9" x14ac:dyDescent="0.25">
      <c r="A980" s="125" t="s">
        <v>1127</v>
      </c>
      <c r="B980" s="125" t="s">
        <v>5691</v>
      </c>
      <c r="C980" s="125">
        <v>210</v>
      </c>
      <c r="D980" s="125" t="s">
        <v>5692</v>
      </c>
      <c r="E980" s="125" t="s">
        <v>5364</v>
      </c>
      <c r="F980" s="125" t="s">
        <v>5365</v>
      </c>
      <c r="G980" s="125" t="s">
        <v>5297</v>
      </c>
      <c r="H980" s="125" t="s">
        <v>2067</v>
      </c>
      <c r="I980" s="125" t="s">
        <v>1953</v>
      </c>
    </row>
    <row r="981" spans="1:9" x14ac:dyDescent="0.25">
      <c r="A981" s="125" t="s">
        <v>1650</v>
      </c>
      <c r="B981" s="125" t="s">
        <v>5691</v>
      </c>
      <c r="C981" s="125">
        <v>210</v>
      </c>
      <c r="D981" s="125" t="s">
        <v>5692</v>
      </c>
      <c r="E981" s="125" t="s">
        <v>5364</v>
      </c>
      <c r="F981" s="125" t="s">
        <v>5365</v>
      </c>
      <c r="G981" s="125" t="s">
        <v>5297</v>
      </c>
      <c r="H981" s="125" t="s">
        <v>5693</v>
      </c>
      <c r="I981" s="125" t="s">
        <v>3017</v>
      </c>
    </row>
    <row r="982" spans="1:9" x14ac:dyDescent="0.25">
      <c r="A982" s="125" t="s">
        <v>1227</v>
      </c>
      <c r="B982" s="125" t="s">
        <v>5691</v>
      </c>
      <c r="C982" s="125">
        <v>210</v>
      </c>
      <c r="D982" s="125" t="s">
        <v>5692</v>
      </c>
      <c r="E982" s="125" t="s">
        <v>5364</v>
      </c>
      <c r="F982" s="125" t="s">
        <v>5365</v>
      </c>
      <c r="G982" s="125" t="s">
        <v>5297</v>
      </c>
      <c r="H982" s="125" t="s">
        <v>2067</v>
      </c>
      <c r="I982" s="125" t="s">
        <v>1953</v>
      </c>
    </row>
    <row r="983" spans="1:9" x14ac:dyDescent="0.25">
      <c r="A983" s="125" t="s">
        <v>1902</v>
      </c>
      <c r="B983" s="125" t="s">
        <v>5691</v>
      </c>
      <c r="C983" s="125">
        <v>210</v>
      </c>
      <c r="D983" s="125" t="s">
        <v>5692</v>
      </c>
      <c r="E983" s="125" t="s">
        <v>5364</v>
      </c>
      <c r="F983" s="125" t="s">
        <v>5365</v>
      </c>
      <c r="G983" s="125" t="s">
        <v>5297</v>
      </c>
      <c r="H983" s="125" t="s">
        <v>5693</v>
      </c>
      <c r="I983" s="125" t="s">
        <v>3017</v>
      </c>
    </row>
    <row r="984" spans="1:9" x14ac:dyDescent="0.25">
      <c r="A984" s="125" t="s">
        <v>2989</v>
      </c>
      <c r="B984" s="125" t="s">
        <v>5691</v>
      </c>
      <c r="C984" s="125">
        <v>210</v>
      </c>
      <c r="D984" s="125" t="s">
        <v>5692</v>
      </c>
      <c r="E984" s="125" t="s">
        <v>5364</v>
      </c>
      <c r="F984" s="125" t="s">
        <v>5365</v>
      </c>
      <c r="G984" s="125" t="s">
        <v>5297</v>
      </c>
      <c r="H984" s="125" t="s">
        <v>5694</v>
      </c>
      <c r="I984" s="125" t="s">
        <v>1953</v>
      </c>
    </row>
    <row r="985" spans="1:9" x14ac:dyDescent="0.25">
      <c r="A985" s="125" t="s">
        <v>2870</v>
      </c>
      <c r="B985" s="125" t="s">
        <v>5691</v>
      </c>
      <c r="C985" s="125">
        <v>210</v>
      </c>
      <c r="D985" s="125" t="s">
        <v>5692</v>
      </c>
      <c r="E985" s="125" t="s">
        <v>5364</v>
      </c>
      <c r="F985" s="125" t="s">
        <v>5365</v>
      </c>
      <c r="G985" s="125" t="s">
        <v>5297</v>
      </c>
      <c r="H985" s="125" t="s">
        <v>5694</v>
      </c>
      <c r="I985" s="125" t="s">
        <v>1953</v>
      </c>
    </row>
    <row r="986" spans="1:9" x14ac:dyDescent="0.25">
      <c r="A986" s="125" t="s">
        <v>1128</v>
      </c>
      <c r="B986" s="125" t="s">
        <v>5691</v>
      </c>
      <c r="C986" s="125">
        <v>210</v>
      </c>
      <c r="D986" s="125" t="s">
        <v>5692</v>
      </c>
      <c r="E986" s="125" t="s">
        <v>5364</v>
      </c>
      <c r="F986" s="125" t="s">
        <v>5365</v>
      </c>
      <c r="G986" s="125" t="s">
        <v>5297</v>
      </c>
      <c r="H986" s="125" t="s">
        <v>5695</v>
      </c>
      <c r="I986" s="125" t="s">
        <v>3017</v>
      </c>
    </row>
    <row r="987" spans="1:9" x14ac:dyDescent="0.25">
      <c r="A987" s="125" t="s">
        <v>5696</v>
      </c>
      <c r="B987" s="125" t="s">
        <v>5691</v>
      </c>
      <c r="C987" s="125">
        <v>210</v>
      </c>
      <c r="D987" s="125" t="s">
        <v>5692</v>
      </c>
      <c r="E987" s="125" t="s">
        <v>5364</v>
      </c>
      <c r="F987" s="125" t="s">
        <v>5365</v>
      </c>
      <c r="G987" s="125" t="s">
        <v>5297</v>
      </c>
      <c r="H987" s="125" t="s">
        <v>371</v>
      </c>
      <c r="I987" s="125" t="s">
        <v>371</v>
      </c>
    </row>
    <row r="988" spans="1:9" x14ac:dyDescent="0.25">
      <c r="A988" s="125" t="s">
        <v>3191</v>
      </c>
      <c r="B988" s="125" t="s">
        <v>5691</v>
      </c>
      <c r="C988" s="125">
        <v>210</v>
      </c>
      <c r="D988" s="125" t="s">
        <v>5692</v>
      </c>
      <c r="E988" s="125" t="s">
        <v>5364</v>
      </c>
      <c r="F988" s="125" t="s">
        <v>5365</v>
      </c>
      <c r="G988" s="125" t="s">
        <v>5297</v>
      </c>
      <c r="H988" s="125" t="s">
        <v>5694</v>
      </c>
      <c r="I988" s="125" t="s">
        <v>1953</v>
      </c>
    </row>
    <row r="989" spans="1:9" x14ac:dyDescent="0.25">
      <c r="A989" s="125" t="s">
        <v>3135</v>
      </c>
      <c r="B989" s="125" t="s">
        <v>5691</v>
      </c>
      <c r="C989" s="125">
        <v>210</v>
      </c>
      <c r="D989" s="125" t="s">
        <v>5692</v>
      </c>
      <c r="E989" s="125" t="s">
        <v>5364</v>
      </c>
      <c r="F989" s="125" t="s">
        <v>5365</v>
      </c>
      <c r="G989" s="125" t="s">
        <v>5297</v>
      </c>
      <c r="H989" s="125" t="s">
        <v>2067</v>
      </c>
      <c r="I989" s="125" t="s">
        <v>1953</v>
      </c>
    </row>
    <row r="990" spans="1:9" x14ac:dyDescent="0.25">
      <c r="A990" s="125" t="s">
        <v>2280</v>
      </c>
      <c r="B990" s="125" t="s">
        <v>5691</v>
      </c>
      <c r="C990" s="125">
        <v>210</v>
      </c>
      <c r="D990" s="125" t="s">
        <v>5692</v>
      </c>
      <c r="E990" s="125" t="s">
        <v>5364</v>
      </c>
      <c r="F990" s="125" t="s">
        <v>5365</v>
      </c>
      <c r="G990" s="125" t="s">
        <v>5297</v>
      </c>
      <c r="H990" s="125" t="s">
        <v>5694</v>
      </c>
      <c r="I990" s="125" t="s">
        <v>1953</v>
      </c>
    </row>
    <row r="991" spans="1:9" x14ac:dyDescent="0.25">
      <c r="A991" s="125" t="s">
        <v>1812</v>
      </c>
      <c r="B991" s="125" t="s">
        <v>5691</v>
      </c>
      <c r="C991" s="125">
        <v>210</v>
      </c>
      <c r="D991" s="125" t="s">
        <v>5692</v>
      </c>
      <c r="E991" s="125" t="s">
        <v>5364</v>
      </c>
      <c r="F991" s="125" t="s">
        <v>5365</v>
      </c>
      <c r="G991" s="125" t="s">
        <v>5297</v>
      </c>
      <c r="H991" s="125" t="s">
        <v>1763</v>
      </c>
      <c r="I991" s="125" t="s">
        <v>1953</v>
      </c>
    </row>
    <row r="992" spans="1:9" x14ac:dyDescent="0.25">
      <c r="A992" s="125" t="s">
        <v>2663</v>
      </c>
      <c r="B992" s="125" t="s">
        <v>5691</v>
      </c>
      <c r="C992" s="125">
        <v>210</v>
      </c>
      <c r="D992" s="125" t="s">
        <v>5692</v>
      </c>
      <c r="E992" s="125" t="s">
        <v>5364</v>
      </c>
      <c r="F992" s="125" t="s">
        <v>5365</v>
      </c>
      <c r="G992" s="125" t="s">
        <v>5297</v>
      </c>
      <c r="H992" s="125" t="s">
        <v>1763</v>
      </c>
      <c r="I992" s="125" t="s">
        <v>1953</v>
      </c>
    </row>
    <row r="993" spans="1:9" x14ac:dyDescent="0.25">
      <c r="A993" s="125" t="s">
        <v>1582</v>
      </c>
      <c r="B993" s="125" t="s">
        <v>5691</v>
      </c>
      <c r="C993" s="125">
        <v>210</v>
      </c>
      <c r="D993" s="125" t="s">
        <v>5692</v>
      </c>
      <c r="E993" s="125" t="s">
        <v>5364</v>
      </c>
      <c r="F993" s="125" t="s">
        <v>5365</v>
      </c>
      <c r="G993" s="125" t="s">
        <v>5297</v>
      </c>
      <c r="H993" s="125" t="s">
        <v>371</v>
      </c>
      <c r="I993" s="125" t="s">
        <v>371</v>
      </c>
    </row>
    <row r="994" spans="1:9" x14ac:dyDescent="0.25">
      <c r="A994" s="125" t="s">
        <v>1856</v>
      </c>
      <c r="B994" s="125" t="s">
        <v>5691</v>
      </c>
      <c r="C994" s="125">
        <v>210</v>
      </c>
      <c r="D994" s="125" t="s">
        <v>5692</v>
      </c>
      <c r="E994" s="125" t="s">
        <v>5364</v>
      </c>
      <c r="F994" s="125" t="s">
        <v>5365</v>
      </c>
      <c r="G994" s="125" t="s">
        <v>5297</v>
      </c>
      <c r="H994" s="125" t="s">
        <v>2067</v>
      </c>
      <c r="I994" s="125" t="s">
        <v>1953</v>
      </c>
    </row>
    <row r="995" spans="1:9" x14ac:dyDescent="0.25">
      <c r="A995" s="125" t="s">
        <v>3139</v>
      </c>
      <c r="B995" s="125" t="s">
        <v>5691</v>
      </c>
      <c r="C995" s="125">
        <v>210</v>
      </c>
      <c r="D995" s="125" t="s">
        <v>5692</v>
      </c>
      <c r="E995" s="125" t="s">
        <v>5364</v>
      </c>
      <c r="F995" s="125" t="s">
        <v>5365</v>
      </c>
      <c r="G995" s="125" t="s">
        <v>5297</v>
      </c>
      <c r="H995" s="125" t="s">
        <v>5697</v>
      </c>
      <c r="I995" s="125" t="s">
        <v>1953</v>
      </c>
    </row>
    <row r="996" spans="1:9" x14ac:dyDescent="0.25">
      <c r="A996" s="125" t="s">
        <v>5698</v>
      </c>
      <c r="B996" s="125" t="s">
        <v>5691</v>
      </c>
      <c r="C996" s="125">
        <v>210</v>
      </c>
      <c r="D996" s="125" t="s">
        <v>5692</v>
      </c>
      <c r="E996" s="125" t="s">
        <v>5364</v>
      </c>
      <c r="F996" s="125" t="s">
        <v>5365</v>
      </c>
      <c r="G996" s="125" t="s">
        <v>5297</v>
      </c>
      <c r="H996" s="125" t="s">
        <v>5699</v>
      </c>
      <c r="I996" s="125" t="s">
        <v>3017</v>
      </c>
    </row>
    <row r="997" spans="1:9" x14ac:dyDescent="0.25">
      <c r="A997" s="125" t="s">
        <v>2196</v>
      </c>
      <c r="B997" s="125" t="s">
        <v>5691</v>
      </c>
      <c r="C997" s="125">
        <v>210</v>
      </c>
      <c r="D997" s="125" t="s">
        <v>5692</v>
      </c>
      <c r="E997" s="125" t="s">
        <v>5364</v>
      </c>
      <c r="F997" s="125" t="s">
        <v>5365</v>
      </c>
      <c r="G997" s="125" t="s">
        <v>5297</v>
      </c>
      <c r="H997" s="125" t="s">
        <v>2791</v>
      </c>
      <c r="I997" s="125" t="s">
        <v>1953</v>
      </c>
    </row>
    <row r="998" spans="1:9" x14ac:dyDescent="0.25">
      <c r="A998" s="125" t="s">
        <v>1186</v>
      </c>
      <c r="B998" s="125" t="s">
        <v>5691</v>
      </c>
      <c r="C998" s="125">
        <v>210</v>
      </c>
      <c r="D998" s="125" t="s">
        <v>5692</v>
      </c>
      <c r="E998" s="125" t="s">
        <v>5364</v>
      </c>
      <c r="F998" s="125" t="s">
        <v>5365</v>
      </c>
      <c r="G998" s="125" t="s">
        <v>5297</v>
      </c>
      <c r="H998" s="125" t="s">
        <v>1390</v>
      </c>
      <c r="I998" s="125" t="s">
        <v>1988</v>
      </c>
    </row>
    <row r="999" spans="1:9" x14ac:dyDescent="0.25">
      <c r="A999" s="125" t="s">
        <v>3059</v>
      </c>
      <c r="B999" s="125" t="s">
        <v>5691</v>
      </c>
      <c r="C999" s="125">
        <v>210</v>
      </c>
      <c r="D999" s="125" t="s">
        <v>5692</v>
      </c>
      <c r="E999" s="125" t="s">
        <v>5364</v>
      </c>
      <c r="F999" s="125" t="s">
        <v>5365</v>
      </c>
      <c r="G999" s="125" t="s">
        <v>5297</v>
      </c>
      <c r="H999" s="125" t="s">
        <v>1390</v>
      </c>
      <c r="I999" s="125" t="s">
        <v>1988</v>
      </c>
    </row>
    <row r="1000" spans="1:9" x14ac:dyDescent="0.25">
      <c r="A1000" s="125" t="s">
        <v>3138</v>
      </c>
      <c r="B1000" s="125" t="s">
        <v>5691</v>
      </c>
      <c r="C1000" s="125">
        <v>210</v>
      </c>
      <c r="D1000" s="125" t="s">
        <v>5692</v>
      </c>
      <c r="E1000" s="125" t="s">
        <v>5364</v>
      </c>
      <c r="F1000" s="125" t="s">
        <v>5365</v>
      </c>
      <c r="G1000" s="125" t="s">
        <v>5297</v>
      </c>
      <c r="H1000" s="125" t="s">
        <v>2067</v>
      </c>
      <c r="I1000" s="125" t="s">
        <v>1953</v>
      </c>
    </row>
    <row r="1001" spans="1:9" x14ac:dyDescent="0.25">
      <c r="A1001" s="125" t="s">
        <v>3438</v>
      </c>
      <c r="B1001" s="125" t="s">
        <v>5691</v>
      </c>
      <c r="C1001" s="125">
        <v>210</v>
      </c>
      <c r="D1001" s="125" t="s">
        <v>5692</v>
      </c>
      <c r="E1001" s="125" t="s">
        <v>5364</v>
      </c>
      <c r="F1001" s="125" t="s">
        <v>5365</v>
      </c>
      <c r="G1001" s="125" t="s">
        <v>5297</v>
      </c>
      <c r="H1001" s="125" t="s">
        <v>5699</v>
      </c>
      <c r="I1001" s="125" t="s">
        <v>3017</v>
      </c>
    </row>
    <row r="1002" spans="1:9" x14ac:dyDescent="0.25">
      <c r="A1002" s="125" t="s">
        <v>1989</v>
      </c>
      <c r="B1002" s="125" t="s">
        <v>5691</v>
      </c>
      <c r="C1002" s="125">
        <v>210</v>
      </c>
      <c r="D1002" s="125" t="s">
        <v>5692</v>
      </c>
      <c r="E1002" s="125" t="s">
        <v>5364</v>
      </c>
      <c r="F1002" s="125" t="s">
        <v>5365</v>
      </c>
      <c r="G1002" s="125" t="s">
        <v>5297</v>
      </c>
      <c r="H1002" s="125" t="s">
        <v>371</v>
      </c>
      <c r="I1002" s="125" t="s">
        <v>371</v>
      </c>
    </row>
    <row r="1003" spans="1:9" x14ac:dyDescent="0.25">
      <c r="A1003" s="125" t="s">
        <v>1663</v>
      </c>
      <c r="B1003" s="125" t="s">
        <v>5691</v>
      </c>
      <c r="C1003" s="125">
        <v>210</v>
      </c>
      <c r="D1003" s="125" t="s">
        <v>5692</v>
      </c>
      <c r="E1003" s="125" t="s">
        <v>5364</v>
      </c>
      <c r="F1003" s="125" t="s">
        <v>5365</v>
      </c>
      <c r="G1003" s="125" t="s">
        <v>5297</v>
      </c>
      <c r="H1003" s="125" t="s">
        <v>5699</v>
      </c>
      <c r="I1003" s="125" t="s">
        <v>3017</v>
      </c>
    </row>
    <row r="1004" spans="1:9" x14ac:dyDescent="0.25">
      <c r="A1004" s="125" t="s">
        <v>1201</v>
      </c>
      <c r="B1004" s="125" t="s">
        <v>5691</v>
      </c>
      <c r="C1004" s="125">
        <v>210</v>
      </c>
      <c r="D1004" s="125" t="s">
        <v>5692</v>
      </c>
      <c r="E1004" s="125" t="s">
        <v>5364</v>
      </c>
      <c r="F1004" s="125" t="s">
        <v>5365</v>
      </c>
      <c r="G1004" s="125" t="s">
        <v>5297</v>
      </c>
      <c r="H1004" s="125" t="s">
        <v>371</v>
      </c>
      <c r="I1004" s="125" t="s">
        <v>371</v>
      </c>
    </row>
    <row r="1005" spans="1:9" x14ac:dyDescent="0.25">
      <c r="A1005" s="125" t="s">
        <v>1605</v>
      </c>
      <c r="B1005" s="125" t="s">
        <v>5691</v>
      </c>
      <c r="C1005" s="125">
        <v>210</v>
      </c>
      <c r="D1005" s="125" t="s">
        <v>5692</v>
      </c>
      <c r="E1005" s="125" t="s">
        <v>5364</v>
      </c>
      <c r="F1005" s="125" t="s">
        <v>5365</v>
      </c>
      <c r="G1005" s="125" t="s">
        <v>5297</v>
      </c>
      <c r="H1005" s="125" t="s">
        <v>5699</v>
      </c>
      <c r="I1005" s="125" t="s">
        <v>3017</v>
      </c>
    </row>
    <row r="1006" spans="1:9" x14ac:dyDescent="0.25">
      <c r="A1006" s="125" t="s">
        <v>2154</v>
      </c>
      <c r="B1006" s="125" t="s">
        <v>5691</v>
      </c>
      <c r="C1006" s="125">
        <v>210</v>
      </c>
      <c r="D1006" s="125" t="s">
        <v>5692</v>
      </c>
      <c r="E1006" s="125" t="s">
        <v>5364</v>
      </c>
      <c r="F1006" s="125" t="s">
        <v>5365</v>
      </c>
      <c r="G1006" s="125" t="s">
        <v>5297</v>
      </c>
      <c r="H1006" s="125" t="s">
        <v>5699</v>
      </c>
      <c r="I1006" s="125" t="s">
        <v>3017</v>
      </c>
    </row>
    <row r="1007" spans="1:9" x14ac:dyDescent="0.25">
      <c r="A1007" s="125" t="s">
        <v>2806</v>
      </c>
      <c r="B1007" s="125" t="s">
        <v>5691</v>
      </c>
      <c r="C1007" s="125">
        <v>210</v>
      </c>
      <c r="D1007" s="125" t="s">
        <v>5692</v>
      </c>
      <c r="E1007" s="125" t="s">
        <v>5364</v>
      </c>
      <c r="F1007" s="125" t="s">
        <v>5365</v>
      </c>
      <c r="G1007" s="125" t="s">
        <v>5297</v>
      </c>
      <c r="H1007" s="125" t="s">
        <v>2067</v>
      </c>
      <c r="I1007" s="125" t="s">
        <v>1953</v>
      </c>
    </row>
    <row r="1008" spans="1:9" x14ac:dyDescent="0.25">
      <c r="A1008" s="125" t="s">
        <v>1604</v>
      </c>
      <c r="B1008" s="125" t="s">
        <v>5691</v>
      </c>
      <c r="C1008" s="125">
        <v>210</v>
      </c>
      <c r="D1008" s="125" t="s">
        <v>5692</v>
      </c>
      <c r="E1008" s="125" t="s">
        <v>5364</v>
      </c>
      <c r="F1008" s="125" t="s">
        <v>5365</v>
      </c>
      <c r="G1008" s="125" t="s">
        <v>5297</v>
      </c>
      <c r="H1008" s="125" t="s">
        <v>5695</v>
      </c>
      <c r="I1008" s="125" t="s">
        <v>3017</v>
      </c>
    </row>
    <row r="1009" spans="1:9" x14ac:dyDescent="0.25">
      <c r="A1009" s="125" t="s">
        <v>1815</v>
      </c>
      <c r="B1009" s="125" t="s">
        <v>5691</v>
      </c>
      <c r="C1009" s="125">
        <v>210</v>
      </c>
      <c r="D1009" s="125" t="s">
        <v>5692</v>
      </c>
      <c r="E1009" s="125" t="s">
        <v>5364</v>
      </c>
      <c r="F1009" s="125" t="s">
        <v>5365</v>
      </c>
      <c r="G1009" s="125" t="s">
        <v>5297</v>
      </c>
      <c r="H1009" s="125" t="s">
        <v>5700</v>
      </c>
      <c r="I1009" s="125" t="s">
        <v>3573</v>
      </c>
    </row>
    <row r="1010" spans="1:9" x14ac:dyDescent="0.25">
      <c r="A1010" s="125" t="s">
        <v>3074</v>
      </c>
      <c r="B1010" s="125" t="s">
        <v>5691</v>
      </c>
      <c r="C1010" s="125">
        <v>210</v>
      </c>
      <c r="D1010" s="125" t="s">
        <v>5692</v>
      </c>
      <c r="E1010" s="125" t="s">
        <v>5364</v>
      </c>
      <c r="F1010" s="125" t="s">
        <v>5365</v>
      </c>
      <c r="G1010" s="125" t="s">
        <v>5297</v>
      </c>
      <c r="H1010" s="125" t="s">
        <v>2067</v>
      </c>
      <c r="I1010" s="125" t="s">
        <v>1953</v>
      </c>
    </row>
    <row r="1011" spans="1:9" x14ac:dyDescent="0.25">
      <c r="A1011" s="125" t="s">
        <v>2184</v>
      </c>
      <c r="B1011" s="125" t="s">
        <v>5691</v>
      </c>
      <c r="C1011" s="125">
        <v>210</v>
      </c>
      <c r="D1011" s="125" t="s">
        <v>5692</v>
      </c>
      <c r="E1011" s="125" t="s">
        <v>5364</v>
      </c>
      <c r="F1011" s="125" t="s">
        <v>5365</v>
      </c>
      <c r="G1011" s="125" t="s">
        <v>5297</v>
      </c>
      <c r="H1011" s="125" t="s">
        <v>5695</v>
      </c>
      <c r="I1011" s="125" t="s">
        <v>3017</v>
      </c>
    </row>
    <row r="1012" spans="1:9" x14ac:dyDescent="0.25">
      <c r="A1012" s="125" t="s">
        <v>2111</v>
      </c>
      <c r="B1012" s="125" t="s">
        <v>5691</v>
      </c>
      <c r="C1012" s="125">
        <v>210</v>
      </c>
      <c r="D1012" s="125" t="s">
        <v>5692</v>
      </c>
      <c r="E1012" s="125" t="s">
        <v>5364</v>
      </c>
      <c r="F1012" s="125" t="s">
        <v>5365</v>
      </c>
      <c r="G1012" s="125" t="s">
        <v>5297</v>
      </c>
      <c r="H1012" s="125" t="s">
        <v>5695</v>
      </c>
      <c r="I1012" s="125" t="s">
        <v>3017</v>
      </c>
    </row>
    <row r="1013" spans="1:9" x14ac:dyDescent="0.25">
      <c r="A1013" s="125" t="s">
        <v>1997</v>
      </c>
      <c r="B1013" s="125" t="s">
        <v>5691</v>
      </c>
      <c r="C1013" s="125">
        <v>210</v>
      </c>
      <c r="D1013" s="125" t="s">
        <v>5692</v>
      </c>
      <c r="E1013" s="125" t="s">
        <v>5364</v>
      </c>
      <c r="F1013" s="125" t="s">
        <v>5365</v>
      </c>
      <c r="G1013" s="125" t="s">
        <v>5297</v>
      </c>
      <c r="H1013" s="125" t="s">
        <v>2791</v>
      </c>
      <c r="I1013" s="125" t="s">
        <v>1953</v>
      </c>
    </row>
    <row r="1014" spans="1:9" x14ac:dyDescent="0.25">
      <c r="A1014" s="125" t="s">
        <v>2455</v>
      </c>
      <c r="B1014" s="125" t="s">
        <v>5691</v>
      </c>
      <c r="C1014" s="125">
        <v>210</v>
      </c>
      <c r="D1014" s="125" t="s">
        <v>5692</v>
      </c>
      <c r="E1014" s="125" t="s">
        <v>5364</v>
      </c>
      <c r="F1014" s="125" t="s">
        <v>5365</v>
      </c>
      <c r="G1014" s="125" t="s">
        <v>5297</v>
      </c>
      <c r="H1014" s="125" t="s">
        <v>2791</v>
      </c>
      <c r="I1014" s="125" t="s">
        <v>1953</v>
      </c>
    </row>
    <row r="1015" spans="1:9" x14ac:dyDescent="0.25">
      <c r="A1015" s="125" t="s">
        <v>2811</v>
      </c>
      <c r="B1015" s="125" t="s">
        <v>5691</v>
      </c>
      <c r="C1015" s="125">
        <v>210</v>
      </c>
      <c r="D1015" s="125" t="s">
        <v>5692</v>
      </c>
      <c r="E1015" s="125" t="s">
        <v>5364</v>
      </c>
      <c r="F1015" s="125" t="s">
        <v>5365</v>
      </c>
      <c r="G1015" s="125" t="s">
        <v>5297</v>
      </c>
      <c r="H1015" s="125" t="s">
        <v>2791</v>
      </c>
      <c r="I1015" s="125" t="s">
        <v>1953</v>
      </c>
    </row>
    <row r="1016" spans="1:9" x14ac:dyDescent="0.25">
      <c r="A1016" s="125" t="s">
        <v>2170</v>
      </c>
      <c r="B1016" s="125" t="s">
        <v>5691</v>
      </c>
      <c r="C1016" s="125">
        <v>210</v>
      </c>
      <c r="D1016" s="125" t="s">
        <v>5692</v>
      </c>
      <c r="E1016" s="125" t="s">
        <v>5364</v>
      </c>
      <c r="F1016" s="125" t="s">
        <v>5365</v>
      </c>
      <c r="G1016" s="125" t="s">
        <v>5297</v>
      </c>
      <c r="H1016" s="125" t="s">
        <v>2791</v>
      </c>
      <c r="I1016" s="125" t="s">
        <v>1953</v>
      </c>
    </row>
    <row r="1017" spans="1:9" x14ac:dyDescent="0.25">
      <c r="A1017" s="125" t="s">
        <v>5701</v>
      </c>
      <c r="B1017" s="125" t="s">
        <v>5382</v>
      </c>
      <c r="C1017" s="125" t="s">
        <v>5383</v>
      </c>
      <c r="D1017" s="125"/>
      <c r="E1017" s="125" t="s">
        <v>5384</v>
      </c>
      <c r="F1017" s="125" t="s">
        <v>5384</v>
      </c>
      <c r="G1017" s="125" t="s">
        <v>5384</v>
      </c>
      <c r="H1017" s="125" t="s">
        <v>371</v>
      </c>
      <c r="I1017" s="125" t="s">
        <v>371</v>
      </c>
    </row>
    <row r="1018" spans="1:9" x14ac:dyDescent="0.25">
      <c r="A1018" s="125" t="s">
        <v>5702</v>
      </c>
      <c r="B1018" s="125" t="s">
        <v>5382</v>
      </c>
      <c r="C1018" s="125" t="s">
        <v>5383</v>
      </c>
      <c r="D1018" s="125"/>
      <c r="E1018" s="125" t="s">
        <v>5384</v>
      </c>
      <c r="F1018" s="125" t="s">
        <v>5384</v>
      </c>
      <c r="G1018" s="125" t="s">
        <v>5384</v>
      </c>
      <c r="H1018" s="125" t="s">
        <v>371</v>
      </c>
      <c r="I1018" s="125" t="s">
        <v>371</v>
      </c>
    </row>
    <row r="1019" spans="1:9" x14ac:dyDescent="0.25">
      <c r="A1019" s="125" t="s">
        <v>5703</v>
      </c>
      <c r="B1019" s="125" t="s">
        <v>5382</v>
      </c>
      <c r="C1019" s="125" t="s">
        <v>5383</v>
      </c>
      <c r="D1019" s="125"/>
      <c r="E1019" s="125" t="s">
        <v>5384</v>
      </c>
      <c r="F1019" s="125" t="s">
        <v>5384</v>
      </c>
      <c r="G1019" s="125" t="s">
        <v>5384</v>
      </c>
      <c r="H1019" s="125" t="s">
        <v>371</v>
      </c>
      <c r="I1019" s="125" t="s">
        <v>371</v>
      </c>
    </row>
    <row r="1020" spans="1:9" x14ac:dyDescent="0.25">
      <c r="A1020" s="125" t="s">
        <v>5704</v>
      </c>
      <c r="B1020" s="125" t="s">
        <v>5382</v>
      </c>
      <c r="C1020" s="125" t="s">
        <v>5383</v>
      </c>
      <c r="D1020" s="125"/>
      <c r="E1020" s="125" t="s">
        <v>5384</v>
      </c>
      <c r="F1020" s="125" t="s">
        <v>5384</v>
      </c>
      <c r="G1020" s="125" t="s">
        <v>5384</v>
      </c>
      <c r="H1020" s="125" t="s">
        <v>371</v>
      </c>
      <c r="I1020" s="125" t="s">
        <v>371</v>
      </c>
    </row>
    <row r="1021" spans="1:9" x14ac:dyDescent="0.25">
      <c r="A1021" s="125" t="s">
        <v>5705</v>
      </c>
      <c r="B1021" s="125" t="s">
        <v>5382</v>
      </c>
      <c r="C1021" s="125" t="s">
        <v>5383</v>
      </c>
      <c r="D1021" s="125"/>
      <c r="E1021" s="125" t="s">
        <v>5384</v>
      </c>
      <c r="F1021" s="125" t="s">
        <v>5384</v>
      </c>
      <c r="G1021" s="125" t="s">
        <v>5384</v>
      </c>
      <c r="H1021" s="125" t="s">
        <v>371</v>
      </c>
      <c r="I1021" s="125" t="s">
        <v>371</v>
      </c>
    </row>
    <row r="1022" spans="1:9" x14ac:dyDescent="0.25">
      <c r="A1022" s="125" t="s">
        <v>5706</v>
      </c>
      <c r="B1022" s="125" t="s">
        <v>5382</v>
      </c>
      <c r="C1022" s="125" t="s">
        <v>5383</v>
      </c>
      <c r="D1022" s="125"/>
      <c r="E1022" s="125" t="s">
        <v>5384</v>
      </c>
      <c r="F1022" s="125" t="s">
        <v>5384</v>
      </c>
      <c r="G1022" s="125" t="s">
        <v>5384</v>
      </c>
      <c r="H1022" s="125" t="s">
        <v>371</v>
      </c>
      <c r="I1022" s="125" t="s">
        <v>371</v>
      </c>
    </row>
    <row r="1023" spans="1:9" x14ac:dyDescent="0.25">
      <c r="A1023" s="125" t="s">
        <v>5707</v>
      </c>
      <c r="B1023" s="125" t="s">
        <v>5382</v>
      </c>
      <c r="C1023" s="125" t="s">
        <v>5383</v>
      </c>
      <c r="D1023" s="125"/>
      <c r="E1023" s="125" t="s">
        <v>5384</v>
      </c>
      <c r="F1023" s="125" t="s">
        <v>5384</v>
      </c>
      <c r="G1023" s="125" t="s">
        <v>5384</v>
      </c>
      <c r="H1023" s="125" t="s">
        <v>371</v>
      </c>
      <c r="I1023" s="125" t="s">
        <v>371</v>
      </c>
    </row>
    <row r="1024" spans="1:9" x14ac:dyDescent="0.25">
      <c r="A1024" s="125" t="s">
        <v>5708</v>
      </c>
      <c r="B1024" s="125" t="s">
        <v>5382</v>
      </c>
      <c r="C1024" s="125" t="s">
        <v>5383</v>
      </c>
      <c r="D1024" s="125"/>
      <c r="E1024" s="125" t="s">
        <v>5384</v>
      </c>
      <c r="F1024" s="125" t="s">
        <v>5384</v>
      </c>
      <c r="G1024" s="125" t="s">
        <v>5384</v>
      </c>
      <c r="H1024" s="125" t="s">
        <v>371</v>
      </c>
      <c r="I1024" s="125" t="s">
        <v>371</v>
      </c>
    </row>
    <row r="1025" spans="1:9" x14ac:dyDescent="0.25">
      <c r="A1025" s="125" t="s">
        <v>5709</v>
      </c>
      <c r="B1025" s="125" t="s">
        <v>5382</v>
      </c>
      <c r="C1025" s="125" t="s">
        <v>5383</v>
      </c>
      <c r="D1025" s="125"/>
      <c r="E1025" s="125" t="s">
        <v>5384</v>
      </c>
      <c r="F1025" s="125" t="s">
        <v>5384</v>
      </c>
      <c r="G1025" s="125" t="s">
        <v>5384</v>
      </c>
      <c r="H1025" s="125" t="s">
        <v>371</v>
      </c>
      <c r="I1025" s="125" t="s">
        <v>371</v>
      </c>
    </row>
    <row r="1026" spans="1:9" x14ac:dyDescent="0.25">
      <c r="A1026" s="125" t="s">
        <v>5710</v>
      </c>
      <c r="B1026" s="125" t="s">
        <v>5382</v>
      </c>
      <c r="C1026" s="125" t="s">
        <v>5383</v>
      </c>
      <c r="D1026" s="125"/>
      <c r="E1026" s="125" t="s">
        <v>5384</v>
      </c>
      <c r="F1026" s="125" t="s">
        <v>5384</v>
      </c>
      <c r="G1026" s="125" t="s">
        <v>5384</v>
      </c>
      <c r="H1026" s="125" t="s">
        <v>371</v>
      </c>
      <c r="I1026" s="125" t="s">
        <v>371</v>
      </c>
    </row>
    <row r="1027" spans="1:9" x14ac:dyDescent="0.25">
      <c r="A1027" s="125" t="s">
        <v>3549</v>
      </c>
      <c r="B1027" s="125" t="s">
        <v>5578</v>
      </c>
      <c r="C1027" s="125">
        <v>224</v>
      </c>
      <c r="D1027" s="125" t="s">
        <v>5579</v>
      </c>
      <c r="E1027" s="125" t="s">
        <v>5364</v>
      </c>
      <c r="F1027" s="125" t="s">
        <v>5365</v>
      </c>
      <c r="G1027" s="125" t="s">
        <v>5297</v>
      </c>
      <c r="H1027" s="125" t="s">
        <v>5711</v>
      </c>
      <c r="I1027" s="125" t="s">
        <v>5375</v>
      </c>
    </row>
    <row r="1028" spans="1:9" x14ac:dyDescent="0.25">
      <c r="A1028" s="125" t="s">
        <v>3156</v>
      </c>
      <c r="B1028" s="125" t="s">
        <v>5293</v>
      </c>
      <c r="C1028" s="125">
        <v>228</v>
      </c>
      <c r="D1028" s="125" t="s">
        <v>5294</v>
      </c>
      <c r="E1028" s="125" t="s">
        <v>5295</v>
      </c>
      <c r="F1028" s="125" t="s">
        <v>5296</v>
      </c>
      <c r="G1028" s="125" t="s">
        <v>5297</v>
      </c>
      <c r="H1028" s="125" t="s">
        <v>1364</v>
      </c>
      <c r="I1028" s="125" t="s">
        <v>5375</v>
      </c>
    </row>
    <row r="1029" spans="1:9" x14ac:dyDescent="0.25">
      <c r="A1029" s="125" t="s">
        <v>1365</v>
      </c>
      <c r="B1029" s="125" t="s">
        <v>5293</v>
      </c>
      <c r="C1029" s="125">
        <v>228</v>
      </c>
      <c r="D1029" s="125" t="s">
        <v>5294</v>
      </c>
      <c r="E1029" s="125" t="s">
        <v>5295</v>
      </c>
      <c r="F1029" s="125" t="s">
        <v>5296</v>
      </c>
      <c r="G1029" s="125" t="s">
        <v>5297</v>
      </c>
      <c r="H1029" s="125" t="s">
        <v>1364</v>
      </c>
      <c r="I1029" s="125" t="s">
        <v>5375</v>
      </c>
    </row>
    <row r="1030" spans="1:9" x14ac:dyDescent="0.25">
      <c r="A1030" s="125" t="s">
        <v>2755</v>
      </c>
      <c r="B1030" s="125" t="s">
        <v>5293</v>
      </c>
      <c r="C1030" s="125">
        <v>228</v>
      </c>
      <c r="D1030" s="125" t="s">
        <v>5294</v>
      </c>
      <c r="E1030" s="125" t="s">
        <v>5295</v>
      </c>
      <c r="F1030" s="125" t="s">
        <v>5296</v>
      </c>
      <c r="G1030" s="125" t="s">
        <v>5297</v>
      </c>
      <c r="H1030" s="125" t="s">
        <v>5711</v>
      </c>
      <c r="I1030" s="125" t="s">
        <v>5375</v>
      </c>
    </row>
    <row r="1031" spans="1:9" x14ac:dyDescent="0.25">
      <c r="A1031" s="125" t="s">
        <v>2520</v>
      </c>
      <c r="B1031" s="125" t="s">
        <v>5293</v>
      </c>
      <c r="C1031" s="125">
        <v>228</v>
      </c>
      <c r="D1031" s="125" t="s">
        <v>5294</v>
      </c>
      <c r="E1031" s="125" t="s">
        <v>5295</v>
      </c>
      <c r="F1031" s="125" t="s">
        <v>5296</v>
      </c>
      <c r="G1031" s="125" t="s">
        <v>5297</v>
      </c>
      <c r="H1031" s="125" t="s">
        <v>5712</v>
      </c>
      <c r="I1031" s="125" t="s">
        <v>5375</v>
      </c>
    </row>
    <row r="1032" spans="1:9" x14ac:dyDescent="0.25">
      <c r="A1032" s="125" t="s">
        <v>3464</v>
      </c>
      <c r="B1032" s="125" t="s">
        <v>5293</v>
      </c>
      <c r="C1032" s="125">
        <v>228</v>
      </c>
      <c r="D1032" s="125" t="s">
        <v>5294</v>
      </c>
      <c r="E1032" s="125" t="s">
        <v>5295</v>
      </c>
      <c r="F1032" s="125" t="s">
        <v>5296</v>
      </c>
      <c r="G1032" s="125" t="s">
        <v>5297</v>
      </c>
      <c r="H1032" s="125" t="s">
        <v>1364</v>
      </c>
      <c r="I1032" s="125" t="s">
        <v>5375</v>
      </c>
    </row>
    <row r="1033" spans="1:9" x14ac:dyDescent="0.25">
      <c r="A1033" s="125" t="s">
        <v>3497</v>
      </c>
      <c r="B1033" s="125" t="s">
        <v>5293</v>
      </c>
      <c r="C1033" s="125">
        <v>228</v>
      </c>
      <c r="D1033" s="125" t="s">
        <v>5294</v>
      </c>
      <c r="E1033" s="125" t="s">
        <v>5295</v>
      </c>
      <c r="F1033" s="125" t="s">
        <v>5296</v>
      </c>
      <c r="G1033" s="125" t="s">
        <v>5297</v>
      </c>
      <c r="H1033" s="125" t="s">
        <v>5712</v>
      </c>
      <c r="I1033" s="125" t="s">
        <v>5375</v>
      </c>
    </row>
    <row r="1034" spans="1:9" x14ac:dyDescent="0.25">
      <c r="A1034" s="125" t="s">
        <v>5713</v>
      </c>
      <c r="B1034" s="125" t="s">
        <v>5293</v>
      </c>
      <c r="C1034" s="125">
        <v>228</v>
      </c>
      <c r="D1034" s="125" t="s">
        <v>5294</v>
      </c>
      <c r="E1034" s="125" t="s">
        <v>5295</v>
      </c>
      <c r="F1034" s="125" t="s">
        <v>5296</v>
      </c>
      <c r="G1034" s="125" t="s">
        <v>5297</v>
      </c>
      <c r="H1034" s="125" t="s">
        <v>1364</v>
      </c>
      <c r="I1034" s="125" t="s">
        <v>5375</v>
      </c>
    </row>
    <row r="1035" spans="1:9" x14ac:dyDescent="0.25">
      <c r="A1035" s="125" t="s">
        <v>2854</v>
      </c>
      <c r="B1035" s="125" t="s">
        <v>5293</v>
      </c>
      <c r="C1035" s="125">
        <v>228</v>
      </c>
      <c r="D1035" s="125" t="s">
        <v>5294</v>
      </c>
      <c r="E1035" s="125" t="s">
        <v>5295</v>
      </c>
      <c r="F1035" s="125" t="s">
        <v>5296</v>
      </c>
      <c r="G1035" s="125" t="s">
        <v>5297</v>
      </c>
      <c r="H1035" s="125" t="s">
        <v>1252</v>
      </c>
      <c r="I1035" s="125" t="s">
        <v>5375</v>
      </c>
    </row>
    <row r="1036" spans="1:9" x14ac:dyDescent="0.25">
      <c r="A1036" s="125" t="s">
        <v>1828</v>
      </c>
      <c r="B1036" s="125" t="s">
        <v>5578</v>
      </c>
      <c r="C1036" s="125">
        <v>224</v>
      </c>
      <c r="D1036" s="125" t="s">
        <v>5579</v>
      </c>
      <c r="E1036" s="125" t="s">
        <v>5364</v>
      </c>
      <c r="F1036" s="125" t="s">
        <v>5365</v>
      </c>
      <c r="G1036" s="125" t="s">
        <v>5297</v>
      </c>
      <c r="H1036" s="125" t="s">
        <v>5711</v>
      </c>
      <c r="I1036" s="125" t="s">
        <v>5375</v>
      </c>
    </row>
    <row r="1037" spans="1:9" x14ac:dyDescent="0.25">
      <c r="A1037" s="125" t="s">
        <v>1484</v>
      </c>
      <c r="B1037" s="125" t="s">
        <v>5339</v>
      </c>
      <c r="C1037" s="125">
        <v>235</v>
      </c>
      <c r="D1037" s="140" t="s">
        <v>5340</v>
      </c>
      <c r="E1037" s="125" t="s">
        <v>5341</v>
      </c>
      <c r="F1037" s="140" t="s">
        <v>5342</v>
      </c>
      <c r="G1037" s="125" t="s">
        <v>5297</v>
      </c>
      <c r="H1037" s="125" t="s">
        <v>5352</v>
      </c>
      <c r="I1037" s="125" t="s">
        <v>5351</v>
      </c>
    </row>
    <row r="1038" spans="1:9" x14ac:dyDescent="0.25">
      <c r="A1038" s="125" t="s">
        <v>3446</v>
      </c>
      <c r="B1038" s="125" t="s">
        <v>5339</v>
      </c>
      <c r="C1038" s="125">
        <v>235</v>
      </c>
      <c r="D1038" s="140" t="s">
        <v>5340</v>
      </c>
      <c r="E1038" s="125" t="s">
        <v>5341</v>
      </c>
      <c r="F1038" s="140" t="s">
        <v>5342</v>
      </c>
      <c r="G1038" s="125" t="s">
        <v>5297</v>
      </c>
      <c r="H1038" s="125" t="s">
        <v>5352</v>
      </c>
      <c r="I1038" s="125" t="s">
        <v>5351</v>
      </c>
    </row>
    <row r="1039" spans="1:9" x14ac:dyDescent="0.25">
      <c r="A1039" s="125" t="s">
        <v>2248</v>
      </c>
      <c r="B1039" s="125" t="s">
        <v>5339</v>
      </c>
      <c r="C1039" s="125">
        <v>235</v>
      </c>
      <c r="D1039" s="140" t="s">
        <v>5340</v>
      </c>
      <c r="E1039" s="125" t="s">
        <v>5341</v>
      </c>
      <c r="F1039" s="140" t="s">
        <v>5342</v>
      </c>
      <c r="G1039" s="125" t="s">
        <v>5297</v>
      </c>
      <c r="H1039" s="125" t="s">
        <v>5352</v>
      </c>
      <c r="I1039" s="125" t="s">
        <v>5351</v>
      </c>
    </row>
    <row r="1040" spans="1:9" x14ac:dyDescent="0.25">
      <c r="A1040" s="125" t="s">
        <v>1837</v>
      </c>
      <c r="B1040" s="125" t="s">
        <v>5339</v>
      </c>
      <c r="C1040" s="125">
        <v>235</v>
      </c>
      <c r="D1040" s="140" t="s">
        <v>5340</v>
      </c>
      <c r="E1040" s="125" t="s">
        <v>5341</v>
      </c>
      <c r="F1040" s="140" t="s">
        <v>5342</v>
      </c>
      <c r="G1040" s="125" t="s">
        <v>5297</v>
      </c>
      <c r="H1040" s="125" t="s">
        <v>5352</v>
      </c>
      <c r="I1040" s="125" t="s">
        <v>5351</v>
      </c>
    </row>
    <row r="1041" spans="1:9" x14ac:dyDescent="0.25">
      <c r="A1041" s="125" t="s">
        <v>1967</v>
      </c>
      <c r="B1041" s="125" t="s">
        <v>5339</v>
      </c>
      <c r="C1041" s="125">
        <v>235</v>
      </c>
      <c r="D1041" s="140" t="s">
        <v>5340</v>
      </c>
      <c r="E1041" s="125" t="s">
        <v>5341</v>
      </c>
      <c r="F1041" s="140" t="s">
        <v>5342</v>
      </c>
      <c r="G1041" s="125" t="s">
        <v>5297</v>
      </c>
      <c r="H1041" s="125" t="s">
        <v>5352</v>
      </c>
      <c r="I1041" s="125" t="s">
        <v>5351</v>
      </c>
    </row>
    <row r="1042" spans="1:9" x14ac:dyDescent="0.25">
      <c r="A1042" s="125" t="s">
        <v>1910</v>
      </c>
      <c r="B1042" s="125" t="s">
        <v>5339</v>
      </c>
      <c r="C1042" s="125">
        <v>235</v>
      </c>
      <c r="D1042" s="140" t="s">
        <v>5340</v>
      </c>
      <c r="E1042" s="125" t="s">
        <v>5341</v>
      </c>
      <c r="F1042" s="140" t="s">
        <v>5342</v>
      </c>
      <c r="G1042" s="125" t="s">
        <v>5297</v>
      </c>
      <c r="H1042" s="125" t="s">
        <v>5714</v>
      </c>
      <c r="I1042" s="125" t="s">
        <v>5351</v>
      </c>
    </row>
    <row r="1043" spans="1:9" x14ac:dyDescent="0.25">
      <c r="A1043" s="125" t="s">
        <v>2155</v>
      </c>
      <c r="B1043" s="125" t="s">
        <v>5339</v>
      </c>
      <c r="C1043" s="125">
        <v>235</v>
      </c>
      <c r="D1043" s="140" t="s">
        <v>5340</v>
      </c>
      <c r="E1043" s="125" t="s">
        <v>5341</v>
      </c>
      <c r="F1043" s="140" t="s">
        <v>5342</v>
      </c>
      <c r="G1043" s="125" t="s">
        <v>5297</v>
      </c>
      <c r="H1043" s="125" t="s">
        <v>5352</v>
      </c>
      <c r="I1043" s="125" t="s">
        <v>5351</v>
      </c>
    </row>
    <row r="1044" spans="1:9" x14ac:dyDescent="0.25">
      <c r="A1044" s="125" t="s">
        <v>1950</v>
      </c>
      <c r="B1044" s="125" t="s">
        <v>5339</v>
      </c>
      <c r="C1044" s="125">
        <v>235</v>
      </c>
      <c r="D1044" s="140" t="s">
        <v>5340</v>
      </c>
      <c r="E1044" s="125" t="s">
        <v>5341</v>
      </c>
      <c r="F1044" s="140" t="s">
        <v>5342</v>
      </c>
      <c r="G1044" s="125" t="s">
        <v>5297</v>
      </c>
      <c r="H1044" s="125" t="s">
        <v>5352</v>
      </c>
      <c r="I1044" s="125" t="s">
        <v>5351</v>
      </c>
    </row>
    <row r="1045" spans="1:9" x14ac:dyDescent="0.25">
      <c r="A1045" s="125" t="s">
        <v>1317</v>
      </c>
      <c r="B1045" s="125" t="s">
        <v>5339</v>
      </c>
      <c r="C1045" s="125">
        <v>235</v>
      </c>
      <c r="D1045" s="140" t="s">
        <v>5340</v>
      </c>
      <c r="E1045" s="125" t="s">
        <v>5341</v>
      </c>
      <c r="F1045" s="140" t="s">
        <v>5342</v>
      </c>
      <c r="G1045" s="125" t="s">
        <v>5297</v>
      </c>
      <c r="H1045" s="125" t="s">
        <v>5352</v>
      </c>
      <c r="I1045" s="125" t="s">
        <v>5351</v>
      </c>
    </row>
    <row r="1046" spans="1:9" x14ac:dyDescent="0.25">
      <c r="A1046" s="125" t="s">
        <v>2469</v>
      </c>
      <c r="B1046" s="125" t="s">
        <v>5348</v>
      </c>
      <c r="C1046" s="125">
        <v>284</v>
      </c>
      <c r="D1046" s="125" t="s">
        <v>5349</v>
      </c>
      <c r="E1046" s="125" t="s">
        <v>5341</v>
      </c>
      <c r="F1046" s="140" t="s">
        <v>5342</v>
      </c>
      <c r="G1046" s="125" t="s">
        <v>5297</v>
      </c>
      <c r="H1046" s="125" t="s">
        <v>1469</v>
      </c>
      <c r="I1046" s="125" t="s">
        <v>5355</v>
      </c>
    </row>
    <row r="1047" spans="1:9" x14ac:dyDescent="0.25">
      <c r="A1047" s="125" t="s">
        <v>1986</v>
      </c>
      <c r="B1047" s="125" t="s">
        <v>5348</v>
      </c>
      <c r="C1047" s="125">
        <v>284</v>
      </c>
      <c r="D1047" s="125" t="s">
        <v>5349</v>
      </c>
      <c r="E1047" s="125" t="s">
        <v>5341</v>
      </c>
      <c r="F1047" s="140" t="s">
        <v>5342</v>
      </c>
      <c r="G1047" s="125" t="s">
        <v>5297</v>
      </c>
      <c r="H1047" s="125" t="s">
        <v>1469</v>
      </c>
      <c r="I1047" s="125" t="s">
        <v>5355</v>
      </c>
    </row>
    <row r="1048" spans="1:9" x14ac:dyDescent="0.25">
      <c r="A1048" s="125" t="s">
        <v>1470</v>
      </c>
      <c r="B1048" s="125" t="s">
        <v>5348</v>
      </c>
      <c r="C1048" s="125">
        <v>284</v>
      </c>
      <c r="D1048" s="125" t="s">
        <v>5349</v>
      </c>
      <c r="E1048" s="125" t="s">
        <v>5341</v>
      </c>
      <c r="F1048" s="140" t="s">
        <v>5342</v>
      </c>
      <c r="G1048" s="125" t="s">
        <v>5297</v>
      </c>
      <c r="H1048" s="125" t="s">
        <v>1469</v>
      </c>
      <c r="I1048" s="125" t="s">
        <v>5355</v>
      </c>
    </row>
    <row r="1049" spans="1:9" x14ac:dyDescent="0.25">
      <c r="A1049" s="125" t="s">
        <v>1088</v>
      </c>
      <c r="B1049" s="125" t="s">
        <v>5348</v>
      </c>
      <c r="C1049" s="125">
        <v>284</v>
      </c>
      <c r="D1049" s="125" t="s">
        <v>5349</v>
      </c>
      <c r="E1049" s="125" t="s">
        <v>5341</v>
      </c>
      <c r="F1049" s="140" t="s">
        <v>5342</v>
      </c>
      <c r="G1049" s="125" t="s">
        <v>5297</v>
      </c>
      <c r="H1049" s="125" t="s">
        <v>1469</v>
      </c>
      <c r="I1049" s="125" t="s">
        <v>5355</v>
      </c>
    </row>
    <row r="1050" spans="1:9" x14ac:dyDescent="0.25">
      <c r="A1050" s="125" t="s">
        <v>2175</v>
      </c>
      <c r="B1050" s="125" t="s">
        <v>5348</v>
      </c>
      <c r="C1050" s="125">
        <v>284</v>
      </c>
      <c r="D1050" s="125" t="s">
        <v>5349</v>
      </c>
      <c r="E1050" s="125" t="s">
        <v>5341</v>
      </c>
      <c r="F1050" s="140" t="s">
        <v>5342</v>
      </c>
      <c r="G1050" s="125" t="s">
        <v>5297</v>
      </c>
      <c r="H1050" s="125" t="s">
        <v>1469</v>
      </c>
      <c r="I1050" s="125" t="s">
        <v>5355</v>
      </c>
    </row>
    <row r="1051" spans="1:9" x14ac:dyDescent="0.25">
      <c r="A1051" s="125" t="s">
        <v>1154</v>
      </c>
      <c r="B1051" s="125" t="s">
        <v>5293</v>
      </c>
      <c r="C1051" s="125">
        <v>228</v>
      </c>
      <c r="D1051" s="125" t="s">
        <v>5294</v>
      </c>
      <c r="E1051" s="125" t="s">
        <v>5295</v>
      </c>
      <c r="F1051" s="125" t="s">
        <v>5296</v>
      </c>
      <c r="G1051" s="125" t="s">
        <v>5297</v>
      </c>
      <c r="H1051" s="125" t="s">
        <v>5715</v>
      </c>
      <c r="I1051" s="125" t="s">
        <v>3482</v>
      </c>
    </row>
    <row r="1052" spans="1:9" x14ac:dyDescent="0.25">
      <c r="A1052" s="125" t="s">
        <v>1379</v>
      </c>
      <c r="B1052" s="125" t="s">
        <v>5716</v>
      </c>
      <c r="C1052" s="125">
        <v>229</v>
      </c>
      <c r="D1052" s="125" t="s">
        <v>5717</v>
      </c>
      <c r="E1052" s="125" t="s">
        <v>5295</v>
      </c>
      <c r="F1052" s="125" t="s">
        <v>5296</v>
      </c>
      <c r="G1052" s="125" t="s">
        <v>5297</v>
      </c>
      <c r="H1052" s="125" t="s">
        <v>5718</v>
      </c>
      <c r="I1052" s="125" t="s">
        <v>5718</v>
      </c>
    </row>
    <row r="1053" spans="1:9" x14ac:dyDescent="0.25">
      <c r="A1053" s="125" t="s">
        <v>2538</v>
      </c>
      <c r="B1053" s="125" t="s">
        <v>5716</v>
      </c>
      <c r="C1053" s="125">
        <v>229</v>
      </c>
      <c r="D1053" s="125" t="s">
        <v>5717</v>
      </c>
      <c r="E1053" s="125" t="s">
        <v>5295</v>
      </c>
      <c r="F1053" s="125" t="s">
        <v>5296</v>
      </c>
      <c r="G1053" s="125" t="s">
        <v>5297</v>
      </c>
      <c r="H1053" s="125" t="s">
        <v>371</v>
      </c>
      <c r="I1053" s="125" t="s">
        <v>371</v>
      </c>
    </row>
    <row r="1054" spans="1:9" x14ac:dyDescent="0.25">
      <c r="A1054" s="125" t="s">
        <v>2929</v>
      </c>
      <c r="B1054" s="125" t="s">
        <v>5716</v>
      </c>
      <c r="C1054" s="125">
        <v>229</v>
      </c>
      <c r="D1054" s="125" t="s">
        <v>5717</v>
      </c>
      <c r="E1054" s="125" t="s">
        <v>5295</v>
      </c>
      <c r="F1054" s="125" t="s">
        <v>5296</v>
      </c>
      <c r="G1054" s="125" t="s">
        <v>5297</v>
      </c>
      <c r="H1054" s="125" t="s">
        <v>371</v>
      </c>
      <c r="I1054" s="125" t="s">
        <v>371</v>
      </c>
    </row>
    <row r="1055" spans="1:9" x14ac:dyDescent="0.25">
      <c r="A1055" s="125" t="s">
        <v>2589</v>
      </c>
      <c r="B1055" s="125" t="s">
        <v>5716</v>
      </c>
      <c r="C1055" s="125">
        <v>229</v>
      </c>
      <c r="D1055" s="125" t="s">
        <v>5717</v>
      </c>
      <c r="E1055" s="125" t="s">
        <v>5295</v>
      </c>
      <c r="F1055" s="125" t="s">
        <v>5296</v>
      </c>
      <c r="G1055" s="125" t="s">
        <v>5297</v>
      </c>
      <c r="H1055" s="125" t="s">
        <v>5719</v>
      </c>
      <c r="I1055" s="125" t="s">
        <v>5718</v>
      </c>
    </row>
    <row r="1056" spans="1:9" x14ac:dyDescent="0.25">
      <c r="A1056" s="125" t="s">
        <v>2407</v>
      </c>
      <c r="B1056" s="125" t="s">
        <v>5716</v>
      </c>
      <c r="C1056" s="125">
        <v>229</v>
      </c>
      <c r="D1056" s="125" t="s">
        <v>5717</v>
      </c>
      <c r="E1056" s="125" t="s">
        <v>5295</v>
      </c>
      <c r="F1056" s="125" t="s">
        <v>5296</v>
      </c>
      <c r="G1056" s="125" t="s">
        <v>5297</v>
      </c>
      <c r="H1056" s="125" t="s">
        <v>5718</v>
      </c>
      <c r="I1056" s="125" t="s">
        <v>5718</v>
      </c>
    </row>
    <row r="1057" spans="1:9" x14ac:dyDescent="0.25">
      <c r="A1057" s="125" t="s">
        <v>2128</v>
      </c>
      <c r="B1057" s="125" t="s">
        <v>5716</v>
      </c>
      <c r="C1057" s="125">
        <v>229</v>
      </c>
      <c r="D1057" s="125" t="s">
        <v>5717</v>
      </c>
      <c r="E1057" s="125" t="s">
        <v>5295</v>
      </c>
      <c r="F1057" s="125" t="s">
        <v>5296</v>
      </c>
      <c r="G1057" s="125" t="s">
        <v>5297</v>
      </c>
      <c r="H1057" s="125" t="s">
        <v>5718</v>
      </c>
      <c r="I1057" s="125" t="s">
        <v>5718</v>
      </c>
    </row>
    <row r="1058" spans="1:9" x14ac:dyDescent="0.25">
      <c r="A1058" s="125" t="s">
        <v>1121</v>
      </c>
      <c r="B1058" s="125" t="s">
        <v>5716</v>
      </c>
      <c r="C1058" s="125">
        <v>229</v>
      </c>
      <c r="D1058" s="125" t="s">
        <v>5717</v>
      </c>
      <c r="E1058" s="125" t="s">
        <v>5295</v>
      </c>
      <c r="F1058" s="125" t="s">
        <v>5296</v>
      </c>
      <c r="G1058" s="125" t="s">
        <v>5297</v>
      </c>
      <c r="H1058" s="125" t="s">
        <v>5718</v>
      </c>
      <c r="I1058" s="125" t="s">
        <v>5718</v>
      </c>
    </row>
    <row r="1059" spans="1:9" x14ac:dyDescent="0.25">
      <c r="A1059" s="125" t="s">
        <v>2753</v>
      </c>
      <c r="B1059" s="125" t="s">
        <v>5716</v>
      </c>
      <c r="C1059" s="125">
        <v>229</v>
      </c>
      <c r="D1059" s="125" t="s">
        <v>5717</v>
      </c>
      <c r="E1059" s="125" t="s">
        <v>5295</v>
      </c>
      <c r="F1059" s="125" t="s">
        <v>5296</v>
      </c>
      <c r="G1059" s="125" t="s">
        <v>5297</v>
      </c>
      <c r="H1059" s="125" t="s">
        <v>5718</v>
      </c>
      <c r="I1059" s="125" t="s">
        <v>5718</v>
      </c>
    </row>
    <row r="1060" spans="1:9" x14ac:dyDescent="0.25">
      <c r="A1060" s="125" t="s">
        <v>2156</v>
      </c>
      <c r="B1060" s="125" t="s">
        <v>5716</v>
      </c>
      <c r="C1060" s="125">
        <v>229</v>
      </c>
      <c r="D1060" s="125" t="s">
        <v>5717</v>
      </c>
      <c r="E1060" s="125" t="s">
        <v>5295</v>
      </c>
      <c r="F1060" s="125" t="s">
        <v>5296</v>
      </c>
      <c r="G1060" s="125" t="s">
        <v>5297</v>
      </c>
      <c r="H1060" s="125" t="s">
        <v>5718</v>
      </c>
      <c r="I1060" s="125" t="s">
        <v>5718</v>
      </c>
    </row>
    <row r="1061" spans="1:9" x14ac:dyDescent="0.25">
      <c r="A1061" s="125" t="s">
        <v>2521</v>
      </c>
      <c r="B1061" s="125" t="s">
        <v>5716</v>
      </c>
      <c r="C1061" s="125">
        <v>229</v>
      </c>
      <c r="D1061" s="125" t="s">
        <v>5717</v>
      </c>
      <c r="E1061" s="125" t="s">
        <v>5295</v>
      </c>
      <c r="F1061" s="125" t="s">
        <v>5296</v>
      </c>
      <c r="G1061" s="125" t="s">
        <v>5297</v>
      </c>
      <c r="H1061" s="125" t="s">
        <v>5718</v>
      </c>
      <c r="I1061" s="125" t="s">
        <v>5718</v>
      </c>
    </row>
    <row r="1062" spans="1:9" x14ac:dyDescent="0.25">
      <c r="A1062" s="125" t="s">
        <v>2131</v>
      </c>
      <c r="B1062" s="125" t="s">
        <v>5293</v>
      </c>
      <c r="C1062" s="125">
        <v>228</v>
      </c>
      <c r="D1062" s="125" t="s">
        <v>5294</v>
      </c>
      <c r="E1062" s="125" t="s">
        <v>5295</v>
      </c>
      <c r="F1062" s="125" t="s">
        <v>5296</v>
      </c>
      <c r="G1062" s="125" t="s">
        <v>5297</v>
      </c>
      <c r="H1062" s="125" t="s">
        <v>5715</v>
      </c>
      <c r="I1062" s="125" t="s">
        <v>3482</v>
      </c>
    </row>
    <row r="1063" spans="1:9" x14ac:dyDescent="0.25">
      <c r="A1063" s="125" t="s">
        <v>2112</v>
      </c>
      <c r="B1063" s="125" t="s">
        <v>5716</v>
      </c>
      <c r="C1063" s="125">
        <v>229</v>
      </c>
      <c r="D1063" s="125" t="s">
        <v>5717</v>
      </c>
      <c r="E1063" s="125" t="s">
        <v>5295</v>
      </c>
      <c r="F1063" s="125" t="s">
        <v>5296</v>
      </c>
      <c r="G1063" s="125" t="s">
        <v>5297</v>
      </c>
      <c r="H1063" s="125" t="s">
        <v>5718</v>
      </c>
      <c r="I1063" s="125" t="s">
        <v>5718</v>
      </c>
    </row>
    <row r="1064" spans="1:9" x14ac:dyDescent="0.25">
      <c r="A1064" s="125" t="s">
        <v>1455</v>
      </c>
      <c r="B1064" s="125" t="s">
        <v>5716</v>
      </c>
      <c r="C1064" s="125">
        <v>229</v>
      </c>
      <c r="D1064" s="125" t="s">
        <v>5717</v>
      </c>
      <c r="E1064" s="125" t="s">
        <v>5295</v>
      </c>
      <c r="F1064" s="125" t="s">
        <v>5296</v>
      </c>
      <c r="G1064" s="125" t="s">
        <v>5297</v>
      </c>
      <c r="H1064" s="125" t="s">
        <v>5718</v>
      </c>
      <c r="I1064" s="125" t="s">
        <v>5718</v>
      </c>
    </row>
    <row r="1065" spans="1:9" x14ac:dyDescent="0.25">
      <c r="A1065" s="125" t="s">
        <v>2494</v>
      </c>
      <c r="B1065" s="125" t="s">
        <v>5716</v>
      </c>
      <c r="C1065" s="125">
        <v>229</v>
      </c>
      <c r="D1065" s="125" t="s">
        <v>5717</v>
      </c>
      <c r="E1065" s="125" t="s">
        <v>5295</v>
      </c>
      <c r="F1065" s="125" t="s">
        <v>5296</v>
      </c>
      <c r="G1065" s="125" t="s">
        <v>5297</v>
      </c>
      <c r="H1065" s="125" t="s">
        <v>5718</v>
      </c>
      <c r="I1065" s="125" t="s">
        <v>5718</v>
      </c>
    </row>
    <row r="1066" spans="1:9" x14ac:dyDescent="0.25">
      <c r="A1066" s="125" t="s">
        <v>1374</v>
      </c>
      <c r="B1066" s="125" t="s">
        <v>5716</v>
      </c>
      <c r="C1066" s="125">
        <v>229</v>
      </c>
      <c r="D1066" s="125" t="s">
        <v>5717</v>
      </c>
      <c r="E1066" s="125" t="s">
        <v>5295</v>
      </c>
      <c r="F1066" s="125" t="s">
        <v>5296</v>
      </c>
      <c r="G1066" s="125" t="s">
        <v>5297</v>
      </c>
      <c r="H1066" s="125" t="s">
        <v>5715</v>
      </c>
      <c r="I1066" s="125" t="s">
        <v>3482</v>
      </c>
    </row>
    <row r="1067" spans="1:9" x14ac:dyDescent="0.25">
      <c r="A1067" s="125" t="s">
        <v>2585</v>
      </c>
      <c r="B1067" s="125" t="s">
        <v>5716</v>
      </c>
      <c r="C1067" s="125">
        <v>229</v>
      </c>
      <c r="D1067" s="125" t="s">
        <v>5717</v>
      </c>
      <c r="E1067" s="125" t="s">
        <v>5295</v>
      </c>
      <c r="F1067" s="125" t="s">
        <v>5296</v>
      </c>
      <c r="G1067" s="125" t="s">
        <v>5297</v>
      </c>
      <c r="H1067" s="125" t="s">
        <v>5718</v>
      </c>
      <c r="I1067" s="125" t="s">
        <v>5718</v>
      </c>
    </row>
    <row r="1068" spans="1:9" x14ac:dyDescent="0.25">
      <c r="A1068" s="125" t="s">
        <v>2130</v>
      </c>
      <c r="B1068" s="125" t="s">
        <v>5293</v>
      </c>
      <c r="C1068" s="125">
        <v>228</v>
      </c>
      <c r="D1068" s="125" t="s">
        <v>5294</v>
      </c>
      <c r="E1068" s="125" t="s">
        <v>5295</v>
      </c>
      <c r="F1068" s="125" t="s">
        <v>5296</v>
      </c>
      <c r="G1068" s="125" t="s">
        <v>5297</v>
      </c>
      <c r="H1068" s="125" t="s">
        <v>5715</v>
      </c>
      <c r="I1068" s="125" t="s">
        <v>3482</v>
      </c>
    </row>
    <row r="1069" spans="1:9" x14ac:dyDescent="0.25">
      <c r="A1069" s="125" t="s">
        <v>2417</v>
      </c>
      <c r="B1069" s="125" t="s">
        <v>5293</v>
      </c>
      <c r="C1069" s="125">
        <v>228</v>
      </c>
      <c r="D1069" s="140" t="s">
        <v>5294</v>
      </c>
      <c r="E1069" s="125" t="s">
        <v>5295</v>
      </c>
      <c r="F1069" s="125" t="s">
        <v>5296</v>
      </c>
      <c r="G1069" s="125" t="s">
        <v>5297</v>
      </c>
      <c r="H1069" s="125" t="s">
        <v>5715</v>
      </c>
      <c r="I1069" s="125" t="s">
        <v>3482</v>
      </c>
    </row>
    <row r="1070" spans="1:9" x14ac:dyDescent="0.25">
      <c r="A1070" s="125" t="s">
        <v>2157</v>
      </c>
      <c r="B1070" s="125" t="s">
        <v>5293</v>
      </c>
      <c r="C1070" s="125">
        <v>228</v>
      </c>
      <c r="D1070" s="125" t="s">
        <v>5294</v>
      </c>
      <c r="E1070" s="125" t="s">
        <v>5295</v>
      </c>
      <c r="F1070" s="125" t="s">
        <v>5296</v>
      </c>
      <c r="G1070" s="125" t="s">
        <v>5297</v>
      </c>
      <c r="H1070" s="125" t="s">
        <v>5720</v>
      </c>
      <c r="I1070" s="125" t="s">
        <v>5718</v>
      </c>
    </row>
    <row r="1071" spans="1:9" x14ac:dyDescent="0.25">
      <c r="A1071" s="125" t="s">
        <v>5721</v>
      </c>
      <c r="B1071" s="125" t="s">
        <v>5716</v>
      </c>
      <c r="C1071" s="125">
        <v>229</v>
      </c>
      <c r="D1071" s="125" t="s">
        <v>5717</v>
      </c>
      <c r="E1071" s="125" t="s">
        <v>5295</v>
      </c>
      <c r="F1071" s="125" t="s">
        <v>5296</v>
      </c>
      <c r="G1071" s="125" t="s">
        <v>5297</v>
      </c>
      <c r="H1071" s="125" t="s">
        <v>5720</v>
      </c>
      <c r="I1071" s="125" t="s">
        <v>5718</v>
      </c>
    </row>
    <row r="1072" spans="1:9" x14ac:dyDescent="0.25">
      <c r="A1072" s="125" t="s">
        <v>2960</v>
      </c>
      <c r="B1072" s="125" t="s">
        <v>5716</v>
      </c>
      <c r="C1072" s="125">
        <v>229</v>
      </c>
      <c r="D1072" s="125" t="s">
        <v>5717</v>
      </c>
      <c r="E1072" s="125" t="s">
        <v>5295</v>
      </c>
      <c r="F1072" s="125" t="s">
        <v>5296</v>
      </c>
      <c r="G1072" s="125" t="s">
        <v>5297</v>
      </c>
      <c r="H1072" s="125" t="s">
        <v>5720</v>
      </c>
      <c r="I1072" s="125" t="s">
        <v>5718</v>
      </c>
    </row>
    <row r="1073" spans="1:9" x14ac:dyDescent="0.25">
      <c r="A1073" s="125" t="s">
        <v>3513</v>
      </c>
      <c r="B1073" s="125" t="s">
        <v>5716</v>
      </c>
      <c r="C1073" s="125">
        <v>229</v>
      </c>
      <c r="D1073" s="125" t="s">
        <v>5717</v>
      </c>
      <c r="E1073" s="125" t="s">
        <v>5295</v>
      </c>
      <c r="F1073" s="125" t="s">
        <v>5296</v>
      </c>
      <c r="G1073" s="125" t="s">
        <v>5297</v>
      </c>
      <c r="H1073" s="125" t="s">
        <v>5720</v>
      </c>
      <c r="I1073" s="125" t="s">
        <v>5718</v>
      </c>
    </row>
    <row r="1074" spans="1:9" x14ac:dyDescent="0.25">
      <c r="A1074" s="125" t="s">
        <v>2028</v>
      </c>
      <c r="B1074" s="125" t="s">
        <v>5716</v>
      </c>
      <c r="C1074" s="125">
        <v>229</v>
      </c>
      <c r="D1074" s="125" t="s">
        <v>5717</v>
      </c>
      <c r="E1074" s="125" t="s">
        <v>5295</v>
      </c>
      <c r="F1074" s="125" t="s">
        <v>5296</v>
      </c>
      <c r="G1074" s="125" t="s">
        <v>5297</v>
      </c>
      <c r="H1074" s="125" t="s">
        <v>5722</v>
      </c>
      <c r="I1074" s="125" t="s">
        <v>5718</v>
      </c>
    </row>
    <row r="1075" spans="1:9" x14ac:dyDescent="0.25">
      <c r="A1075" s="125" t="s">
        <v>1475</v>
      </c>
      <c r="B1075" s="125" t="s">
        <v>5320</v>
      </c>
      <c r="C1075" s="125">
        <v>234</v>
      </c>
      <c r="D1075" s="125" t="s">
        <v>5321</v>
      </c>
      <c r="E1075" s="125" t="s">
        <v>5303</v>
      </c>
      <c r="F1075" s="125" t="s">
        <v>5304</v>
      </c>
      <c r="G1075" s="125" t="s">
        <v>5297</v>
      </c>
      <c r="H1075" s="125" t="s">
        <v>5723</v>
      </c>
      <c r="I1075" s="125" t="s">
        <v>5723</v>
      </c>
    </row>
    <row r="1076" spans="1:9" x14ac:dyDescent="0.25">
      <c r="A1076" s="125" t="s">
        <v>1482</v>
      </c>
      <c r="B1076" s="125" t="s">
        <v>5320</v>
      </c>
      <c r="C1076" s="125">
        <v>234</v>
      </c>
      <c r="D1076" s="125" t="s">
        <v>5321</v>
      </c>
      <c r="E1076" s="125" t="s">
        <v>5303</v>
      </c>
      <c r="F1076" s="125" t="s">
        <v>5304</v>
      </c>
      <c r="G1076" s="125" t="s">
        <v>5297</v>
      </c>
      <c r="H1076" s="125" t="s">
        <v>5724</v>
      </c>
      <c r="I1076" s="125" t="s">
        <v>5723</v>
      </c>
    </row>
    <row r="1077" spans="1:9" x14ac:dyDescent="0.25">
      <c r="A1077" s="125" t="s">
        <v>5725</v>
      </c>
      <c r="B1077" s="125" t="s">
        <v>5320</v>
      </c>
      <c r="C1077" s="125">
        <v>234</v>
      </c>
      <c r="D1077" s="125" t="s">
        <v>5321</v>
      </c>
      <c r="E1077" s="125" t="s">
        <v>5303</v>
      </c>
      <c r="F1077" s="125" t="s">
        <v>5304</v>
      </c>
      <c r="G1077" s="125" t="s">
        <v>5297</v>
      </c>
      <c r="H1077" s="125" t="s">
        <v>5726</v>
      </c>
      <c r="I1077" s="125" t="s">
        <v>5726</v>
      </c>
    </row>
    <row r="1078" spans="1:9" x14ac:dyDescent="0.25">
      <c r="A1078" s="125" t="s">
        <v>1543</v>
      </c>
      <c r="B1078" s="125" t="s">
        <v>5320</v>
      </c>
      <c r="C1078" s="125">
        <v>234</v>
      </c>
      <c r="D1078" s="125" t="s">
        <v>5321</v>
      </c>
      <c r="E1078" s="125" t="s">
        <v>5303</v>
      </c>
      <c r="F1078" s="125" t="s">
        <v>5304</v>
      </c>
      <c r="G1078" s="125" t="s">
        <v>5297</v>
      </c>
      <c r="H1078" s="125" t="s">
        <v>5723</v>
      </c>
      <c r="I1078" s="125" t="s">
        <v>5723</v>
      </c>
    </row>
    <row r="1079" spans="1:9" x14ac:dyDescent="0.25">
      <c r="A1079" s="125" t="s">
        <v>3396</v>
      </c>
      <c r="B1079" s="125" t="s">
        <v>5320</v>
      </c>
      <c r="C1079" s="125">
        <v>234</v>
      </c>
      <c r="D1079" s="125" t="s">
        <v>5321</v>
      </c>
      <c r="E1079" s="125" t="s">
        <v>5303</v>
      </c>
      <c r="F1079" s="125" t="s">
        <v>5304</v>
      </c>
      <c r="G1079" s="125" t="s">
        <v>5297</v>
      </c>
      <c r="H1079" s="125" t="s">
        <v>5724</v>
      </c>
      <c r="I1079" s="125" t="s">
        <v>5723</v>
      </c>
    </row>
    <row r="1080" spans="1:9" x14ac:dyDescent="0.25">
      <c r="A1080" s="125" t="s">
        <v>2994</v>
      </c>
      <c r="B1080" s="125" t="s">
        <v>5320</v>
      </c>
      <c r="C1080" s="125">
        <v>234</v>
      </c>
      <c r="D1080" s="125" t="s">
        <v>5321</v>
      </c>
      <c r="E1080" s="125" t="s">
        <v>5303</v>
      </c>
      <c r="F1080" s="125" t="s">
        <v>5304</v>
      </c>
      <c r="G1080" s="125" t="s">
        <v>5297</v>
      </c>
      <c r="H1080" s="125" t="s">
        <v>5724</v>
      </c>
      <c r="I1080" s="125" t="s">
        <v>5723</v>
      </c>
    </row>
    <row r="1081" spans="1:9" x14ac:dyDescent="0.25">
      <c r="A1081" s="125" t="s">
        <v>3021</v>
      </c>
      <c r="B1081" s="125" t="s">
        <v>5320</v>
      </c>
      <c r="C1081" s="125">
        <v>234</v>
      </c>
      <c r="D1081" s="125" t="s">
        <v>5321</v>
      </c>
      <c r="E1081" s="125" t="s">
        <v>5303</v>
      </c>
      <c r="F1081" s="125" t="s">
        <v>5304</v>
      </c>
      <c r="G1081" s="125" t="s">
        <v>5297</v>
      </c>
      <c r="H1081" s="125" t="s">
        <v>5724</v>
      </c>
      <c r="I1081" s="125" t="s">
        <v>5723</v>
      </c>
    </row>
    <row r="1082" spans="1:9" x14ac:dyDescent="0.25">
      <c r="A1082" s="125" t="s">
        <v>1517</v>
      </c>
      <c r="B1082" s="125" t="s">
        <v>5320</v>
      </c>
      <c r="C1082" s="125">
        <v>234</v>
      </c>
      <c r="D1082" s="125" t="s">
        <v>5321</v>
      </c>
      <c r="E1082" s="125" t="s">
        <v>5303</v>
      </c>
      <c r="F1082" s="125" t="s">
        <v>5304</v>
      </c>
      <c r="G1082" s="125" t="s">
        <v>5297</v>
      </c>
      <c r="H1082" s="125" t="s">
        <v>5724</v>
      </c>
      <c r="I1082" s="125" t="s">
        <v>5723</v>
      </c>
    </row>
    <row r="1083" spans="1:9" x14ac:dyDescent="0.25">
      <c r="A1083" s="125" t="s">
        <v>2377</v>
      </c>
      <c r="B1083" s="125" t="s">
        <v>5320</v>
      </c>
      <c r="C1083" s="125">
        <v>234</v>
      </c>
      <c r="D1083" s="125" t="s">
        <v>5321</v>
      </c>
      <c r="E1083" s="125" t="s">
        <v>5303</v>
      </c>
      <c r="F1083" s="125" t="s">
        <v>5304</v>
      </c>
      <c r="G1083" s="125" t="s">
        <v>5297</v>
      </c>
      <c r="H1083" s="125" t="s">
        <v>5723</v>
      </c>
      <c r="I1083" s="125" t="s">
        <v>5723</v>
      </c>
    </row>
    <row r="1084" spans="1:9" x14ac:dyDescent="0.25">
      <c r="A1084" s="125" t="s">
        <v>1101</v>
      </c>
      <c r="B1084" s="125" t="s">
        <v>5382</v>
      </c>
      <c r="C1084" s="125" t="s">
        <v>5383</v>
      </c>
      <c r="D1084" s="125"/>
      <c r="E1084" s="125" t="s">
        <v>5384</v>
      </c>
      <c r="F1084" s="125" t="s">
        <v>5384</v>
      </c>
      <c r="G1084" s="125" t="s">
        <v>5384</v>
      </c>
      <c r="H1084" s="125" t="s">
        <v>371</v>
      </c>
      <c r="I1084" s="125" t="s">
        <v>371</v>
      </c>
    </row>
    <row r="1085" spans="1:9" x14ac:dyDescent="0.25">
      <c r="A1085" s="125" t="s">
        <v>5727</v>
      </c>
      <c r="B1085" s="125" t="s">
        <v>5382</v>
      </c>
      <c r="C1085" s="125" t="s">
        <v>5383</v>
      </c>
      <c r="D1085" s="125"/>
      <c r="E1085" s="125" t="s">
        <v>5384</v>
      </c>
      <c r="F1085" s="125" t="s">
        <v>5384</v>
      </c>
      <c r="G1085" s="125" t="s">
        <v>5384</v>
      </c>
      <c r="H1085" s="125" t="s">
        <v>371</v>
      </c>
      <c r="I1085" s="125" t="s">
        <v>371</v>
      </c>
    </row>
    <row r="1086" spans="1:9" x14ac:dyDescent="0.25">
      <c r="A1086" s="125" t="s">
        <v>5728</v>
      </c>
      <c r="B1086" s="125" t="s">
        <v>5382</v>
      </c>
      <c r="C1086" s="125" t="s">
        <v>5383</v>
      </c>
      <c r="D1086" s="125"/>
      <c r="E1086" s="125" t="s">
        <v>5384</v>
      </c>
      <c r="F1086" s="125" t="s">
        <v>5384</v>
      </c>
      <c r="G1086" s="125" t="s">
        <v>5384</v>
      </c>
      <c r="H1086" s="125" t="s">
        <v>371</v>
      </c>
      <c r="I1086" s="125" t="s">
        <v>371</v>
      </c>
    </row>
    <row r="1087" spans="1:9" x14ac:dyDescent="0.25">
      <c r="A1087" s="125" t="s">
        <v>5729</v>
      </c>
      <c r="B1087" s="125" t="s">
        <v>5382</v>
      </c>
      <c r="C1087" s="125" t="s">
        <v>5383</v>
      </c>
      <c r="D1087" s="125"/>
      <c r="E1087" s="125" t="s">
        <v>5384</v>
      </c>
      <c r="F1087" s="125" t="s">
        <v>5384</v>
      </c>
      <c r="G1087" s="125" t="s">
        <v>5384</v>
      </c>
      <c r="H1087" s="125" t="s">
        <v>371</v>
      </c>
      <c r="I1087" s="125" t="s">
        <v>371</v>
      </c>
    </row>
    <row r="1088" spans="1:9" x14ac:dyDescent="0.25">
      <c r="A1088" s="125" t="s">
        <v>5730</v>
      </c>
      <c r="B1088" s="125" t="s">
        <v>5382</v>
      </c>
      <c r="C1088" s="125" t="s">
        <v>5383</v>
      </c>
      <c r="D1088" s="125"/>
      <c r="E1088" s="125" t="s">
        <v>5384</v>
      </c>
      <c r="F1088" s="125" t="s">
        <v>5384</v>
      </c>
      <c r="G1088" s="125" t="s">
        <v>5384</v>
      </c>
      <c r="H1088" s="125" t="s">
        <v>371</v>
      </c>
      <c r="I1088" s="125" t="s">
        <v>371</v>
      </c>
    </row>
    <row r="1089" spans="1:9" x14ac:dyDescent="0.25">
      <c r="A1089" s="125" t="s">
        <v>5731</v>
      </c>
      <c r="B1089" s="125" t="s">
        <v>5382</v>
      </c>
      <c r="C1089" s="125" t="s">
        <v>5383</v>
      </c>
      <c r="D1089" s="125"/>
      <c r="E1089" s="125" t="s">
        <v>5384</v>
      </c>
      <c r="F1089" s="125" t="s">
        <v>5384</v>
      </c>
      <c r="G1089" s="125" t="s">
        <v>5384</v>
      </c>
      <c r="H1089" s="125" t="s">
        <v>371</v>
      </c>
      <c r="I1089" s="125" t="s">
        <v>371</v>
      </c>
    </row>
    <row r="1090" spans="1:9" x14ac:dyDescent="0.25">
      <c r="A1090" s="125" t="s">
        <v>5732</v>
      </c>
      <c r="B1090" s="125" t="s">
        <v>5382</v>
      </c>
      <c r="C1090" s="125" t="s">
        <v>5383</v>
      </c>
      <c r="D1090" s="125"/>
      <c r="E1090" s="125" t="s">
        <v>5384</v>
      </c>
      <c r="F1090" s="125" t="s">
        <v>5384</v>
      </c>
      <c r="G1090" s="125" t="s">
        <v>5384</v>
      </c>
      <c r="H1090" s="125" t="s">
        <v>371</v>
      </c>
      <c r="I1090" s="125" t="s">
        <v>371</v>
      </c>
    </row>
    <row r="1091" spans="1:9" x14ac:dyDescent="0.25">
      <c r="A1091" s="125" t="s">
        <v>5733</v>
      </c>
      <c r="B1091" s="125" t="s">
        <v>5382</v>
      </c>
      <c r="C1091" s="125" t="s">
        <v>5383</v>
      </c>
      <c r="D1091" s="125"/>
      <c r="E1091" s="125" t="s">
        <v>5384</v>
      </c>
      <c r="F1091" s="125" t="s">
        <v>5384</v>
      </c>
      <c r="G1091" s="125" t="s">
        <v>5384</v>
      </c>
      <c r="H1091" s="125" t="s">
        <v>371</v>
      </c>
      <c r="I1091" s="125" t="s">
        <v>371</v>
      </c>
    </row>
    <row r="1092" spans="1:9" x14ac:dyDescent="0.25">
      <c r="A1092" s="125" t="s">
        <v>5734</v>
      </c>
      <c r="B1092" s="125" t="s">
        <v>5382</v>
      </c>
      <c r="C1092" s="125" t="s">
        <v>5383</v>
      </c>
      <c r="D1092" s="125"/>
      <c r="E1092" s="125" t="s">
        <v>5384</v>
      </c>
      <c r="F1092" s="125" t="s">
        <v>5384</v>
      </c>
      <c r="G1092" s="125" t="s">
        <v>5384</v>
      </c>
      <c r="H1092" s="125" t="s">
        <v>371</v>
      </c>
      <c r="I1092" s="125" t="s">
        <v>371</v>
      </c>
    </row>
    <row r="1093" spans="1:9" x14ac:dyDescent="0.25">
      <c r="A1093" s="125" t="s">
        <v>1907</v>
      </c>
      <c r="B1093" s="125" t="s">
        <v>5561</v>
      </c>
      <c r="C1093" s="125">
        <v>231</v>
      </c>
      <c r="D1093" s="125" t="s">
        <v>5562</v>
      </c>
      <c r="E1093" s="125" t="s">
        <v>5341</v>
      </c>
      <c r="F1093" s="140" t="s">
        <v>5342</v>
      </c>
      <c r="G1093" s="125" t="s">
        <v>5297</v>
      </c>
      <c r="H1093" s="125" t="s">
        <v>5735</v>
      </c>
      <c r="I1093" s="125" t="s">
        <v>5566</v>
      </c>
    </row>
    <row r="1094" spans="1:9" x14ac:dyDescent="0.25">
      <c r="A1094" s="125" t="s">
        <v>3531</v>
      </c>
      <c r="B1094" s="125" t="s">
        <v>5561</v>
      </c>
      <c r="C1094" s="125">
        <v>231</v>
      </c>
      <c r="D1094" s="125" t="s">
        <v>5562</v>
      </c>
      <c r="E1094" s="125" t="s">
        <v>5341</v>
      </c>
      <c r="F1094" s="140" t="s">
        <v>5342</v>
      </c>
      <c r="G1094" s="125" t="s">
        <v>5297</v>
      </c>
      <c r="H1094" s="125" t="s">
        <v>371</v>
      </c>
      <c r="I1094" s="125" t="s">
        <v>371</v>
      </c>
    </row>
    <row r="1095" spans="1:9" x14ac:dyDescent="0.25">
      <c r="A1095" s="125" t="s">
        <v>3196</v>
      </c>
      <c r="B1095" s="125" t="s">
        <v>5561</v>
      </c>
      <c r="C1095" s="125">
        <v>231</v>
      </c>
      <c r="D1095" s="125" t="s">
        <v>5562</v>
      </c>
      <c r="E1095" s="125" t="s">
        <v>5341</v>
      </c>
      <c r="F1095" s="140" t="s">
        <v>5342</v>
      </c>
      <c r="G1095" s="125" t="s">
        <v>5297</v>
      </c>
      <c r="H1095" s="125" t="s">
        <v>5566</v>
      </c>
      <c r="I1095" s="125" t="s">
        <v>5566</v>
      </c>
    </row>
    <row r="1096" spans="1:9" x14ac:dyDescent="0.25">
      <c r="A1096" s="125" t="s">
        <v>2346</v>
      </c>
      <c r="B1096" s="125" t="s">
        <v>5561</v>
      </c>
      <c r="C1096" s="125">
        <v>231</v>
      </c>
      <c r="D1096" s="125" t="s">
        <v>5562</v>
      </c>
      <c r="E1096" s="125" t="s">
        <v>5341</v>
      </c>
      <c r="F1096" s="140" t="s">
        <v>5342</v>
      </c>
      <c r="G1096" s="125" t="s">
        <v>5297</v>
      </c>
      <c r="H1096" s="125" t="s">
        <v>5566</v>
      </c>
      <c r="I1096" s="125" t="s">
        <v>5566</v>
      </c>
    </row>
    <row r="1097" spans="1:9" x14ac:dyDescent="0.25">
      <c r="A1097" s="125" t="s">
        <v>2341</v>
      </c>
      <c r="B1097" s="125" t="s">
        <v>5561</v>
      </c>
      <c r="C1097" s="125">
        <v>231</v>
      </c>
      <c r="D1097" s="125" t="s">
        <v>5562</v>
      </c>
      <c r="E1097" s="125" t="s">
        <v>5341</v>
      </c>
      <c r="F1097" s="140" t="s">
        <v>5342</v>
      </c>
      <c r="G1097" s="125" t="s">
        <v>5297</v>
      </c>
      <c r="H1097" s="125" t="s">
        <v>5566</v>
      </c>
      <c r="I1097" s="125" t="s">
        <v>5566</v>
      </c>
    </row>
    <row r="1098" spans="1:9" x14ac:dyDescent="0.25">
      <c r="A1098" s="125" t="s">
        <v>3137</v>
      </c>
      <c r="B1098" s="125" t="s">
        <v>5561</v>
      </c>
      <c r="C1098" s="125">
        <v>231</v>
      </c>
      <c r="D1098" s="125" t="s">
        <v>5562</v>
      </c>
      <c r="E1098" s="125" t="s">
        <v>5341</v>
      </c>
      <c r="F1098" s="140" t="s">
        <v>5342</v>
      </c>
      <c r="G1098" s="125" t="s">
        <v>5297</v>
      </c>
      <c r="H1098" s="125" t="s">
        <v>5566</v>
      </c>
      <c r="I1098" s="125" t="s">
        <v>5566</v>
      </c>
    </row>
    <row r="1099" spans="1:9" x14ac:dyDescent="0.25">
      <c r="A1099" s="125" t="s">
        <v>1144</v>
      </c>
      <c r="B1099" s="125" t="s">
        <v>5561</v>
      </c>
      <c r="C1099" s="125">
        <v>231</v>
      </c>
      <c r="D1099" s="125" t="s">
        <v>5562</v>
      </c>
      <c r="E1099" s="125" t="s">
        <v>5341</v>
      </c>
      <c r="F1099" s="140" t="s">
        <v>5342</v>
      </c>
      <c r="G1099" s="125" t="s">
        <v>5297</v>
      </c>
      <c r="H1099" s="125" t="s">
        <v>5566</v>
      </c>
      <c r="I1099" s="125" t="s">
        <v>5566</v>
      </c>
    </row>
    <row r="1100" spans="1:9" x14ac:dyDescent="0.25">
      <c r="A1100" s="125" t="s">
        <v>2586</v>
      </c>
      <c r="B1100" s="125" t="s">
        <v>5561</v>
      </c>
      <c r="C1100" s="125">
        <v>231</v>
      </c>
      <c r="D1100" s="125" t="s">
        <v>5562</v>
      </c>
      <c r="E1100" s="125" t="s">
        <v>5341</v>
      </c>
      <c r="F1100" s="140" t="s">
        <v>5342</v>
      </c>
      <c r="G1100" s="125" t="s">
        <v>5297</v>
      </c>
      <c r="H1100" s="125" t="s">
        <v>5566</v>
      </c>
      <c r="I1100" s="125" t="s">
        <v>5566</v>
      </c>
    </row>
    <row r="1101" spans="1:9" x14ac:dyDescent="0.25">
      <c r="A1101" s="125" t="s">
        <v>1708</v>
      </c>
      <c r="B1101" s="125" t="s">
        <v>5561</v>
      </c>
      <c r="C1101" s="125">
        <v>231</v>
      </c>
      <c r="D1101" s="125" t="s">
        <v>5562</v>
      </c>
      <c r="E1101" s="125" t="s">
        <v>5341</v>
      </c>
      <c r="F1101" s="140" t="s">
        <v>5342</v>
      </c>
      <c r="G1101" s="125" t="s">
        <v>5297</v>
      </c>
      <c r="H1101" s="125" t="s">
        <v>5566</v>
      </c>
      <c r="I1101" s="125" t="s">
        <v>5566</v>
      </c>
    </row>
    <row r="1102" spans="1:9" x14ac:dyDescent="0.25">
      <c r="A1102" s="125" t="s">
        <v>2301</v>
      </c>
      <c r="B1102" s="125" t="s">
        <v>5561</v>
      </c>
      <c r="C1102" s="125">
        <v>231</v>
      </c>
      <c r="D1102" s="125" t="s">
        <v>5562</v>
      </c>
      <c r="E1102" s="125" t="s">
        <v>5341</v>
      </c>
      <c r="F1102" s="140" t="s">
        <v>5342</v>
      </c>
      <c r="G1102" s="125" t="s">
        <v>5297</v>
      </c>
      <c r="H1102" s="125" t="s">
        <v>5566</v>
      </c>
      <c r="I1102" s="125" t="s">
        <v>5566</v>
      </c>
    </row>
    <row r="1103" spans="1:9" x14ac:dyDescent="0.25">
      <c r="A1103" s="125" t="s">
        <v>3321</v>
      </c>
      <c r="B1103" s="125" t="s">
        <v>5561</v>
      </c>
      <c r="C1103" s="125">
        <v>231</v>
      </c>
      <c r="D1103" s="125" t="s">
        <v>5562</v>
      </c>
      <c r="E1103" s="125" t="s">
        <v>5341</v>
      </c>
      <c r="F1103" s="140" t="s">
        <v>5342</v>
      </c>
      <c r="G1103" s="125" t="s">
        <v>5297</v>
      </c>
      <c r="H1103" s="125" t="s">
        <v>5566</v>
      </c>
      <c r="I1103" s="125" t="s">
        <v>5566</v>
      </c>
    </row>
    <row r="1104" spans="1:9" x14ac:dyDescent="0.25">
      <c r="A1104" s="125" t="s">
        <v>3257</v>
      </c>
      <c r="B1104" s="125" t="s">
        <v>5561</v>
      </c>
      <c r="C1104" s="125">
        <v>231</v>
      </c>
      <c r="D1104" s="125" t="s">
        <v>5562</v>
      </c>
      <c r="E1104" s="125" t="s">
        <v>5341</v>
      </c>
      <c r="F1104" s="140" t="s">
        <v>5342</v>
      </c>
      <c r="G1104" s="125" t="s">
        <v>5297</v>
      </c>
      <c r="H1104" s="125" t="s">
        <v>5735</v>
      </c>
      <c r="I1104" s="125" t="s">
        <v>5566</v>
      </c>
    </row>
    <row r="1105" spans="1:9" x14ac:dyDescent="0.25">
      <c r="A1105" s="125" t="s">
        <v>5736</v>
      </c>
      <c r="B1105" s="125" t="s">
        <v>5561</v>
      </c>
      <c r="C1105" s="125">
        <v>231</v>
      </c>
      <c r="D1105" s="125" t="s">
        <v>5562</v>
      </c>
      <c r="E1105" s="125" t="s">
        <v>5341</v>
      </c>
      <c r="F1105" s="140" t="s">
        <v>5342</v>
      </c>
      <c r="G1105" s="125" t="s">
        <v>5297</v>
      </c>
      <c r="H1105" s="125" t="s">
        <v>371</v>
      </c>
      <c r="I1105" s="125" t="s">
        <v>371</v>
      </c>
    </row>
    <row r="1106" spans="1:9" x14ac:dyDescent="0.25">
      <c r="A1106" s="125" t="s">
        <v>1909</v>
      </c>
      <c r="B1106" s="125" t="s">
        <v>5348</v>
      </c>
      <c r="C1106" s="125">
        <v>284</v>
      </c>
      <c r="D1106" s="125" t="s">
        <v>5349</v>
      </c>
      <c r="E1106" s="125" t="s">
        <v>5341</v>
      </c>
      <c r="F1106" s="140" t="s">
        <v>5342</v>
      </c>
      <c r="G1106" s="125" t="s">
        <v>5297</v>
      </c>
      <c r="H1106" s="125" t="s">
        <v>5735</v>
      </c>
      <c r="I1106" s="125" t="s">
        <v>5566</v>
      </c>
    </row>
    <row r="1107" spans="1:9" x14ac:dyDescent="0.25">
      <c r="A1107" s="125" t="s">
        <v>3222</v>
      </c>
      <c r="B1107" s="125" t="s">
        <v>5561</v>
      </c>
      <c r="C1107" s="125">
        <v>231</v>
      </c>
      <c r="D1107" s="125" t="s">
        <v>5562</v>
      </c>
      <c r="E1107" s="125" t="s">
        <v>5341</v>
      </c>
      <c r="F1107" s="140" t="s">
        <v>5342</v>
      </c>
      <c r="G1107" s="125" t="s">
        <v>5297</v>
      </c>
      <c r="H1107" s="125" t="s">
        <v>5735</v>
      </c>
      <c r="I1107" s="125" t="s">
        <v>5566</v>
      </c>
    </row>
    <row r="1108" spans="1:9" x14ac:dyDescent="0.25">
      <c r="A1108" s="125" t="s">
        <v>1632</v>
      </c>
      <c r="B1108" s="125" t="s">
        <v>5561</v>
      </c>
      <c r="C1108" s="125">
        <v>231</v>
      </c>
      <c r="D1108" s="125" t="s">
        <v>5562</v>
      </c>
      <c r="E1108" s="125" t="s">
        <v>5341</v>
      </c>
      <c r="F1108" s="140" t="s">
        <v>5342</v>
      </c>
      <c r="G1108" s="125" t="s">
        <v>5297</v>
      </c>
      <c r="H1108" s="125" t="s">
        <v>5735</v>
      </c>
      <c r="I1108" s="125" t="s">
        <v>5566</v>
      </c>
    </row>
    <row r="1109" spans="1:9" x14ac:dyDescent="0.25">
      <c r="A1109" s="125" t="s">
        <v>2587</v>
      </c>
      <c r="B1109" s="125" t="s">
        <v>5561</v>
      </c>
      <c r="C1109" s="125">
        <v>231</v>
      </c>
      <c r="D1109" s="125" t="s">
        <v>5562</v>
      </c>
      <c r="E1109" s="125" t="s">
        <v>5341</v>
      </c>
      <c r="F1109" s="140" t="s">
        <v>5342</v>
      </c>
      <c r="G1109" s="125" t="s">
        <v>5297</v>
      </c>
      <c r="H1109" s="125" t="s">
        <v>5566</v>
      </c>
      <c r="I1109" s="125" t="s">
        <v>5566</v>
      </c>
    </row>
    <row r="1110" spans="1:9" x14ac:dyDescent="0.25">
      <c r="A1110" s="125" t="s">
        <v>1911</v>
      </c>
      <c r="B1110" s="125" t="s">
        <v>5561</v>
      </c>
      <c r="C1110" s="125">
        <v>231</v>
      </c>
      <c r="D1110" s="125" t="s">
        <v>5562</v>
      </c>
      <c r="E1110" s="125" t="s">
        <v>5341</v>
      </c>
      <c r="F1110" s="140" t="s">
        <v>5342</v>
      </c>
      <c r="G1110" s="125" t="s">
        <v>5297</v>
      </c>
      <c r="H1110" s="125" t="s">
        <v>5735</v>
      </c>
      <c r="I1110" s="125" t="s">
        <v>5566</v>
      </c>
    </row>
    <row r="1111" spans="1:9" x14ac:dyDescent="0.25">
      <c r="A1111" s="125" t="s">
        <v>2311</v>
      </c>
      <c r="B1111" s="125" t="s">
        <v>5561</v>
      </c>
      <c r="C1111" s="125">
        <v>231</v>
      </c>
      <c r="D1111" s="125" t="s">
        <v>5562</v>
      </c>
      <c r="E1111" s="125" t="s">
        <v>5341</v>
      </c>
      <c r="F1111" s="140" t="s">
        <v>5342</v>
      </c>
      <c r="G1111" s="125" t="s">
        <v>5297</v>
      </c>
      <c r="H1111" s="125" t="s">
        <v>5735</v>
      </c>
      <c r="I1111" s="125" t="s">
        <v>5566</v>
      </c>
    </row>
    <row r="1112" spans="1:9" x14ac:dyDescent="0.25">
      <c r="A1112" s="125" t="s">
        <v>2795</v>
      </c>
      <c r="B1112" s="125" t="s">
        <v>5561</v>
      </c>
      <c r="C1112" s="125">
        <v>231</v>
      </c>
      <c r="D1112" s="125" t="s">
        <v>5562</v>
      </c>
      <c r="E1112" s="125" t="s">
        <v>5341</v>
      </c>
      <c r="F1112" s="140" t="s">
        <v>5342</v>
      </c>
      <c r="G1112" s="125" t="s">
        <v>5297</v>
      </c>
      <c r="H1112" s="125" t="s">
        <v>5735</v>
      </c>
      <c r="I1112" s="125" t="s">
        <v>5566</v>
      </c>
    </row>
    <row r="1113" spans="1:9" x14ac:dyDescent="0.25">
      <c r="A1113" s="125" t="s">
        <v>2979</v>
      </c>
      <c r="B1113" s="125" t="s">
        <v>5339</v>
      </c>
      <c r="C1113" s="125">
        <v>235</v>
      </c>
      <c r="D1113" s="140" t="s">
        <v>5340</v>
      </c>
      <c r="E1113" s="125" t="s">
        <v>5341</v>
      </c>
      <c r="F1113" s="140" t="s">
        <v>5342</v>
      </c>
      <c r="G1113" s="125" t="s">
        <v>5297</v>
      </c>
      <c r="H1113" s="125" t="s">
        <v>5714</v>
      </c>
      <c r="I1113" s="125" t="s">
        <v>5351</v>
      </c>
    </row>
    <row r="1114" spans="1:9" x14ac:dyDescent="0.25">
      <c r="A1114" s="125" t="s">
        <v>2580</v>
      </c>
      <c r="B1114" s="125" t="s">
        <v>5339</v>
      </c>
      <c r="C1114" s="125">
        <v>235</v>
      </c>
      <c r="D1114" s="140" t="s">
        <v>5340</v>
      </c>
      <c r="E1114" s="125" t="s">
        <v>5341</v>
      </c>
      <c r="F1114" s="140" t="s">
        <v>5342</v>
      </c>
      <c r="G1114" s="125" t="s">
        <v>5297</v>
      </c>
      <c r="H1114" s="125" t="s">
        <v>5714</v>
      </c>
      <c r="I1114" s="125" t="s">
        <v>5351</v>
      </c>
    </row>
    <row r="1115" spans="1:9" x14ac:dyDescent="0.25">
      <c r="A1115" s="125" t="s">
        <v>2701</v>
      </c>
      <c r="B1115" s="125" t="s">
        <v>5339</v>
      </c>
      <c r="C1115" s="125">
        <v>235</v>
      </c>
      <c r="D1115" s="140" t="s">
        <v>5340</v>
      </c>
      <c r="E1115" s="125" t="s">
        <v>5341</v>
      </c>
      <c r="F1115" s="140" t="s">
        <v>5342</v>
      </c>
      <c r="G1115" s="125" t="s">
        <v>5297</v>
      </c>
      <c r="H1115" s="125" t="s">
        <v>5714</v>
      </c>
      <c r="I1115" s="125" t="s">
        <v>5351</v>
      </c>
    </row>
    <row r="1116" spans="1:9" x14ac:dyDescent="0.25">
      <c r="A1116" s="125" t="s">
        <v>2619</v>
      </c>
      <c r="B1116" s="125" t="s">
        <v>5339</v>
      </c>
      <c r="C1116" s="125">
        <v>235</v>
      </c>
      <c r="D1116" s="140" t="s">
        <v>5340</v>
      </c>
      <c r="E1116" s="125" t="s">
        <v>5341</v>
      </c>
      <c r="F1116" s="140" t="s">
        <v>5342</v>
      </c>
      <c r="G1116" s="125" t="s">
        <v>5297</v>
      </c>
      <c r="H1116" s="125" t="s">
        <v>5714</v>
      </c>
      <c r="I1116" s="125" t="s">
        <v>5351</v>
      </c>
    </row>
    <row r="1117" spans="1:9" x14ac:dyDescent="0.25">
      <c r="A1117" s="125" t="s">
        <v>2881</v>
      </c>
      <c r="B1117" s="125" t="s">
        <v>5339</v>
      </c>
      <c r="C1117" s="125">
        <v>235</v>
      </c>
      <c r="D1117" s="140" t="s">
        <v>5340</v>
      </c>
      <c r="E1117" s="125" t="s">
        <v>5341</v>
      </c>
      <c r="F1117" s="140" t="s">
        <v>5342</v>
      </c>
      <c r="G1117" s="125" t="s">
        <v>5297</v>
      </c>
      <c r="H1117" s="125" t="s">
        <v>5714</v>
      </c>
      <c r="I1117" s="125" t="s">
        <v>5351</v>
      </c>
    </row>
    <row r="1118" spans="1:9" x14ac:dyDescent="0.25">
      <c r="A1118" s="125" t="s">
        <v>2501</v>
      </c>
      <c r="B1118" s="125" t="s">
        <v>5339</v>
      </c>
      <c r="C1118" s="125">
        <v>235</v>
      </c>
      <c r="D1118" s="140" t="s">
        <v>5340</v>
      </c>
      <c r="E1118" s="125" t="s">
        <v>5341</v>
      </c>
      <c r="F1118" s="140" t="s">
        <v>5342</v>
      </c>
      <c r="G1118" s="125" t="s">
        <v>5297</v>
      </c>
      <c r="H1118" s="125" t="s">
        <v>5714</v>
      </c>
      <c r="I1118" s="125" t="s">
        <v>5351</v>
      </c>
    </row>
    <row r="1119" spans="1:9" x14ac:dyDescent="0.25">
      <c r="A1119" s="125" t="s">
        <v>2760</v>
      </c>
      <c r="B1119" s="125" t="s">
        <v>5339</v>
      </c>
      <c r="C1119" s="125">
        <v>235</v>
      </c>
      <c r="D1119" s="140" t="s">
        <v>5340</v>
      </c>
      <c r="E1119" s="125" t="s">
        <v>5341</v>
      </c>
      <c r="F1119" s="140" t="s">
        <v>5342</v>
      </c>
      <c r="G1119" s="125" t="s">
        <v>5297</v>
      </c>
      <c r="H1119" s="125" t="s">
        <v>5714</v>
      </c>
      <c r="I1119" s="125" t="s">
        <v>5351</v>
      </c>
    </row>
    <row r="1120" spans="1:9" x14ac:dyDescent="0.25">
      <c r="A1120" s="125" t="s">
        <v>1881</v>
      </c>
      <c r="B1120" s="125" t="s">
        <v>5502</v>
      </c>
      <c r="C1120" s="125">
        <v>202</v>
      </c>
      <c r="D1120" s="125" t="s">
        <v>5503</v>
      </c>
      <c r="E1120" s="125" t="s">
        <v>5295</v>
      </c>
      <c r="F1120" s="125" t="s">
        <v>5296</v>
      </c>
      <c r="G1120" s="125" t="s">
        <v>5297</v>
      </c>
      <c r="H1120" s="125" t="s">
        <v>5586</v>
      </c>
      <c r="I1120" s="125" t="s">
        <v>5375</v>
      </c>
    </row>
    <row r="1121" spans="1:9" x14ac:dyDescent="0.25">
      <c r="A1121" s="125" t="s">
        <v>1546</v>
      </c>
      <c r="B1121" s="125" t="s">
        <v>5502</v>
      </c>
      <c r="C1121" s="125">
        <v>202</v>
      </c>
      <c r="D1121" s="125" t="s">
        <v>5503</v>
      </c>
      <c r="E1121" s="125" t="s">
        <v>5295</v>
      </c>
      <c r="F1121" s="125" t="s">
        <v>5296</v>
      </c>
      <c r="G1121" s="125" t="s">
        <v>5297</v>
      </c>
      <c r="H1121" s="125" t="s">
        <v>5504</v>
      </c>
      <c r="I1121" s="125" t="s">
        <v>3183</v>
      </c>
    </row>
    <row r="1122" spans="1:9" x14ac:dyDescent="0.25">
      <c r="A1122" s="125" t="s">
        <v>2158</v>
      </c>
      <c r="B1122" s="125" t="s">
        <v>5502</v>
      </c>
      <c r="C1122" s="125">
        <v>202</v>
      </c>
      <c r="D1122" s="125" t="s">
        <v>5503</v>
      </c>
      <c r="E1122" s="125" t="s">
        <v>5295</v>
      </c>
      <c r="F1122" s="125" t="s">
        <v>5296</v>
      </c>
      <c r="G1122" s="125" t="s">
        <v>5297</v>
      </c>
      <c r="H1122" s="125" t="s">
        <v>5737</v>
      </c>
      <c r="I1122" s="125" t="s">
        <v>5375</v>
      </c>
    </row>
    <row r="1123" spans="1:9" x14ac:dyDescent="0.25">
      <c r="A1123" s="125" t="s">
        <v>5738</v>
      </c>
      <c r="B1123" s="125" t="s">
        <v>5502</v>
      </c>
      <c r="C1123" s="125">
        <v>202</v>
      </c>
      <c r="D1123" s="125" t="s">
        <v>5503</v>
      </c>
      <c r="E1123" s="125" t="s">
        <v>5295</v>
      </c>
      <c r="F1123" s="125" t="s">
        <v>5296</v>
      </c>
      <c r="G1123" s="125" t="s">
        <v>5297</v>
      </c>
      <c r="H1123" s="125" t="s">
        <v>5586</v>
      </c>
      <c r="I1123" s="125" t="s">
        <v>5375</v>
      </c>
    </row>
    <row r="1124" spans="1:9" x14ac:dyDescent="0.25">
      <c r="A1124" s="125" t="s">
        <v>3570</v>
      </c>
      <c r="B1124" s="125" t="s">
        <v>5502</v>
      </c>
      <c r="C1124" s="125">
        <v>202</v>
      </c>
      <c r="D1124" s="125" t="s">
        <v>5503</v>
      </c>
      <c r="E1124" s="125" t="s">
        <v>5295</v>
      </c>
      <c r="F1124" s="125" t="s">
        <v>5296</v>
      </c>
      <c r="G1124" s="125" t="s">
        <v>5297</v>
      </c>
      <c r="H1124" s="125" t="s">
        <v>5586</v>
      </c>
      <c r="I1124" s="125" t="s">
        <v>5375</v>
      </c>
    </row>
    <row r="1125" spans="1:9" x14ac:dyDescent="0.25">
      <c r="A1125" s="125" t="s">
        <v>5739</v>
      </c>
      <c r="B1125" s="125" t="s">
        <v>5502</v>
      </c>
      <c r="C1125" s="125">
        <v>202</v>
      </c>
      <c r="D1125" s="125" t="s">
        <v>5503</v>
      </c>
      <c r="E1125" s="125" t="s">
        <v>5295</v>
      </c>
      <c r="F1125" s="125" t="s">
        <v>5296</v>
      </c>
      <c r="G1125" s="125" t="s">
        <v>5297</v>
      </c>
      <c r="H1125" s="125" t="s">
        <v>5586</v>
      </c>
      <c r="I1125" s="125" t="s">
        <v>5375</v>
      </c>
    </row>
    <row r="1126" spans="1:9" x14ac:dyDescent="0.25">
      <c r="A1126" s="125" t="s">
        <v>5740</v>
      </c>
      <c r="B1126" s="125" t="s">
        <v>5502</v>
      </c>
      <c r="C1126" s="125">
        <v>202</v>
      </c>
      <c r="D1126" s="125" t="s">
        <v>5503</v>
      </c>
      <c r="E1126" s="125" t="s">
        <v>5295</v>
      </c>
      <c r="F1126" s="125" t="s">
        <v>5296</v>
      </c>
      <c r="G1126" s="125" t="s">
        <v>5297</v>
      </c>
      <c r="H1126" s="125" t="s">
        <v>5586</v>
      </c>
      <c r="I1126" s="125" t="s">
        <v>5375</v>
      </c>
    </row>
    <row r="1127" spans="1:9" x14ac:dyDescent="0.25">
      <c r="A1127" s="125" t="s">
        <v>3114</v>
      </c>
      <c r="B1127" s="125" t="s">
        <v>5502</v>
      </c>
      <c r="C1127" s="125">
        <v>202</v>
      </c>
      <c r="D1127" s="125" t="s">
        <v>5503</v>
      </c>
      <c r="E1127" s="125" t="s">
        <v>5295</v>
      </c>
      <c r="F1127" s="125" t="s">
        <v>5296</v>
      </c>
      <c r="G1127" s="125" t="s">
        <v>5297</v>
      </c>
      <c r="H1127" s="125" t="s">
        <v>5586</v>
      </c>
      <c r="I1127" s="125" t="s">
        <v>5375</v>
      </c>
    </row>
    <row r="1128" spans="1:9" x14ac:dyDescent="0.25">
      <c r="A1128" s="125" t="s">
        <v>1718</v>
      </c>
      <c r="B1128" s="125" t="s">
        <v>5502</v>
      </c>
      <c r="C1128" s="125">
        <v>202</v>
      </c>
      <c r="D1128" s="125" t="s">
        <v>5503</v>
      </c>
      <c r="E1128" s="125" t="s">
        <v>5295</v>
      </c>
      <c r="F1128" s="125" t="s">
        <v>5296</v>
      </c>
      <c r="G1128" s="125" t="s">
        <v>5297</v>
      </c>
      <c r="H1128" s="125" t="s">
        <v>5504</v>
      </c>
      <c r="I1128" s="125" t="s">
        <v>3183</v>
      </c>
    </row>
    <row r="1129" spans="1:9" x14ac:dyDescent="0.25">
      <c r="A1129" s="125" t="s">
        <v>3239</v>
      </c>
      <c r="B1129" s="125" t="s">
        <v>5502</v>
      </c>
      <c r="C1129" s="125">
        <v>202</v>
      </c>
      <c r="D1129" s="125" t="s">
        <v>5503</v>
      </c>
      <c r="E1129" s="125" t="s">
        <v>5295</v>
      </c>
      <c r="F1129" s="125" t="s">
        <v>5296</v>
      </c>
      <c r="G1129" s="125" t="s">
        <v>5297</v>
      </c>
      <c r="H1129" s="125" t="s">
        <v>5586</v>
      </c>
      <c r="I1129" s="125" t="s">
        <v>5375</v>
      </c>
    </row>
    <row r="1130" spans="1:9" x14ac:dyDescent="0.25">
      <c r="A1130" s="125" t="s">
        <v>3414</v>
      </c>
      <c r="B1130" s="125" t="s">
        <v>5502</v>
      </c>
      <c r="C1130" s="125">
        <v>202</v>
      </c>
      <c r="D1130" s="125" t="s">
        <v>5503</v>
      </c>
      <c r="E1130" s="125" t="s">
        <v>5295</v>
      </c>
      <c r="F1130" s="125" t="s">
        <v>5296</v>
      </c>
      <c r="G1130" s="125" t="s">
        <v>5297</v>
      </c>
      <c r="H1130" s="125" t="s">
        <v>5504</v>
      </c>
      <c r="I1130" s="125" t="s">
        <v>3183</v>
      </c>
    </row>
    <row r="1131" spans="1:9" x14ac:dyDescent="0.25">
      <c r="A1131" s="125" t="s">
        <v>5741</v>
      </c>
      <c r="B1131" s="125" t="s">
        <v>5382</v>
      </c>
      <c r="C1131" s="125" t="s">
        <v>5383</v>
      </c>
      <c r="D1131" s="125"/>
      <c r="E1131" s="125" t="s">
        <v>5384</v>
      </c>
      <c r="F1131" s="125" t="s">
        <v>5384</v>
      </c>
      <c r="G1131" s="125" t="s">
        <v>5384</v>
      </c>
      <c r="H1131" s="125" t="s">
        <v>371</v>
      </c>
      <c r="I1131" s="125" t="s">
        <v>371</v>
      </c>
    </row>
    <row r="1132" spans="1:9" x14ac:dyDescent="0.25">
      <c r="A1132" s="125" t="s">
        <v>5742</v>
      </c>
      <c r="B1132" s="125" t="s">
        <v>5382</v>
      </c>
      <c r="C1132" s="125" t="s">
        <v>5383</v>
      </c>
      <c r="D1132" s="125"/>
      <c r="E1132" s="125" t="s">
        <v>5384</v>
      </c>
      <c r="F1132" s="125" t="s">
        <v>5384</v>
      </c>
      <c r="G1132" s="125" t="s">
        <v>5384</v>
      </c>
      <c r="H1132" s="125" t="s">
        <v>371</v>
      </c>
      <c r="I1132" s="125" t="s">
        <v>371</v>
      </c>
    </row>
    <row r="1133" spans="1:9" x14ac:dyDescent="0.25">
      <c r="A1133" s="125" t="s">
        <v>5743</v>
      </c>
      <c r="B1133" s="125" t="s">
        <v>5382</v>
      </c>
      <c r="C1133" s="125" t="s">
        <v>5383</v>
      </c>
      <c r="D1133" s="125"/>
      <c r="E1133" s="125" t="s">
        <v>5384</v>
      </c>
      <c r="F1133" s="125" t="s">
        <v>5384</v>
      </c>
      <c r="G1133" s="125" t="s">
        <v>5384</v>
      </c>
      <c r="H1133" s="125" t="s">
        <v>371</v>
      </c>
      <c r="I1133" s="125" t="s">
        <v>371</v>
      </c>
    </row>
    <row r="1134" spans="1:9" x14ac:dyDescent="0.25">
      <c r="A1134" s="125" t="s">
        <v>5744</v>
      </c>
      <c r="B1134" s="125" t="s">
        <v>5382</v>
      </c>
      <c r="C1134" s="125" t="s">
        <v>5383</v>
      </c>
      <c r="D1134" s="125"/>
      <c r="E1134" s="125" t="s">
        <v>5384</v>
      </c>
      <c r="F1134" s="125" t="s">
        <v>5384</v>
      </c>
      <c r="G1134" s="125" t="s">
        <v>5384</v>
      </c>
      <c r="H1134" s="125" t="s">
        <v>371</v>
      </c>
      <c r="I1134" s="125" t="s">
        <v>371</v>
      </c>
    </row>
    <row r="1135" spans="1:9" x14ac:dyDescent="0.25">
      <c r="A1135" s="125" t="s">
        <v>5745</v>
      </c>
      <c r="B1135" s="125" t="s">
        <v>5382</v>
      </c>
      <c r="C1135" s="125" t="s">
        <v>5383</v>
      </c>
      <c r="D1135" s="125"/>
      <c r="E1135" s="125" t="s">
        <v>5384</v>
      </c>
      <c r="F1135" s="125" t="s">
        <v>5384</v>
      </c>
      <c r="G1135" s="125" t="s">
        <v>5384</v>
      </c>
      <c r="H1135" s="125" t="s">
        <v>371</v>
      </c>
      <c r="I1135" s="125" t="s">
        <v>371</v>
      </c>
    </row>
    <row r="1136" spans="1:9" x14ac:dyDescent="0.25">
      <c r="A1136" s="125" t="s">
        <v>5746</v>
      </c>
      <c r="B1136" s="125" t="s">
        <v>5382</v>
      </c>
      <c r="C1136" s="125" t="s">
        <v>5383</v>
      </c>
      <c r="D1136" s="125"/>
      <c r="E1136" s="125" t="s">
        <v>5384</v>
      </c>
      <c r="F1136" s="125" t="s">
        <v>5384</v>
      </c>
      <c r="G1136" s="125" t="s">
        <v>5384</v>
      </c>
      <c r="H1136" s="125" t="s">
        <v>371</v>
      </c>
      <c r="I1136" s="125" t="s">
        <v>371</v>
      </c>
    </row>
    <row r="1137" spans="1:9" x14ac:dyDescent="0.25">
      <c r="A1137" s="125" t="s">
        <v>5747</v>
      </c>
      <c r="B1137" s="125" t="s">
        <v>5382</v>
      </c>
      <c r="C1137" s="125" t="s">
        <v>5383</v>
      </c>
      <c r="D1137" s="125"/>
      <c r="E1137" s="125" t="s">
        <v>5384</v>
      </c>
      <c r="F1137" s="125" t="s">
        <v>5384</v>
      </c>
      <c r="G1137" s="125" t="s">
        <v>5384</v>
      </c>
      <c r="H1137" s="125" t="s">
        <v>371</v>
      </c>
      <c r="I1137" s="125" t="s">
        <v>371</v>
      </c>
    </row>
    <row r="1138" spans="1:9" x14ac:dyDescent="0.25">
      <c r="A1138" s="125" t="s">
        <v>5748</v>
      </c>
      <c r="B1138" s="125" t="s">
        <v>5382</v>
      </c>
      <c r="C1138" s="125" t="s">
        <v>5383</v>
      </c>
      <c r="D1138" s="125"/>
      <c r="E1138" s="125" t="s">
        <v>5384</v>
      </c>
      <c r="F1138" s="125" t="s">
        <v>5384</v>
      </c>
      <c r="G1138" s="125" t="s">
        <v>5384</v>
      </c>
      <c r="H1138" s="125" t="s">
        <v>371</v>
      </c>
      <c r="I1138" s="125" t="s">
        <v>371</v>
      </c>
    </row>
    <row r="1139" spans="1:9" x14ac:dyDescent="0.25">
      <c r="A1139" s="125" t="s">
        <v>5749</v>
      </c>
      <c r="B1139" s="125" t="s">
        <v>5382</v>
      </c>
      <c r="C1139" s="125" t="s">
        <v>5383</v>
      </c>
      <c r="D1139" s="125"/>
      <c r="E1139" s="125" t="s">
        <v>5384</v>
      </c>
      <c r="F1139" s="125" t="s">
        <v>5384</v>
      </c>
      <c r="G1139" s="125" t="s">
        <v>5384</v>
      </c>
      <c r="H1139" s="125" t="s">
        <v>371</v>
      </c>
      <c r="I1139" s="125" t="s">
        <v>371</v>
      </c>
    </row>
    <row r="1140" spans="1:9" x14ac:dyDescent="0.25">
      <c r="A1140" s="125" t="s">
        <v>589</v>
      </c>
      <c r="B1140" s="125" t="s">
        <v>5508</v>
      </c>
      <c r="C1140" s="125">
        <v>225</v>
      </c>
      <c r="D1140" s="125" t="s">
        <v>5509</v>
      </c>
      <c r="E1140" s="125" t="s">
        <v>5476</v>
      </c>
      <c r="F1140" s="140" t="s">
        <v>5477</v>
      </c>
      <c r="G1140" s="125" t="s">
        <v>5297</v>
      </c>
      <c r="H1140" s="125" t="s">
        <v>1</v>
      </c>
      <c r="I1140" s="125" t="s">
        <v>45</v>
      </c>
    </row>
    <row r="1141" spans="1:9" x14ac:dyDescent="0.25">
      <c r="A1141" s="125" t="s">
        <v>1410</v>
      </c>
      <c r="B1141" s="125" t="s">
        <v>5750</v>
      </c>
      <c r="C1141" s="125">
        <v>206</v>
      </c>
      <c r="D1141" s="125" t="s">
        <v>5751</v>
      </c>
      <c r="E1141" s="125" t="s">
        <v>5476</v>
      </c>
      <c r="F1141" s="140" t="s">
        <v>5477</v>
      </c>
      <c r="G1141" s="125" t="s">
        <v>5297</v>
      </c>
      <c r="H1141" s="125" t="s">
        <v>5752</v>
      </c>
      <c r="I1141" s="125" t="s">
        <v>45</v>
      </c>
    </row>
    <row r="1142" spans="1:9" x14ac:dyDescent="0.25">
      <c r="A1142" s="125" t="s">
        <v>615</v>
      </c>
      <c r="B1142" s="125" t="s">
        <v>5750</v>
      </c>
      <c r="C1142" s="125">
        <v>206</v>
      </c>
      <c r="D1142" s="125" t="s">
        <v>5751</v>
      </c>
      <c r="E1142" s="125" t="s">
        <v>5476</v>
      </c>
      <c r="F1142" s="140" t="s">
        <v>5477</v>
      </c>
      <c r="G1142" s="125" t="s">
        <v>5297</v>
      </c>
      <c r="H1142" s="125" t="s">
        <v>5753</v>
      </c>
      <c r="I1142" s="125" t="s">
        <v>45</v>
      </c>
    </row>
    <row r="1143" spans="1:9" x14ac:dyDescent="0.25">
      <c r="A1143" s="125" t="s">
        <v>574</v>
      </c>
      <c r="B1143" s="125" t="s">
        <v>5750</v>
      </c>
      <c r="C1143" s="125">
        <v>206</v>
      </c>
      <c r="D1143" s="125" t="s">
        <v>5751</v>
      </c>
      <c r="E1143" s="125" t="s">
        <v>5476</v>
      </c>
      <c r="F1143" s="140" t="s">
        <v>5477</v>
      </c>
      <c r="G1143" s="125" t="s">
        <v>5297</v>
      </c>
      <c r="H1143" s="125" t="s">
        <v>5753</v>
      </c>
      <c r="I1143" s="125" t="s">
        <v>45</v>
      </c>
    </row>
    <row r="1144" spans="1:9" x14ac:dyDescent="0.25">
      <c r="A1144" s="125" t="s">
        <v>3068</v>
      </c>
      <c r="B1144" s="125" t="s">
        <v>5750</v>
      </c>
      <c r="C1144" s="125">
        <v>206</v>
      </c>
      <c r="D1144" s="125" t="s">
        <v>5751</v>
      </c>
      <c r="E1144" s="125" t="s">
        <v>5476</v>
      </c>
      <c r="F1144" s="140" t="s">
        <v>5477</v>
      </c>
      <c r="G1144" s="125" t="s">
        <v>5297</v>
      </c>
      <c r="H1144" s="125" t="s">
        <v>5753</v>
      </c>
      <c r="I1144" s="125" t="s">
        <v>45</v>
      </c>
    </row>
    <row r="1145" spans="1:9" x14ac:dyDescent="0.25">
      <c r="A1145" s="125" t="s">
        <v>559</v>
      </c>
      <c r="B1145" s="125" t="s">
        <v>5508</v>
      </c>
      <c r="C1145" s="125">
        <v>225</v>
      </c>
      <c r="D1145" s="125" t="s">
        <v>5509</v>
      </c>
      <c r="E1145" s="125" t="s">
        <v>5476</v>
      </c>
      <c r="F1145" s="140" t="s">
        <v>5477</v>
      </c>
      <c r="G1145" s="125" t="s">
        <v>5297</v>
      </c>
      <c r="H1145" s="125" t="s">
        <v>5754</v>
      </c>
      <c r="I1145" s="125" t="s">
        <v>45</v>
      </c>
    </row>
    <row r="1146" spans="1:9" x14ac:dyDescent="0.25">
      <c r="A1146" s="125" t="s">
        <v>1275</v>
      </c>
      <c r="B1146" s="125" t="s">
        <v>5750</v>
      </c>
      <c r="C1146" s="125">
        <v>206</v>
      </c>
      <c r="D1146" s="125" t="s">
        <v>5751</v>
      </c>
      <c r="E1146" s="125" t="s">
        <v>5476</v>
      </c>
      <c r="F1146" s="140" t="s">
        <v>5477</v>
      </c>
      <c r="G1146" s="125" t="s">
        <v>5297</v>
      </c>
      <c r="H1146" s="125" t="s">
        <v>5752</v>
      </c>
      <c r="I1146" s="125" t="s">
        <v>45</v>
      </c>
    </row>
    <row r="1147" spans="1:9" x14ac:dyDescent="0.25">
      <c r="A1147" s="125" t="s">
        <v>540</v>
      </c>
      <c r="B1147" s="125" t="s">
        <v>5750</v>
      </c>
      <c r="C1147" s="125">
        <v>206</v>
      </c>
      <c r="D1147" s="125" t="s">
        <v>5751</v>
      </c>
      <c r="E1147" s="125" t="s">
        <v>5476</v>
      </c>
      <c r="F1147" s="140" t="s">
        <v>5477</v>
      </c>
      <c r="G1147" s="125" t="s">
        <v>5297</v>
      </c>
      <c r="H1147" s="125" t="s">
        <v>5752</v>
      </c>
      <c r="I1147" s="125" t="s">
        <v>45</v>
      </c>
    </row>
    <row r="1148" spans="1:9" x14ac:dyDescent="0.25">
      <c r="A1148" s="125" t="s">
        <v>1774</v>
      </c>
      <c r="B1148" s="125" t="s">
        <v>5750</v>
      </c>
      <c r="C1148" s="125">
        <v>206</v>
      </c>
      <c r="D1148" s="125" t="s">
        <v>5751</v>
      </c>
      <c r="E1148" s="125" t="s">
        <v>5476</v>
      </c>
      <c r="F1148" s="140" t="s">
        <v>5477</v>
      </c>
      <c r="G1148" s="125" t="s">
        <v>5297</v>
      </c>
      <c r="H1148" s="125" t="s">
        <v>5752</v>
      </c>
      <c r="I1148" s="125" t="s">
        <v>45</v>
      </c>
    </row>
    <row r="1149" spans="1:9" x14ac:dyDescent="0.25">
      <c r="A1149" s="125" t="s">
        <v>1777</v>
      </c>
      <c r="B1149" s="125" t="s">
        <v>5750</v>
      </c>
      <c r="C1149" s="125">
        <v>206</v>
      </c>
      <c r="D1149" s="125" t="s">
        <v>5751</v>
      </c>
      <c r="E1149" s="125" t="s">
        <v>5476</v>
      </c>
      <c r="F1149" s="140" t="s">
        <v>5477</v>
      </c>
      <c r="G1149" s="125" t="s">
        <v>5297</v>
      </c>
      <c r="H1149" s="125" t="s">
        <v>5752</v>
      </c>
      <c r="I1149" s="125" t="s">
        <v>45</v>
      </c>
    </row>
    <row r="1150" spans="1:9" x14ac:dyDescent="0.25">
      <c r="A1150" s="125" t="s">
        <v>535</v>
      </c>
      <c r="B1150" s="125" t="s">
        <v>5750</v>
      </c>
      <c r="C1150" s="125">
        <v>206</v>
      </c>
      <c r="D1150" s="125" t="s">
        <v>5751</v>
      </c>
      <c r="E1150" s="125" t="s">
        <v>5476</v>
      </c>
      <c r="F1150" s="140" t="s">
        <v>5477</v>
      </c>
      <c r="G1150" s="125" t="s">
        <v>5297</v>
      </c>
      <c r="H1150" s="125" t="s">
        <v>5752</v>
      </c>
      <c r="I1150" s="125" t="s">
        <v>45</v>
      </c>
    </row>
    <row r="1151" spans="1:9" x14ac:dyDescent="0.25">
      <c r="A1151" s="125" t="s">
        <v>3189</v>
      </c>
      <c r="B1151" s="125" t="s">
        <v>5508</v>
      </c>
      <c r="C1151" s="125">
        <v>225</v>
      </c>
      <c r="D1151" s="125" t="s">
        <v>5509</v>
      </c>
      <c r="E1151" s="125" t="s">
        <v>5476</v>
      </c>
      <c r="F1151" s="140" t="s">
        <v>5477</v>
      </c>
      <c r="G1151" s="125" t="s">
        <v>5297</v>
      </c>
      <c r="H1151" s="125" t="s">
        <v>1</v>
      </c>
      <c r="I1151" s="125" t="s">
        <v>45</v>
      </c>
    </row>
    <row r="1152" spans="1:9" x14ac:dyDescent="0.25">
      <c r="A1152" s="125" t="s">
        <v>581</v>
      </c>
      <c r="B1152" s="125" t="s">
        <v>5750</v>
      </c>
      <c r="C1152" s="125">
        <v>206</v>
      </c>
      <c r="D1152" s="125" t="s">
        <v>5751</v>
      </c>
      <c r="E1152" s="125" t="s">
        <v>5476</v>
      </c>
      <c r="F1152" s="140" t="s">
        <v>5477</v>
      </c>
      <c r="G1152" s="125" t="s">
        <v>5297</v>
      </c>
      <c r="H1152" s="125" t="s">
        <v>5752</v>
      </c>
      <c r="I1152" s="125" t="s">
        <v>45</v>
      </c>
    </row>
    <row r="1153" spans="1:9" x14ac:dyDescent="0.25">
      <c r="A1153" s="125" t="s">
        <v>532</v>
      </c>
      <c r="B1153" s="125" t="s">
        <v>5750</v>
      </c>
      <c r="C1153" s="125">
        <v>206</v>
      </c>
      <c r="D1153" s="125" t="s">
        <v>5751</v>
      </c>
      <c r="E1153" s="125" t="s">
        <v>5476</v>
      </c>
      <c r="F1153" s="140" t="s">
        <v>5477</v>
      </c>
      <c r="G1153" s="125" t="s">
        <v>5297</v>
      </c>
      <c r="H1153" s="125" t="s">
        <v>5755</v>
      </c>
      <c r="I1153" s="125" t="s">
        <v>55</v>
      </c>
    </row>
    <row r="1154" spans="1:9" x14ac:dyDescent="0.25">
      <c r="A1154" s="125" t="s">
        <v>599</v>
      </c>
      <c r="B1154" s="125" t="s">
        <v>5750</v>
      </c>
      <c r="C1154" s="125">
        <v>206</v>
      </c>
      <c r="D1154" s="125" t="s">
        <v>5751</v>
      </c>
      <c r="E1154" s="125" t="s">
        <v>5476</v>
      </c>
      <c r="F1154" s="140" t="s">
        <v>5477</v>
      </c>
      <c r="G1154" s="125" t="s">
        <v>5297</v>
      </c>
      <c r="H1154" s="125" t="s">
        <v>5755</v>
      </c>
      <c r="I1154" s="125" t="s">
        <v>55</v>
      </c>
    </row>
    <row r="1155" spans="1:9" x14ac:dyDescent="0.25">
      <c r="A1155" s="125" t="s">
        <v>3526</v>
      </c>
      <c r="B1155" s="125" t="s">
        <v>5750</v>
      </c>
      <c r="C1155" s="125">
        <v>206</v>
      </c>
      <c r="D1155" s="125" t="s">
        <v>5751</v>
      </c>
      <c r="E1155" s="125" t="s">
        <v>5476</v>
      </c>
      <c r="F1155" s="140" t="s">
        <v>5477</v>
      </c>
      <c r="G1155" s="125" t="s">
        <v>5297</v>
      </c>
      <c r="H1155" s="125" t="s">
        <v>5754</v>
      </c>
      <c r="I1155" s="125" t="s">
        <v>45</v>
      </c>
    </row>
    <row r="1156" spans="1:9" x14ac:dyDescent="0.25">
      <c r="A1156" s="125" t="s">
        <v>606</v>
      </c>
      <c r="B1156" s="125" t="s">
        <v>5756</v>
      </c>
      <c r="C1156" s="125">
        <v>246</v>
      </c>
      <c r="D1156" s="140" t="s">
        <v>5757</v>
      </c>
      <c r="E1156" s="125" t="s">
        <v>5476</v>
      </c>
      <c r="F1156" s="140" t="s">
        <v>5477</v>
      </c>
      <c r="G1156" s="125" t="s">
        <v>5297</v>
      </c>
      <c r="H1156" s="125" t="s">
        <v>5758</v>
      </c>
      <c r="I1156" s="125" t="s">
        <v>55</v>
      </c>
    </row>
    <row r="1157" spans="1:9" x14ac:dyDescent="0.25">
      <c r="A1157" s="125" t="s">
        <v>2975</v>
      </c>
      <c r="B1157" s="125" t="s">
        <v>5756</v>
      </c>
      <c r="C1157" s="125">
        <v>246</v>
      </c>
      <c r="D1157" s="140" t="s">
        <v>5757</v>
      </c>
      <c r="E1157" s="125" t="s">
        <v>5476</v>
      </c>
      <c r="F1157" s="140" t="s">
        <v>5477</v>
      </c>
      <c r="G1157" s="125" t="s">
        <v>5297</v>
      </c>
      <c r="H1157" s="125" t="s">
        <v>5758</v>
      </c>
      <c r="I1157" s="125" t="s">
        <v>55</v>
      </c>
    </row>
    <row r="1158" spans="1:9" x14ac:dyDescent="0.25">
      <c r="A1158" s="125" t="s">
        <v>3130</v>
      </c>
      <c r="B1158" s="125" t="s">
        <v>5474</v>
      </c>
      <c r="C1158" s="125">
        <v>221</v>
      </c>
      <c r="D1158" s="125" t="s">
        <v>5475</v>
      </c>
      <c r="E1158" s="125" t="s">
        <v>5476</v>
      </c>
      <c r="F1158" s="140" t="s">
        <v>5477</v>
      </c>
      <c r="G1158" s="125" t="s">
        <v>5297</v>
      </c>
      <c r="H1158" s="125" t="s">
        <v>5759</v>
      </c>
      <c r="I1158" s="125" t="s">
        <v>55</v>
      </c>
    </row>
    <row r="1159" spans="1:9" x14ac:dyDescent="0.25">
      <c r="A1159" s="125" t="s">
        <v>5760</v>
      </c>
      <c r="B1159" s="125" t="s">
        <v>5474</v>
      </c>
      <c r="C1159" s="125">
        <v>221</v>
      </c>
      <c r="D1159" s="125" t="s">
        <v>5475</v>
      </c>
      <c r="E1159" s="125" t="s">
        <v>5476</v>
      </c>
      <c r="F1159" s="140" t="s">
        <v>5477</v>
      </c>
      <c r="G1159" s="125" t="s">
        <v>5297</v>
      </c>
      <c r="H1159" s="125" t="s">
        <v>5761</v>
      </c>
      <c r="I1159" s="125" t="s">
        <v>45</v>
      </c>
    </row>
    <row r="1160" spans="1:9" x14ac:dyDescent="0.25">
      <c r="A1160" s="125" t="s">
        <v>556</v>
      </c>
      <c r="B1160" s="125" t="s">
        <v>5474</v>
      </c>
      <c r="C1160" s="125">
        <v>221</v>
      </c>
      <c r="D1160" s="125" t="s">
        <v>5475</v>
      </c>
      <c r="E1160" s="125" t="s">
        <v>5476</v>
      </c>
      <c r="F1160" s="140" t="s">
        <v>5477</v>
      </c>
      <c r="G1160" s="125" t="s">
        <v>5297</v>
      </c>
      <c r="H1160" s="125" t="s">
        <v>5483</v>
      </c>
      <c r="I1160" s="125" t="s">
        <v>45</v>
      </c>
    </row>
    <row r="1161" spans="1:9" x14ac:dyDescent="0.25">
      <c r="A1161" s="125" t="s">
        <v>624</v>
      </c>
      <c r="B1161" s="125" t="s">
        <v>5508</v>
      </c>
      <c r="C1161" s="125">
        <v>225</v>
      </c>
      <c r="D1161" s="125" t="s">
        <v>5509</v>
      </c>
      <c r="E1161" s="125" t="s">
        <v>5476</v>
      </c>
      <c r="F1161" s="140" t="s">
        <v>5477</v>
      </c>
      <c r="G1161" s="125" t="s">
        <v>5297</v>
      </c>
      <c r="H1161" s="125" t="s">
        <v>5510</v>
      </c>
      <c r="I1161" s="125" t="s">
        <v>45</v>
      </c>
    </row>
    <row r="1162" spans="1:9" x14ac:dyDescent="0.25">
      <c r="A1162" s="125" t="s">
        <v>2949</v>
      </c>
      <c r="B1162" s="125" t="s">
        <v>5508</v>
      </c>
      <c r="C1162" s="125">
        <v>225</v>
      </c>
      <c r="D1162" s="125" t="s">
        <v>5509</v>
      </c>
      <c r="E1162" s="125" t="s">
        <v>5476</v>
      </c>
      <c r="F1162" s="140" t="s">
        <v>5477</v>
      </c>
      <c r="G1162" s="125" t="s">
        <v>5297</v>
      </c>
      <c r="H1162" s="125" t="s">
        <v>1</v>
      </c>
      <c r="I1162" s="125" t="s">
        <v>45</v>
      </c>
    </row>
    <row r="1163" spans="1:9" x14ac:dyDescent="0.25">
      <c r="A1163" s="125" t="s">
        <v>523</v>
      </c>
      <c r="B1163" s="125" t="s">
        <v>5508</v>
      </c>
      <c r="C1163" s="125">
        <v>225</v>
      </c>
      <c r="D1163" s="125" t="s">
        <v>5509</v>
      </c>
      <c r="E1163" s="125" t="s">
        <v>5476</v>
      </c>
      <c r="F1163" s="140" t="s">
        <v>5477</v>
      </c>
      <c r="G1163" s="125" t="s">
        <v>5297</v>
      </c>
      <c r="H1163" s="125" t="s">
        <v>5754</v>
      </c>
      <c r="I1163" s="125" t="s">
        <v>45</v>
      </c>
    </row>
    <row r="1164" spans="1:9" x14ac:dyDescent="0.25">
      <c r="A1164" s="125" t="s">
        <v>633</v>
      </c>
      <c r="B1164" s="139" t="s">
        <v>5508</v>
      </c>
      <c r="C1164" s="139">
        <v>225</v>
      </c>
      <c r="D1164" s="139" t="s">
        <v>5509</v>
      </c>
      <c r="E1164" s="125" t="s">
        <v>5476</v>
      </c>
      <c r="F1164" s="140" t="s">
        <v>5477</v>
      </c>
      <c r="G1164" s="125" t="s">
        <v>5297</v>
      </c>
      <c r="H1164" s="125" t="s">
        <v>5483</v>
      </c>
      <c r="I1164" s="125" t="s">
        <v>45</v>
      </c>
    </row>
    <row r="1165" spans="1:9" x14ac:dyDescent="0.25">
      <c r="A1165" s="125" t="s">
        <v>3527</v>
      </c>
      <c r="B1165" s="139" t="s">
        <v>5508</v>
      </c>
      <c r="C1165" s="139">
        <v>225</v>
      </c>
      <c r="D1165" s="139" t="s">
        <v>5509</v>
      </c>
      <c r="E1165" s="125" t="s">
        <v>5476</v>
      </c>
      <c r="F1165" s="140" t="s">
        <v>5477</v>
      </c>
      <c r="G1165" s="125" t="s">
        <v>5297</v>
      </c>
      <c r="H1165" s="125" t="s">
        <v>5483</v>
      </c>
      <c r="I1165" s="125" t="s">
        <v>45</v>
      </c>
    </row>
    <row r="1166" spans="1:9" x14ac:dyDescent="0.25">
      <c r="A1166" s="125" t="s">
        <v>531</v>
      </c>
      <c r="B1166" s="139" t="s">
        <v>5508</v>
      </c>
      <c r="C1166" s="139">
        <v>225</v>
      </c>
      <c r="D1166" s="139" t="s">
        <v>5509</v>
      </c>
      <c r="E1166" s="125" t="s">
        <v>5476</v>
      </c>
      <c r="F1166" s="140" t="s">
        <v>5477</v>
      </c>
      <c r="G1166" s="125" t="s">
        <v>5297</v>
      </c>
      <c r="H1166" s="125" t="s">
        <v>5483</v>
      </c>
      <c r="I1166" s="125" t="s">
        <v>45</v>
      </c>
    </row>
    <row r="1167" spans="1:9" x14ac:dyDescent="0.25">
      <c r="A1167" s="125" t="s">
        <v>539</v>
      </c>
      <c r="B1167" s="125" t="s">
        <v>5508</v>
      </c>
      <c r="C1167" s="125">
        <v>225</v>
      </c>
      <c r="D1167" s="125" t="s">
        <v>5509</v>
      </c>
      <c r="E1167" s="125" t="s">
        <v>5476</v>
      </c>
      <c r="F1167" s="140" t="s">
        <v>5477</v>
      </c>
      <c r="G1167" s="125" t="s">
        <v>5297</v>
      </c>
      <c r="H1167" s="125" t="s">
        <v>1</v>
      </c>
      <c r="I1167" s="125" t="s">
        <v>45</v>
      </c>
    </row>
    <row r="1168" spans="1:9" x14ac:dyDescent="0.25">
      <c r="A1168" s="125" t="s">
        <v>2160</v>
      </c>
      <c r="B1168" s="125" t="s">
        <v>5508</v>
      </c>
      <c r="C1168" s="125">
        <v>225</v>
      </c>
      <c r="D1168" s="125" t="s">
        <v>5509</v>
      </c>
      <c r="E1168" s="125" t="s">
        <v>5476</v>
      </c>
      <c r="F1168" s="140" t="s">
        <v>5477</v>
      </c>
      <c r="G1168" s="125" t="s">
        <v>5297</v>
      </c>
      <c r="H1168" s="125" t="s">
        <v>5753</v>
      </c>
      <c r="I1168" s="125" t="s">
        <v>45</v>
      </c>
    </row>
    <row r="1169" spans="1:9" x14ac:dyDescent="0.25">
      <c r="A1169" s="125" t="s">
        <v>590</v>
      </c>
      <c r="B1169" s="125" t="s">
        <v>5508</v>
      </c>
      <c r="C1169" s="125">
        <v>225</v>
      </c>
      <c r="D1169" s="125" t="s">
        <v>5509</v>
      </c>
      <c r="E1169" s="125" t="s">
        <v>5476</v>
      </c>
      <c r="F1169" s="140" t="s">
        <v>5477</v>
      </c>
      <c r="G1169" s="125" t="s">
        <v>5297</v>
      </c>
      <c r="H1169" s="125" t="s">
        <v>5754</v>
      </c>
      <c r="I1169" s="125" t="s">
        <v>45</v>
      </c>
    </row>
    <row r="1170" spans="1:9" x14ac:dyDescent="0.25">
      <c r="A1170" s="125" t="s">
        <v>627</v>
      </c>
      <c r="B1170" s="125" t="s">
        <v>5508</v>
      </c>
      <c r="C1170" s="125">
        <v>225</v>
      </c>
      <c r="D1170" s="125" t="s">
        <v>5509</v>
      </c>
      <c r="E1170" s="125" t="s">
        <v>5476</v>
      </c>
      <c r="F1170" s="140" t="s">
        <v>5477</v>
      </c>
      <c r="G1170" s="125" t="s">
        <v>5297</v>
      </c>
      <c r="H1170" s="125" t="s">
        <v>5510</v>
      </c>
      <c r="I1170" s="125" t="s">
        <v>45</v>
      </c>
    </row>
    <row r="1171" spans="1:9" x14ac:dyDescent="0.25">
      <c r="A1171" s="125" t="s">
        <v>554</v>
      </c>
      <c r="B1171" s="125" t="s">
        <v>5508</v>
      </c>
      <c r="C1171" s="125">
        <v>225</v>
      </c>
      <c r="D1171" s="125" t="s">
        <v>5509</v>
      </c>
      <c r="E1171" s="125" t="s">
        <v>5476</v>
      </c>
      <c r="F1171" s="140" t="s">
        <v>5477</v>
      </c>
      <c r="G1171" s="125" t="s">
        <v>5297</v>
      </c>
      <c r="H1171" s="125" t="s">
        <v>5510</v>
      </c>
      <c r="I1171" s="125" t="s">
        <v>45</v>
      </c>
    </row>
    <row r="1172" spans="1:9" x14ac:dyDescent="0.25">
      <c r="A1172" s="125" t="s">
        <v>3008</v>
      </c>
      <c r="B1172" s="125" t="s">
        <v>5750</v>
      </c>
      <c r="C1172" s="125">
        <v>206</v>
      </c>
      <c r="D1172" s="125" t="s">
        <v>5751</v>
      </c>
      <c r="E1172" s="125" t="s">
        <v>5476</v>
      </c>
      <c r="F1172" s="140" t="s">
        <v>5477</v>
      </c>
      <c r="G1172" s="125" t="s">
        <v>5297</v>
      </c>
      <c r="H1172" s="125" t="s">
        <v>5510</v>
      </c>
      <c r="I1172" s="125" t="s">
        <v>45</v>
      </c>
    </row>
    <row r="1173" spans="1:9" x14ac:dyDescent="0.25">
      <c r="A1173" s="125" t="s">
        <v>2410</v>
      </c>
      <c r="B1173" s="125" t="s">
        <v>5762</v>
      </c>
      <c r="C1173" s="125">
        <v>703</v>
      </c>
      <c r="D1173" s="125" t="s">
        <v>5763</v>
      </c>
      <c r="E1173" s="125" t="s">
        <v>5270</v>
      </c>
      <c r="F1173" s="125" t="s">
        <v>5271</v>
      </c>
      <c r="G1173" s="125" t="s">
        <v>5270</v>
      </c>
      <c r="H1173" s="125" t="s">
        <v>5764</v>
      </c>
      <c r="I1173" s="125" t="s">
        <v>5764</v>
      </c>
    </row>
    <row r="1174" spans="1:9" x14ac:dyDescent="0.25">
      <c r="A1174" s="125" t="s">
        <v>5765</v>
      </c>
      <c r="B1174" s="125" t="s">
        <v>5762</v>
      </c>
      <c r="C1174" s="125">
        <v>703</v>
      </c>
      <c r="D1174" s="125" t="s">
        <v>5763</v>
      </c>
      <c r="E1174" s="125" t="s">
        <v>5270</v>
      </c>
      <c r="F1174" s="125" t="s">
        <v>5271</v>
      </c>
      <c r="G1174" s="125" t="s">
        <v>5270</v>
      </c>
      <c r="H1174" s="125" t="s">
        <v>5764</v>
      </c>
      <c r="I1174" s="125" t="s">
        <v>5764</v>
      </c>
    </row>
    <row r="1175" spans="1:9" x14ac:dyDescent="0.25">
      <c r="A1175" s="125" t="s">
        <v>5766</v>
      </c>
      <c r="B1175" s="125" t="s">
        <v>5762</v>
      </c>
      <c r="C1175" s="125">
        <v>703</v>
      </c>
      <c r="D1175" s="125" t="s">
        <v>5763</v>
      </c>
      <c r="E1175" s="125" t="s">
        <v>5270</v>
      </c>
      <c r="F1175" s="125" t="s">
        <v>5271</v>
      </c>
      <c r="G1175" s="125" t="s">
        <v>5270</v>
      </c>
      <c r="H1175" s="125" t="s">
        <v>1102</v>
      </c>
      <c r="I1175" s="125" t="s">
        <v>1102</v>
      </c>
    </row>
    <row r="1176" spans="1:9" x14ac:dyDescent="0.25">
      <c r="A1176" s="125" t="s">
        <v>3495</v>
      </c>
      <c r="B1176" s="125" t="s">
        <v>5762</v>
      </c>
      <c r="C1176" s="125">
        <v>703</v>
      </c>
      <c r="D1176" s="125" t="s">
        <v>5763</v>
      </c>
      <c r="E1176" s="125" t="s">
        <v>5270</v>
      </c>
      <c r="F1176" s="125" t="s">
        <v>5271</v>
      </c>
      <c r="G1176" s="125" t="s">
        <v>5270</v>
      </c>
      <c r="H1176" s="125" t="s">
        <v>5764</v>
      </c>
      <c r="I1176" s="125" t="s">
        <v>5764</v>
      </c>
    </row>
    <row r="1177" spans="1:9" x14ac:dyDescent="0.25">
      <c r="A1177" s="125" t="s">
        <v>5767</v>
      </c>
      <c r="B1177" s="125" t="s">
        <v>5762</v>
      </c>
      <c r="C1177" s="125">
        <v>703</v>
      </c>
      <c r="D1177" s="125" t="s">
        <v>5763</v>
      </c>
      <c r="E1177" s="125" t="s">
        <v>5270</v>
      </c>
      <c r="F1177" s="125" t="s">
        <v>5271</v>
      </c>
      <c r="G1177" s="125" t="s">
        <v>5270</v>
      </c>
      <c r="H1177" s="125" t="s">
        <v>1102</v>
      </c>
      <c r="I1177" s="125" t="s">
        <v>1102</v>
      </c>
    </row>
    <row r="1178" spans="1:9" x14ac:dyDescent="0.25">
      <c r="A1178" s="125" t="s">
        <v>5768</v>
      </c>
      <c r="B1178" s="125" t="s">
        <v>5762</v>
      </c>
      <c r="C1178" s="125">
        <v>703</v>
      </c>
      <c r="D1178" s="125" t="s">
        <v>5763</v>
      </c>
      <c r="E1178" s="125" t="s">
        <v>5270</v>
      </c>
      <c r="F1178" s="125" t="s">
        <v>5271</v>
      </c>
      <c r="G1178" s="125" t="s">
        <v>5270</v>
      </c>
      <c r="H1178" s="125" t="s">
        <v>5764</v>
      </c>
      <c r="I1178" s="125" t="s">
        <v>5764</v>
      </c>
    </row>
    <row r="1179" spans="1:9" x14ac:dyDescent="0.25">
      <c r="A1179" s="125" t="s">
        <v>2555</v>
      </c>
      <c r="B1179" s="125" t="s">
        <v>5762</v>
      </c>
      <c r="C1179" s="125">
        <v>703</v>
      </c>
      <c r="D1179" s="125" t="s">
        <v>5763</v>
      </c>
      <c r="E1179" s="125" t="s">
        <v>5270</v>
      </c>
      <c r="F1179" s="125" t="s">
        <v>5271</v>
      </c>
      <c r="G1179" s="125" t="s">
        <v>5270</v>
      </c>
      <c r="H1179" s="125" t="s">
        <v>5764</v>
      </c>
      <c r="I1179" s="125" t="s">
        <v>5764</v>
      </c>
    </row>
    <row r="1180" spans="1:9" x14ac:dyDescent="0.25">
      <c r="A1180" s="125" t="s">
        <v>5769</v>
      </c>
      <c r="B1180" s="125" t="s">
        <v>5762</v>
      </c>
      <c r="C1180" s="125">
        <v>703</v>
      </c>
      <c r="D1180" s="125" t="s">
        <v>5763</v>
      </c>
      <c r="E1180" s="125" t="s">
        <v>5270</v>
      </c>
      <c r="F1180" s="125" t="s">
        <v>5271</v>
      </c>
      <c r="G1180" s="125" t="s">
        <v>5270</v>
      </c>
      <c r="H1180" s="125" t="s">
        <v>1102</v>
      </c>
      <c r="I1180" s="125" t="s">
        <v>1102</v>
      </c>
    </row>
    <row r="1181" spans="1:9" x14ac:dyDescent="0.25">
      <c r="A1181" s="125" t="s">
        <v>5770</v>
      </c>
      <c r="B1181" s="125" t="s">
        <v>5762</v>
      </c>
      <c r="C1181" s="125">
        <v>703</v>
      </c>
      <c r="D1181" s="125" t="s">
        <v>5763</v>
      </c>
      <c r="E1181" s="125" t="s">
        <v>5270</v>
      </c>
      <c r="F1181" s="125" t="s">
        <v>5271</v>
      </c>
      <c r="G1181" s="125" t="s">
        <v>5270</v>
      </c>
      <c r="H1181" s="125" t="s">
        <v>5764</v>
      </c>
      <c r="I1181" s="125" t="s">
        <v>5764</v>
      </c>
    </row>
    <row r="1182" spans="1:9" x14ac:dyDescent="0.25">
      <c r="A1182" s="125" t="s">
        <v>5771</v>
      </c>
      <c r="B1182" s="125" t="s">
        <v>5762</v>
      </c>
      <c r="C1182" s="125">
        <v>703</v>
      </c>
      <c r="D1182" s="125" t="s">
        <v>5763</v>
      </c>
      <c r="E1182" s="125" t="s">
        <v>5270</v>
      </c>
      <c r="F1182" s="125" t="s">
        <v>5271</v>
      </c>
      <c r="G1182" s="125" t="s">
        <v>5270</v>
      </c>
      <c r="H1182" s="125" t="s">
        <v>5764</v>
      </c>
      <c r="I1182" s="125" t="s">
        <v>5764</v>
      </c>
    </row>
    <row r="1183" spans="1:9" x14ac:dyDescent="0.25">
      <c r="A1183" s="125" t="s">
        <v>5772</v>
      </c>
      <c r="B1183" s="125" t="s">
        <v>5762</v>
      </c>
      <c r="C1183" s="125">
        <v>703</v>
      </c>
      <c r="D1183" s="125" t="s">
        <v>5763</v>
      </c>
      <c r="E1183" s="125" t="s">
        <v>5270</v>
      </c>
      <c r="F1183" s="125" t="s">
        <v>5271</v>
      </c>
      <c r="G1183" s="125" t="s">
        <v>5270</v>
      </c>
      <c r="H1183" s="125" t="s">
        <v>5764</v>
      </c>
      <c r="I1183" s="125" t="s">
        <v>5764</v>
      </c>
    </row>
    <row r="1184" spans="1:9" x14ac:dyDescent="0.25">
      <c r="A1184" s="125" t="s">
        <v>2463</v>
      </c>
      <c r="B1184" s="125" t="s">
        <v>5762</v>
      </c>
      <c r="C1184" s="125">
        <v>703</v>
      </c>
      <c r="D1184" s="125" t="s">
        <v>5763</v>
      </c>
      <c r="E1184" s="125" t="s">
        <v>5270</v>
      </c>
      <c r="F1184" s="125" t="s">
        <v>5271</v>
      </c>
      <c r="G1184" s="125" t="s">
        <v>5270</v>
      </c>
      <c r="H1184" s="125" t="s">
        <v>5764</v>
      </c>
      <c r="I1184" s="125" t="s">
        <v>5764</v>
      </c>
    </row>
    <row r="1185" spans="1:9" x14ac:dyDescent="0.25">
      <c r="A1185" s="125" t="s">
        <v>5773</v>
      </c>
      <c r="B1185" s="125" t="s">
        <v>5762</v>
      </c>
      <c r="C1185" s="125">
        <v>703</v>
      </c>
      <c r="D1185" s="125" t="s">
        <v>5763</v>
      </c>
      <c r="E1185" s="125" t="s">
        <v>5270</v>
      </c>
      <c r="F1185" s="125" t="s">
        <v>5271</v>
      </c>
      <c r="G1185" s="125" t="s">
        <v>5270</v>
      </c>
      <c r="H1185" s="125" t="s">
        <v>5764</v>
      </c>
      <c r="I1185" s="125" t="s">
        <v>5764</v>
      </c>
    </row>
    <row r="1186" spans="1:9" x14ac:dyDescent="0.25">
      <c r="A1186" s="125" t="s">
        <v>5774</v>
      </c>
      <c r="B1186" s="125" t="s">
        <v>5762</v>
      </c>
      <c r="C1186" s="125">
        <v>703</v>
      </c>
      <c r="D1186" s="125" t="s">
        <v>5763</v>
      </c>
      <c r="E1186" s="125" t="s">
        <v>5270</v>
      </c>
      <c r="F1186" s="125" t="s">
        <v>5271</v>
      </c>
      <c r="G1186" s="125" t="s">
        <v>5270</v>
      </c>
      <c r="H1186" s="125" t="s">
        <v>5764</v>
      </c>
      <c r="I1186" s="125" t="s">
        <v>5764</v>
      </c>
    </row>
    <row r="1187" spans="1:9" x14ac:dyDescent="0.25">
      <c r="A1187" s="125" t="s">
        <v>5775</v>
      </c>
      <c r="B1187" s="125" t="s">
        <v>5762</v>
      </c>
      <c r="C1187" s="125">
        <v>703</v>
      </c>
      <c r="D1187" s="125" t="s">
        <v>5763</v>
      </c>
      <c r="E1187" s="125" t="s">
        <v>5270</v>
      </c>
      <c r="F1187" s="125" t="s">
        <v>5271</v>
      </c>
      <c r="G1187" s="125" t="s">
        <v>5270</v>
      </c>
      <c r="H1187" s="125" t="s">
        <v>5764</v>
      </c>
      <c r="I1187" s="125" t="s">
        <v>5764</v>
      </c>
    </row>
    <row r="1188" spans="1:9" x14ac:dyDescent="0.25">
      <c r="A1188" s="125" t="s">
        <v>5776</v>
      </c>
      <c r="B1188" s="125" t="s">
        <v>5762</v>
      </c>
      <c r="C1188" s="125">
        <v>703</v>
      </c>
      <c r="D1188" s="125" t="s">
        <v>5763</v>
      </c>
      <c r="E1188" s="125" t="s">
        <v>5270</v>
      </c>
      <c r="F1188" s="125" t="s">
        <v>5271</v>
      </c>
      <c r="G1188" s="125" t="s">
        <v>5270</v>
      </c>
      <c r="H1188" s="125" t="s">
        <v>5764</v>
      </c>
      <c r="I1188" s="125" t="s">
        <v>5764</v>
      </c>
    </row>
    <row r="1189" spans="1:9" x14ac:dyDescent="0.25">
      <c r="A1189" s="125" t="s">
        <v>5777</v>
      </c>
      <c r="B1189" s="125" t="s">
        <v>5762</v>
      </c>
      <c r="C1189" s="125">
        <v>703</v>
      </c>
      <c r="D1189" s="125" t="s">
        <v>5763</v>
      </c>
      <c r="E1189" s="125" t="s">
        <v>5270</v>
      </c>
      <c r="F1189" s="125" t="s">
        <v>5271</v>
      </c>
      <c r="G1189" s="125" t="s">
        <v>5270</v>
      </c>
      <c r="H1189" s="125" t="s">
        <v>5764</v>
      </c>
      <c r="I1189" s="125" t="s">
        <v>5764</v>
      </c>
    </row>
    <row r="1190" spans="1:9" x14ac:dyDescent="0.25">
      <c r="A1190" s="125" t="s">
        <v>2841</v>
      </c>
      <c r="B1190" s="125" t="s">
        <v>5762</v>
      </c>
      <c r="C1190" s="125">
        <v>703</v>
      </c>
      <c r="D1190" s="125" t="s">
        <v>5763</v>
      </c>
      <c r="E1190" s="125" t="s">
        <v>5270</v>
      </c>
      <c r="F1190" s="125" t="s">
        <v>5271</v>
      </c>
      <c r="G1190" s="125" t="s">
        <v>5270</v>
      </c>
      <c r="H1190" s="125" t="s">
        <v>5764</v>
      </c>
      <c r="I1190" s="125" t="s">
        <v>5764</v>
      </c>
    </row>
    <row r="1191" spans="1:9" x14ac:dyDescent="0.25">
      <c r="A1191" s="125" t="s">
        <v>2719</v>
      </c>
      <c r="B1191" s="125" t="s">
        <v>5762</v>
      </c>
      <c r="C1191" s="125">
        <v>703</v>
      </c>
      <c r="D1191" s="125" t="s">
        <v>5763</v>
      </c>
      <c r="E1191" s="125" t="s">
        <v>5270</v>
      </c>
      <c r="F1191" s="125" t="s">
        <v>5271</v>
      </c>
      <c r="G1191" s="125" t="s">
        <v>5270</v>
      </c>
      <c r="H1191" s="125" t="s">
        <v>5764</v>
      </c>
      <c r="I1191" s="125" t="s">
        <v>5764</v>
      </c>
    </row>
    <row r="1192" spans="1:9" x14ac:dyDescent="0.25">
      <c r="A1192" s="125" t="s">
        <v>5778</v>
      </c>
      <c r="B1192" s="125" t="s">
        <v>5762</v>
      </c>
      <c r="C1192" s="125">
        <v>703</v>
      </c>
      <c r="D1192" s="125" t="s">
        <v>5763</v>
      </c>
      <c r="E1192" s="125" t="s">
        <v>5270</v>
      </c>
      <c r="F1192" s="125" t="s">
        <v>5271</v>
      </c>
      <c r="G1192" s="125" t="s">
        <v>5270</v>
      </c>
      <c r="H1192" s="125" t="s">
        <v>5764</v>
      </c>
      <c r="I1192" s="125" t="s">
        <v>5764</v>
      </c>
    </row>
    <row r="1193" spans="1:9" x14ac:dyDescent="0.25">
      <c r="A1193" s="125" t="s">
        <v>5779</v>
      </c>
      <c r="B1193" s="125" t="s">
        <v>5762</v>
      </c>
      <c r="C1193" s="125">
        <v>703</v>
      </c>
      <c r="D1193" s="125" t="s">
        <v>5763</v>
      </c>
      <c r="E1193" s="125" t="s">
        <v>5270</v>
      </c>
      <c r="F1193" s="125" t="s">
        <v>5271</v>
      </c>
      <c r="G1193" s="125" t="s">
        <v>5270</v>
      </c>
      <c r="H1193" s="125" t="s">
        <v>1102</v>
      </c>
      <c r="I1193" s="125" t="s">
        <v>1102</v>
      </c>
    </row>
    <row r="1194" spans="1:9" x14ac:dyDescent="0.25">
      <c r="A1194" s="125" t="s">
        <v>2659</v>
      </c>
      <c r="B1194" s="125" t="s">
        <v>5762</v>
      </c>
      <c r="C1194" s="125">
        <v>703</v>
      </c>
      <c r="D1194" s="125" t="s">
        <v>5763</v>
      </c>
      <c r="E1194" s="125" t="s">
        <v>5270</v>
      </c>
      <c r="F1194" s="125" t="s">
        <v>5271</v>
      </c>
      <c r="G1194" s="125" t="s">
        <v>5270</v>
      </c>
      <c r="H1194" s="125" t="s">
        <v>5764</v>
      </c>
      <c r="I1194" s="125" t="s">
        <v>5764</v>
      </c>
    </row>
    <row r="1195" spans="1:9" x14ac:dyDescent="0.25">
      <c r="A1195" s="125" t="s">
        <v>2392</v>
      </c>
      <c r="B1195" s="125" t="s">
        <v>5268</v>
      </c>
      <c r="C1195" s="125">
        <v>708</v>
      </c>
      <c r="D1195" s="125" t="s">
        <v>5269</v>
      </c>
      <c r="E1195" s="125" t="s">
        <v>5270</v>
      </c>
      <c r="F1195" s="125" t="s">
        <v>5271</v>
      </c>
      <c r="G1195" s="125" t="s">
        <v>5270</v>
      </c>
      <c r="H1195" s="125" t="s">
        <v>5284</v>
      </c>
      <c r="I1195" s="125" t="s">
        <v>5284</v>
      </c>
    </row>
    <row r="1196" spans="1:9" x14ac:dyDescent="0.25">
      <c r="A1196" s="125" t="s">
        <v>3404</v>
      </c>
      <c r="B1196" s="125" t="s">
        <v>5268</v>
      </c>
      <c r="C1196" s="125">
        <v>708</v>
      </c>
      <c r="D1196" s="125" t="s">
        <v>5269</v>
      </c>
      <c r="E1196" s="125" t="s">
        <v>5270</v>
      </c>
      <c r="F1196" s="125" t="s">
        <v>5271</v>
      </c>
      <c r="G1196" s="125" t="s">
        <v>5270</v>
      </c>
      <c r="H1196" s="125" t="s">
        <v>5284</v>
      </c>
      <c r="I1196" s="125" t="s">
        <v>5284</v>
      </c>
    </row>
    <row r="1197" spans="1:9" x14ac:dyDescent="0.25">
      <c r="A1197" s="125" t="s">
        <v>5780</v>
      </c>
      <c r="B1197" s="125" t="s">
        <v>5268</v>
      </c>
      <c r="C1197" s="125">
        <v>708</v>
      </c>
      <c r="D1197" s="125" t="s">
        <v>5269</v>
      </c>
      <c r="E1197" s="125" t="s">
        <v>5270</v>
      </c>
      <c r="F1197" s="125" t="s">
        <v>5271</v>
      </c>
      <c r="G1197" s="125" t="s">
        <v>5270</v>
      </c>
      <c r="H1197" s="125" t="s">
        <v>5284</v>
      </c>
      <c r="I1197" s="125" t="s">
        <v>5284</v>
      </c>
    </row>
    <row r="1198" spans="1:9" x14ac:dyDescent="0.25">
      <c r="A1198" s="125" t="s">
        <v>2646</v>
      </c>
      <c r="B1198" s="125" t="s">
        <v>5268</v>
      </c>
      <c r="C1198" s="125">
        <v>708</v>
      </c>
      <c r="D1198" s="125" t="s">
        <v>5269</v>
      </c>
      <c r="E1198" s="125" t="s">
        <v>5270</v>
      </c>
      <c r="F1198" s="125" t="s">
        <v>5271</v>
      </c>
      <c r="G1198" s="125" t="s">
        <v>5270</v>
      </c>
      <c r="H1198" s="125" t="s">
        <v>5284</v>
      </c>
      <c r="I1198" s="125" t="s">
        <v>5284</v>
      </c>
    </row>
    <row r="1199" spans="1:9" x14ac:dyDescent="0.25">
      <c r="A1199" s="125" t="s">
        <v>5781</v>
      </c>
      <c r="B1199" s="125" t="s">
        <v>5762</v>
      </c>
      <c r="C1199" s="125">
        <v>703</v>
      </c>
      <c r="D1199" s="125" t="s">
        <v>5763</v>
      </c>
      <c r="E1199" s="125" t="s">
        <v>5270</v>
      </c>
      <c r="F1199" s="125" t="s">
        <v>5271</v>
      </c>
      <c r="G1199" s="125" t="s">
        <v>5270</v>
      </c>
      <c r="H1199" s="125" t="s">
        <v>5764</v>
      </c>
      <c r="I1199" s="125" t="s">
        <v>5764</v>
      </c>
    </row>
    <row r="1200" spans="1:9" x14ac:dyDescent="0.25">
      <c r="A1200" s="125" t="s">
        <v>5782</v>
      </c>
      <c r="B1200" s="125" t="s">
        <v>5762</v>
      </c>
      <c r="C1200" s="125">
        <v>703</v>
      </c>
      <c r="D1200" s="125" t="s">
        <v>5763</v>
      </c>
      <c r="E1200" s="125" t="s">
        <v>5270</v>
      </c>
      <c r="F1200" s="125" t="s">
        <v>5271</v>
      </c>
      <c r="G1200" s="125" t="s">
        <v>5270</v>
      </c>
      <c r="H1200" s="125" t="s">
        <v>5764</v>
      </c>
      <c r="I1200" s="125" t="s">
        <v>5764</v>
      </c>
    </row>
    <row r="1201" spans="1:9" x14ac:dyDescent="0.25">
      <c r="A1201" s="125" t="s">
        <v>5783</v>
      </c>
      <c r="B1201" s="125" t="s">
        <v>5762</v>
      </c>
      <c r="C1201" s="125">
        <v>703</v>
      </c>
      <c r="D1201" s="125" t="s">
        <v>5763</v>
      </c>
      <c r="E1201" s="125" t="s">
        <v>5270</v>
      </c>
      <c r="F1201" s="125" t="s">
        <v>5271</v>
      </c>
      <c r="G1201" s="125" t="s">
        <v>5270</v>
      </c>
      <c r="H1201" s="125" t="s">
        <v>1102</v>
      </c>
      <c r="I1201" s="125" t="s">
        <v>1102</v>
      </c>
    </row>
    <row r="1202" spans="1:9" x14ac:dyDescent="0.25">
      <c r="A1202" s="125" t="s">
        <v>5784</v>
      </c>
      <c r="B1202" s="125" t="s">
        <v>5762</v>
      </c>
      <c r="C1202" s="125">
        <v>703</v>
      </c>
      <c r="D1202" s="125" t="s">
        <v>5763</v>
      </c>
      <c r="E1202" s="125" t="s">
        <v>5270</v>
      </c>
      <c r="F1202" s="125" t="s">
        <v>5271</v>
      </c>
      <c r="G1202" s="125" t="s">
        <v>5270</v>
      </c>
      <c r="H1202" s="125" t="s">
        <v>1102</v>
      </c>
      <c r="I1202" s="125" t="s">
        <v>1102</v>
      </c>
    </row>
    <row r="1203" spans="1:9" x14ac:dyDescent="0.25">
      <c r="A1203" s="125" t="s">
        <v>5785</v>
      </c>
      <c r="B1203" s="125" t="s">
        <v>5762</v>
      </c>
      <c r="C1203" s="125">
        <v>703</v>
      </c>
      <c r="D1203" s="125" t="s">
        <v>5763</v>
      </c>
      <c r="E1203" s="125" t="s">
        <v>5270</v>
      </c>
      <c r="F1203" s="125" t="s">
        <v>5271</v>
      </c>
      <c r="G1203" s="125" t="s">
        <v>5270</v>
      </c>
      <c r="H1203" s="125" t="s">
        <v>1102</v>
      </c>
      <c r="I1203" s="125" t="s">
        <v>1102</v>
      </c>
    </row>
    <row r="1204" spans="1:9" x14ac:dyDescent="0.25">
      <c r="A1204" s="125" t="s">
        <v>5786</v>
      </c>
      <c r="B1204" s="125" t="s">
        <v>5762</v>
      </c>
      <c r="C1204" s="125">
        <v>703</v>
      </c>
      <c r="D1204" s="125" t="s">
        <v>5763</v>
      </c>
      <c r="E1204" s="125" t="s">
        <v>5270</v>
      </c>
      <c r="F1204" s="125" t="s">
        <v>5271</v>
      </c>
      <c r="G1204" s="125" t="s">
        <v>5270</v>
      </c>
      <c r="H1204" s="125" t="s">
        <v>1102</v>
      </c>
      <c r="I1204" s="125" t="s">
        <v>1102</v>
      </c>
    </row>
    <row r="1205" spans="1:9" x14ac:dyDescent="0.25">
      <c r="A1205" s="125" t="s">
        <v>5787</v>
      </c>
      <c r="B1205" s="125" t="s">
        <v>5762</v>
      </c>
      <c r="C1205" s="125">
        <v>703</v>
      </c>
      <c r="D1205" s="125" t="s">
        <v>5763</v>
      </c>
      <c r="E1205" s="125" t="s">
        <v>5270</v>
      </c>
      <c r="F1205" s="125" t="s">
        <v>5271</v>
      </c>
      <c r="G1205" s="125" t="s">
        <v>5270</v>
      </c>
      <c r="H1205" s="125" t="s">
        <v>5764</v>
      </c>
      <c r="I1205" s="125" t="s">
        <v>5764</v>
      </c>
    </row>
    <row r="1206" spans="1:9" x14ac:dyDescent="0.25">
      <c r="A1206" s="125" t="s">
        <v>5788</v>
      </c>
      <c r="B1206" s="125" t="s">
        <v>5762</v>
      </c>
      <c r="C1206" s="125">
        <v>703</v>
      </c>
      <c r="D1206" s="125" t="s">
        <v>5763</v>
      </c>
      <c r="E1206" s="125" t="s">
        <v>5270</v>
      </c>
      <c r="F1206" s="125" t="s">
        <v>5271</v>
      </c>
      <c r="G1206" s="125" t="s">
        <v>5270</v>
      </c>
      <c r="H1206" s="125" t="s">
        <v>1102</v>
      </c>
      <c r="I1206" s="125" t="s">
        <v>1102</v>
      </c>
    </row>
    <row r="1207" spans="1:9" x14ac:dyDescent="0.25">
      <c r="A1207" s="125" t="s">
        <v>5789</v>
      </c>
      <c r="B1207" s="125" t="s">
        <v>5762</v>
      </c>
      <c r="C1207" s="125">
        <v>703</v>
      </c>
      <c r="D1207" s="125" t="s">
        <v>5763</v>
      </c>
      <c r="E1207" s="125" t="s">
        <v>5270</v>
      </c>
      <c r="F1207" s="125" t="s">
        <v>5271</v>
      </c>
      <c r="G1207" s="125" t="s">
        <v>5270</v>
      </c>
      <c r="H1207" s="125" t="s">
        <v>5764</v>
      </c>
      <c r="I1207" s="125" t="s">
        <v>5764</v>
      </c>
    </row>
    <row r="1208" spans="1:9" x14ac:dyDescent="0.25">
      <c r="A1208" s="125" t="s">
        <v>5790</v>
      </c>
      <c r="B1208" s="125" t="s">
        <v>5762</v>
      </c>
      <c r="C1208" s="125">
        <v>703</v>
      </c>
      <c r="D1208" s="125" t="s">
        <v>5763</v>
      </c>
      <c r="E1208" s="125" t="s">
        <v>5270</v>
      </c>
      <c r="F1208" s="125" t="s">
        <v>5271</v>
      </c>
      <c r="G1208" s="125" t="s">
        <v>5270</v>
      </c>
      <c r="H1208" s="125" t="s">
        <v>1102</v>
      </c>
      <c r="I1208" s="125" t="s">
        <v>1102</v>
      </c>
    </row>
    <row r="1209" spans="1:9" x14ac:dyDescent="0.25">
      <c r="A1209" s="125" t="s">
        <v>5791</v>
      </c>
      <c r="B1209" s="125" t="s">
        <v>5762</v>
      </c>
      <c r="C1209" s="125">
        <v>703</v>
      </c>
      <c r="D1209" s="125" t="s">
        <v>5763</v>
      </c>
      <c r="E1209" s="125" t="s">
        <v>5270</v>
      </c>
      <c r="F1209" s="125" t="s">
        <v>5271</v>
      </c>
      <c r="G1209" s="125" t="s">
        <v>5270</v>
      </c>
      <c r="H1209" s="125" t="s">
        <v>5764</v>
      </c>
      <c r="I1209" s="125" t="s">
        <v>5764</v>
      </c>
    </row>
    <row r="1210" spans="1:9" x14ac:dyDescent="0.25">
      <c r="A1210" s="125" t="s">
        <v>5792</v>
      </c>
      <c r="B1210" s="125" t="s">
        <v>5762</v>
      </c>
      <c r="C1210" s="125">
        <v>703</v>
      </c>
      <c r="D1210" s="125" t="s">
        <v>5763</v>
      </c>
      <c r="E1210" s="125" t="s">
        <v>5270</v>
      </c>
      <c r="F1210" s="125" t="s">
        <v>5271</v>
      </c>
      <c r="G1210" s="125" t="s">
        <v>5270</v>
      </c>
      <c r="H1210" s="125" t="s">
        <v>5764</v>
      </c>
      <c r="I1210" s="125" t="s">
        <v>5764</v>
      </c>
    </row>
    <row r="1211" spans="1:9" x14ac:dyDescent="0.25">
      <c r="A1211" s="125" t="s">
        <v>1352</v>
      </c>
      <c r="B1211" s="125" t="s">
        <v>5762</v>
      </c>
      <c r="C1211" s="125">
        <v>703</v>
      </c>
      <c r="D1211" s="125" t="s">
        <v>5763</v>
      </c>
      <c r="E1211" s="125" t="s">
        <v>5270</v>
      </c>
      <c r="F1211" s="125" t="s">
        <v>5271</v>
      </c>
      <c r="G1211" s="125" t="s">
        <v>5270</v>
      </c>
      <c r="H1211" s="125" t="s">
        <v>5764</v>
      </c>
      <c r="I1211" s="125" t="s">
        <v>5764</v>
      </c>
    </row>
    <row r="1212" spans="1:9" x14ac:dyDescent="0.25">
      <c r="A1212" s="125" t="s">
        <v>5793</v>
      </c>
      <c r="B1212" s="125" t="s">
        <v>5762</v>
      </c>
      <c r="C1212" s="125">
        <v>703</v>
      </c>
      <c r="D1212" s="125" t="s">
        <v>5763</v>
      </c>
      <c r="E1212" s="125" t="s">
        <v>5270</v>
      </c>
      <c r="F1212" s="125" t="s">
        <v>5271</v>
      </c>
      <c r="G1212" s="125" t="s">
        <v>5270</v>
      </c>
      <c r="H1212" s="125" t="s">
        <v>5764</v>
      </c>
      <c r="I1212" s="125" t="s">
        <v>5764</v>
      </c>
    </row>
    <row r="1213" spans="1:9" x14ac:dyDescent="0.25">
      <c r="A1213" s="125" t="s">
        <v>5794</v>
      </c>
      <c r="B1213" s="125" t="s">
        <v>5762</v>
      </c>
      <c r="C1213" s="125">
        <v>703</v>
      </c>
      <c r="D1213" s="125" t="s">
        <v>5763</v>
      </c>
      <c r="E1213" s="125" t="s">
        <v>5270</v>
      </c>
      <c r="F1213" s="125" t="s">
        <v>5271</v>
      </c>
      <c r="G1213" s="125" t="s">
        <v>5270</v>
      </c>
      <c r="H1213" s="125" t="s">
        <v>1102</v>
      </c>
      <c r="I1213" s="125" t="s">
        <v>1102</v>
      </c>
    </row>
    <row r="1214" spans="1:9" x14ac:dyDescent="0.25">
      <c r="A1214" s="125" t="s">
        <v>5795</v>
      </c>
      <c r="B1214" s="125" t="s">
        <v>5762</v>
      </c>
      <c r="C1214" s="125">
        <v>703</v>
      </c>
      <c r="D1214" s="125" t="s">
        <v>5763</v>
      </c>
      <c r="E1214" s="125" t="s">
        <v>5270</v>
      </c>
      <c r="F1214" s="125" t="s">
        <v>5271</v>
      </c>
      <c r="G1214" s="125" t="s">
        <v>5270</v>
      </c>
      <c r="H1214" s="125" t="s">
        <v>5764</v>
      </c>
      <c r="I1214" s="125" t="s">
        <v>5764</v>
      </c>
    </row>
    <row r="1215" spans="1:9" x14ac:dyDescent="0.25">
      <c r="A1215" s="125" t="s">
        <v>5796</v>
      </c>
      <c r="B1215" s="125" t="s">
        <v>5762</v>
      </c>
      <c r="C1215" s="125">
        <v>703</v>
      </c>
      <c r="D1215" s="125" t="s">
        <v>5763</v>
      </c>
      <c r="E1215" s="125" t="s">
        <v>5270</v>
      </c>
      <c r="F1215" s="125" t="s">
        <v>5271</v>
      </c>
      <c r="G1215" s="125" t="s">
        <v>5270</v>
      </c>
      <c r="H1215" s="125" t="s">
        <v>1102</v>
      </c>
      <c r="I1215" s="125" t="s">
        <v>1102</v>
      </c>
    </row>
    <row r="1216" spans="1:9" x14ac:dyDescent="0.25">
      <c r="A1216" s="125" t="s">
        <v>5797</v>
      </c>
      <c r="B1216" s="125" t="s">
        <v>5762</v>
      </c>
      <c r="C1216" s="125">
        <v>703</v>
      </c>
      <c r="D1216" s="125" t="s">
        <v>5763</v>
      </c>
      <c r="E1216" s="125" t="s">
        <v>5270</v>
      </c>
      <c r="F1216" s="125" t="s">
        <v>5271</v>
      </c>
      <c r="G1216" s="125" t="s">
        <v>5270</v>
      </c>
      <c r="H1216" s="125" t="s">
        <v>1102</v>
      </c>
      <c r="I1216" s="125" t="s">
        <v>1102</v>
      </c>
    </row>
    <row r="1217" spans="1:9" x14ac:dyDescent="0.25">
      <c r="A1217" s="125" t="s">
        <v>5798</v>
      </c>
      <c r="B1217" s="125" t="s">
        <v>5762</v>
      </c>
      <c r="C1217" s="125">
        <v>703</v>
      </c>
      <c r="D1217" s="125" t="s">
        <v>5763</v>
      </c>
      <c r="E1217" s="125" t="s">
        <v>5270</v>
      </c>
      <c r="F1217" s="125" t="s">
        <v>5271</v>
      </c>
      <c r="G1217" s="125" t="s">
        <v>5270</v>
      </c>
      <c r="H1217" s="125" t="s">
        <v>5764</v>
      </c>
      <c r="I1217" s="125" t="s">
        <v>5764</v>
      </c>
    </row>
    <row r="1218" spans="1:9" x14ac:dyDescent="0.25">
      <c r="A1218" s="125" t="s">
        <v>5799</v>
      </c>
      <c r="B1218" s="125" t="s">
        <v>5762</v>
      </c>
      <c r="C1218" s="125">
        <v>703</v>
      </c>
      <c r="D1218" s="125" t="s">
        <v>5763</v>
      </c>
      <c r="E1218" s="125" t="s">
        <v>5270</v>
      </c>
      <c r="F1218" s="125" t="s">
        <v>5271</v>
      </c>
      <c r="G1218" s="125" t="s">
        <v>5270</v>
      </c>
      <c r="H1218" s="125" t="s">
        <v>5764</v>
      </c>
      <c r="I1218" s="125" t="s">
        <v>5764</v>
      </c>
    </row>
    <row r="1219" spans="1:9" x14ac:dyDescent="0.25">
      <c r="A1219" s="125" t="s">
        <v>5800</v>
      </c>
      <c r="B1219" s="125" t="s">
        <v>5762</v>
      </c>
      <c r="C1219" s="125">
        <v>703</v>
      </c>
      <c r="D1219" s="125" t="s">
        <v>5763</v>
      </c>
      <c r="E1219" s="125" t="s">
        <v>5270</v>
      </c>
      <c r="F1219" s="125" t="s">
        <v>5271</v>
      </c>
      <c r="G1219" s="125" t="s">
        <v>5270</v>
      </c>
      <c r="H1219" s="125" t="s">
        <v>1102</v>
      </c>
      <c r="I1219" s="125" t="s">
        <v>1102</v>
      </c>
    </row>
    <row r="1220" spans="1:9" x14ac:dyDescent="0.25">
      <c r="A1220" s="125" t="s">
        <v>5801</v>
      </c>
      <c r="B1220" s="125" t="s">
        <v>5762</v>
      </c>
      <c r="C1220" s="125">
        <v>703</v>
      </c>
      <c r="D1220" s="125" t="s">
        <v>5763</v>
      </c>
      <c r="E1220" s="125" t="s">
        <v>5270</v>
      </c>
      <c r="F1220" s="125" t="s">
        <v>5271</v>
      </c>
      <c r="G1220" s="125" t="s">
        <v>5270</v>
      </c>
      <c r="H1220" s="125" t="s">
        <v>1102</v>
      </c>
      <c r="I1220" s="125" t="s">
        <v>1102</v>
      </c>
    </row>
    <row r="1221" spans="1:9" x14ac:dyDescent="0.25">
      <c r="A1221" s="125" t="s">
        <v>5802</v>
      </c>
      <c r="B1221" s="125" t="s">
        <v>5762</v>
      </c>
      <c r="C1221" s="125">
        <v>703</v>
      </c>
      <c r="D1221" s="125" t="s">
        <v>5763</v>
      </c>
      <c r="E1221" s="125" t="s">
        <v>5270</v>
      </c>
      <c r="F1221" s="125" t="s">
        <v>5271</v>
      </c>
      <c r="G1221" s="125" t="s">
        <v>5270</v>
      </c>
      <c r="H1221" s="125" t="s">
        <v>1102</v>
      </c>
      <c r="I1221" s="125" t="s">
        <v>1102</v>
      </c>
    </row>
    <row r="1222" spans="1:9" x14ac:dyDescent="0.25">
      <c r="A1222" s="125" t="s">
        <v>5803</v>
      </c>
      <c r="B1222" s="125" t="s">
        <v>5382</v>
      </c>
      <c r="C1222" s="125" t="s">
        <v>5383</v>
      </c>
      <c r="D1222" s="125"/>
      <c r="E1222" s="125" t="s">
        <v>5384</v>
      </c>
      <c r="F1222" s="125" t="s">
        <v>5384</v>
      </c>
      <c r="G1222" s="125" t="s">
        <v>5384</v>
      </c>
      <c r="H1222" s="125" t="s">
        <v>371</v>
      </c>
      <c r="I1222" s="125" t="s">
        <v>371</v>
      </c>
    </row>
    <row r="1223" spans="1:9" x14ac:dyDescent="0.25">
      <c r="A1223" s="125" t="s">
        <v>5804</v>
      </c>
      <c r="B1223" s="125" t="s">
        <v>5382</v>
      </c>
      <c r="C1223" s="125" t="s">
        <v>5383</v>
      </c>
      <c r="D1223" s="125"/>
      <c r="E1223" s="125" t="s">
        <v>5384</v>
      </c>
      <c r="F1223" s="125" t="s">
        <v>5384</v>
      </c>
      <c r="G1223" s="125" t="s">
        <v>5384</v>
      </c>
      <c r="H1223" s="125" t="s">
        <v>371</v>
      </c>
      <c r="I1223" s="125" t="s">
        <v>371</v>
      </c>
    </row>
    <row r="1224" spans="1:9" x14ac:dyDescent="0.25">
      <c r="A1224" s="125" t="s">
        <v>5805</v>
      </c>
      <c r="B1224" s="125" t="s">
        <v>5382</v>
      </c>
      <c r="C1224" s="125" t="s">
        <v>5383</v>
      </c>
      <c r="D1224" s="125"/>
      <c r="E1224" s="125" t="s">
        <v>5384</v>
      </c>
      <c r="F1224" s="125" t="s">
        <v>5384</v>
      </c>
      <c r="G1224" s="125" t="s">
        <v>5384</v>
      </c>
      <c r="H1224" s="125" t="s">
        <v>371</v>
      </c>
      <c r="I1224" s="125" t="s">
        <v>371</v>
      </c>
    </row>
    <row r="1225" spans="1:9" x14ac:dyDescent="0.25">
      <c r="A1225" s="125" t="s">
        <v>5806</v>
      </c>
      <c r="B1225" s="125" t="s">
        <v>5382</v>
      </c>
      <c r="C1225" s="125" t="s">
        <v>5383</v>
      </c>
      <c r="D1225" s="125"/>
      <c r="E1225" s="125" t="s">
        <v>5384</v>
      </c>
      <c r="F1225" s="125" t="s">
        <v>5384</v>
      </c>
      <c r="G1225" s="125" t="s">
        <v>5384</v>
      </c>
      <c r="H1225" s="125" t="s">
        <v>371</v>
      </c>
      <c r="I1225" s="125" t="s">
        <v>371</v>
      </c>
    </row>
    <row r="1226" spans="1:9" x14ac:dyDescent="0.25">
      <c r="A1226" s="125" t="s">
        <v>1137</v>
      </c>
      <c r="B1226" s="125" t="s">
        <v>5549</v>
      </c>
      <c r="C1226" s="125">
        <v>745</v>
      </c>
      <c r="D1226" s="125" t="s">
        <v>5550</v>
      </c>
      <c r="E1226" s="125" t="s">
        <v>5465</v>
      </c>
      <c r="F1226" s="125" t="s">
        <v>5466</v>
      </c>
      <c r="G1226" s="125" t="s">
        <v>5270</v>
      </c>
      <c r="H1226" s="125" t="s">
        <v>5807</v>
      </c>
      <c r="I1226" s="125" t="s">
        <v>5808</v>
      </c>
    </row>
    <row r="1227" spans="1:9" x14ac:dyDescent="0.25">
      <c r="A1227" s="125" t="s">
        <v>5809</v>
      </c>
      <c r="B1227" s="125" t="s">
        <v>5549</v>
      </c>
      <c r="C1227" s="125">
        <v>745</v>
      </c>
      <c r="D1227" s="125" t="s">
        <v>5550</v>
      </c>
      <c r="E1227" s="125" t="s">
        <v>5465</v>
      </c>
      <c r="F1227" s="125" t="s">
        <v>5466</v>
      </c>
      <c r="G1227" s="125" t="s">
        <v>5270</v>
      </c>
      <c r="H1227" s="125" t="s">
        <v>5810</v>
      </c>
      <c r="I1227" s="125" t="s">
        <v>5808</v>
      </c>
    </row>
    <row r="1228" spans="1:9" x14ac:dyDescent="0.25">
      <c r="A1228" s="125" t="s">
        <v>1494</v>
      </c>
      <c r="B1228" s="125" t="s">
        <v>5549</v>
      </c>
      <c r="C1228" s="125">
        <v>745</v>
      </c>
      <c r="D1228" s="125" t="s">
        <v>5550</v>
      </c>
      <c r="E1228" s="125" t="s">
        <v>5465</v>
      </c>
      <c r="F1228" s="125" t="s">
        <v>5466</v>
      </c>
      <c r="G1228" s="125" t="s">
        <v>5270</v>
      </c>
      <c r="H1228" s="125" t="s">
        <v>5811</v>
      </c>
      <c r="I1228" s="125" t="s">
        <v>5808</v>
      </c>
    </row>
    <row r="1229" spans="1:9" x14ac:dyDescent="0.25">
      <c r="A1229" s="125" t="s">
        <v>1492</v>
      </c>
      <c r="B1229" s="125" t="s">
        <v>5549</v>
      </c>
      <c r="C1229" s="125">
        <v>745</v>
      </c>
      <c r="D1229" s="125" t="s">
        <v>5550</v>
      </c>
      <c r="E1229" s="125" t="s">
        <v>5465</v>
      </c>
      <c r="F1229" s="125" t="s">
        <v>5466</v>
      </c>
      <c r="G1229" s="125" t="s">
        <v>5270</v>
      </c>
      <c r="H1229" s="125" t="s">
        <v>5811</v>
      </c>
      <c r="I1229" s="125" t="s">
        <v>5808</v>
      </c>
    </row>
    <row r="1230" spans="1:9" x14ac:dyDescent="0.25">
      <c r="A1230" s="125" t="s">
        <v>3508</v>
      </c>
      <c r="B1230" s="125" t="s">
        <v>5549</v>
      </c>
      <c r="C1230" s="125">
        <v>745</v>
      </c>
      <c r="D1230" s="125" t="s">
        <v>5550</v>
      </c>
      <c r="E1230" s="125" t="s">
        <v>5465</v>
      </c>
      <c r="F1230" s="125" t="s">
        <v>5466</v>
      </c>
      <c r="G1230" s="125" t="s">
        <v>5270</v>
      </c>
      <c r="H1230" s="125" t="s">
        <v>5811</v>
      </c>
      <c r="I1230" s="125" t="s">
        <v>5808</v>
      </c>
    </row>
    <row r="1231" spans="1:9" x14ac:dyDescent="0.25">
      <c r="A1231" s="125" t="s">
        <v>5812</v>
      </c>
      <c r="B1231" s="125" t="s">
        <v>5648</v>
      </c>
      <c r="C1231" s="125">
        <v>714</v>
      </c>
      <c r="D1231" s="125" t="s">
        <v>5649</v>
      </c>
      <c r="E1231" s="125" t="s">
        <v>5465</v>
      </c>
      <c r="F1231" s="125" t="s">
        <v>5466</v>
      </c>
      <c r="G1231" s="125" t="s">
        <v>5270</v>
      </c>
      <c r="H1231" s="125" t="s">
        <v>5811</v>
      </c>
      <c r="I1231" s="125" t="s">
        <v>5808</v>
      </c>
    </row>
    <row r="1232" spans="1:9" x14ac:dyDescent="0.25">
      <c r="A1232" s="125" t="s">
        <v>5813</v>
      </c>
      <c r="B1232" s="125" t="s">
        <v>5549</v>
      </c>
      <c r="C1232" s="125">
        <v>745</v>
      </c>
      <c r="D1232" s="125" t="s">
        <v>5550</v>
      </c>
      <c r="E1232" s="125" t="s">
        <v>5465</v>
      </c>
      <c r="F1232" s="125" t="s">
        <v>5466</v>
      </c>
      <c r="G1232" s="125" t="s">
        <v>5270</v>
      </c>
      <c r="H1232" s="125" t="s">
        <v>1102</v>
      </c>
      <c r="I1232" s="125" t="s">
        <v>1102</v>
      </c>
    </row>
    <row r="1233" spans="1:9" x14ac:dyDescent="0.25">
      <c r="A1233" s="125" t="s">
        <v>5814</v>
      </c>
      <c r="B1233" s="125" t="s">
        <v>5549</v>
      </c>
      <c r="C1233" s="125">
        <v>745</v>
      </c>
      <c r="D1233" s="125" t="s">
        <v>5550</v>
      </c>
      <c r="E1233" s="125" t="s">
        <v>5465</v>
      </c>
      <c r="F1233" s="125" t="s">
        <v>5466</v>
      </c>
      <c r="G1233" s="125" t="s">
        <v>5270</v>
      </c>
      <c r="H1233" s="125" t="s">
        <v>1102</v>
      </c>
      <c r="I1233" s="125" t="s">
        <v>1102</v>
      </c>
    </row>
    <row r="1234" spans="1:9" x14ac:dyDescent="0.25">
      <c r="A1234" s="125" t="s">
        <v>5815</v>
      </c>
      <c r="B1234" s="125" t="s">
        <v>5549</v>
      </c>
      <c r="C1234" s="125">
        <v>745</v>
      </c>
      <c r="D1234" s="125" t="s">
        <v>5550</v>
      </c>
      <c r="E1234" s="125" t="s">
        <v>5465</v>
      </c>
      <c r="F1234" s="125" t="s">
        <v>5466</v>
      </c>
      <c r="G1234" s="125" t="s">
        <v>5270</v>
      </c>
      <c r="H1234" s="125" t="s">
        <v>5807</v>
      </c>
      <c r="I1234" s="125" t="s">
        <v>5808</v>
      </c>
    </row>
    <row r="1235" spans="1:9" x14ac:dyDescent="0.25">
      <c r="A1235" s="125" t="s">
        <v>3541</v>
      </c>
      <c r="B1235" s="125" t="s">
        <v>5549</v>
      </c>
      <c r="C1235" s="125">
        <v>745</v>
      </c>
      <c r="D1235" s="125" t="s">
        <v>5550</v>
      </c>
      <c r="E1235" s="125" t="s">
        <v>5465</v>
      </c>
      <c r="F1235" s="125" t="s">
        <v>5466</v>
      </c>
      <c r="G1235" s="125" t="s">
        <v>5270</v>
      </c>
      <c r="H1235" s="125" t="s">
        <v>5807</v>
      </c>
      <c r="I1235" s="125" t="s">
        <v>5808</v>
      </c>
    </row>
    <row r="1236" spans="1:9" x14ac:dyDescent="0.25">
      <c r="A1236" s="125" t="s">
        <v>5816</v>
      </c>
      <c r="B1236" s="125" t="s">
        <v>5549</v>
      </c>
      <c r="C1236" s="125">
        <v>745</v>
      </c>
      <c r="D1236" s="125" t="s">
        <v>5550</v>
      </c>
      <c r="E1236" s="125" t="s">
        <v>5465</v>
      </c>
      <c r="F1236" s="125" t="s">
        <v>5466</v>
      </c>
      <c r="G1236" s="125" t="s">
        <v>5270</v>
      </c>
      <c r="H1236" s="125" t="s">
        <v>5810</v>
      </c>
      <c r="I1236" s="125" t="s">
        <v>5808</v>
      </c>
    </row>
    <row r="1237" spans="1:9" x14ac:dyDescent="0.25">
      <c r="A1237" s="125" t="s">
        <v>5817</v>
      </c>
      <c r="B1237" s="125" t="s">
        <v>5549</v>
      </c>
      <c r="C1237" s="125">
        <v>745</v>
      </c>
      <c r="D1237" s="125" t="s">
        <v>5550</v>
      </c>
      <c r="E1237" s="125" t="s">
        <v>5465</v>
      </c>
      <c r="F1237" s="125" t="s">
        <v>5466</v>
      </c>
      <c r="G1237" s="125" t="s">
        <v>5270</v>
      </c>
      <c r="H1237" s="125" t="s">
        <v>5807</v>
      </c>
      <c r="I1237" s="125" t="s">
        <v>5808</v>
      </c>
    </row>
    <row r="1238" spans="1:9" x14ac:dyDescent="0.25">
      <c r="A1238" s="125" t="s">
        <v>5818</v>
      </c>
      <c r="B1238" s="125" t="s">
        <v>5549</v>
      </c>
      <c r="C1238" s="125">
        <v>745</v>
      </c>
      <c r="D1238" s="125" t="s">
        <v>5550</v>
      </c>
      <c r="E1238" s="125" t="s">
        <v>5465</v>
      </c>
      <c r="F1238" s="125" t="s">
        <v>5466</v>
      </c>
      <c r="G1238" s="125" t="s">
        <v>5270</v>
      </c>
      <c r="H1238" s="125" t="s">
        <v>5811</v>
      </c>
      <c r="I1238" s="125" t="s">
        <v>5808</v>
      </c>
    </row>
    <row r="1239" spans="1:9" x14ac:dyDescent="0.25">
      <c r="A1239" s="125" t="s">
        <v>5819</v>
      </c>
      <c r="B1239" s="125" t="s">
        <v>5549</v>
      </c>
      <c r="C1239" s="125">
        <v>745</v>
      </c>
      <c r="D1239" s="125" t="s">
        <v>5550</v>
      </c>
      <c r="E1239" s="125" t="s">
        <v>5465</v>
      </c>
      <c r="F1239" s="125" t="s">
        <v>5466</v>
      </c>
      <c r="G1239" s="125" t="s">
        <v>5270</v>
      </c>
      <c r="H1239" s="125" t="s">
        <v>5811</v>
      </c>
      <c r="I1239" s="125" t="s">
        <v>5808</v>
      </c>
    </row>
    <row r="1240" spans="1:9" x14ac:dyDescent="0.25">
      <c r="A1240" s="125" t="s">
        <v>2643</v>
      </c>
      <c r="B1240" s="125" t="s">
        <v>5549</v>
      </c>
      <c r="C1240" s="125">
        <v>745</v>
      </c>
      <c r="D1240" s="125" t="s">
        <v>5550</v>
      </c>
      <c r="E1240" s="125" t="s">
        <v>5465</v>
      </c>
      <c r="F1240" s="125" t="s">
        <v>5466</v>
      </c>
      <c r="G1240" s="125" t="s">
        <v>5270</v>
      </c>
      <c r="H1240" s="125" t="s">
        <v>5811</v>
      </c>
      <c r="I1240" s="125" t="s">
        <v>5808</v>
      </c>
    </row>
    <row r="1241" spans="1:9" x14ac:dyDescent="0.25">
      <c r="A1241" s="125" t="s">
        <v>5820</v>
      </c>
      <c r="B1241" s="125" t="s">
        <v>5549</v>
      </c>
      <c r="C1241" s="125">
        <v>745</v>
      </c>
      <c r="D1241" s="125" t="s">
        <v>5550</v>
      </c>
      <c r="E1241" s="125" t="s">
        <v>5465</v>
      </c>
      <c r="F1241" s="125" t="s">
        <v>5466</v>
      </c>
      <c r="G1241" s="125" t="s">
        <v>5270</v>
      </c>
      <c r="H1241" s="125" t="s">
        <v>1102</v>
      </c>
      <c r="I1241" s="125" t="s">
        <v>1102</v>
      </c>
    </row>
    <row r="1242" spans="1:9" x14ac:dyDescent="0.25">
      <c r="A1242" s="125" t="s">
        <v>5821</v>
      </c>
      <c r="B1242" s="125" t="s">
        <v>5648</v>
      </c>
      <c r="C1242" s="125">
        <v>714</v>
      </c>
      <c r="D1242" s="125" t="s">
        <v>5649</v>
      </c>
      <c r="E1242" s="125" t="s">
        <v>5465</v>
      </c>
      <c r="F1242" s="125" t="s">
        <v>5466</v>
      </c>
      <c r="G1242" s="125" t="s">
        <v>5270</v>
      </c>
      <c r="H1242" s="125" t="s">
        <v>5811</v>
      </c>
      <c r="I1242" s="125" t="s">
        <v>5808</v>
      </c>
    </row>
    <row r="1243" spans="1:9" x14ac:dyDescent="0.25">
      <c r="A1243" s="125" t="s">
        <v>5822</v>
      </c>
      <c r="B1243" s="125" t="s">
        <v>5648</v>
      </c>
      <c r="C1243" s="125">
        <v>714</v>
      </c>
      <c r="D1243" s="125" t="s">
        <v>5649</v>
      </c>
      <c r="E1243" s="125" t="s">
        <v>5465</v>
      </c>
      <c r="F1243" s="125" t="s">
        <v>5466</v>
      </c>
      <c r="G1243" s="125" t="s">
        <v>5270</v>
      </c>
      <c r="H1243" s="125" t="s">
        <v>1102</v>
      </c>
      <c r="I1243" s="125" t="s">
        <v>1102</v>
      </c>
    </row>
    <row r="1244" spans="1:9" x14ac:dyDescent="0.25">
      <c r="A1244" s="125" t="s">
        <v>5823</v>
      </c>
      <c r="B1244" s="125" t="s">
        <v>5549</v>
      </c>
      <c r="C1244" s="125">
        <v>745</v>
      </c>
      <c r="D1244" s="125" t="s">
        <v>5550</v>
      </c>
      <c r="E1244" s="125" t="s">
        <v>5465</v>
      </c>
      <c r="F1244" s="125" t="s">
        <v>5466</v>
      </c>
      <c r="G1244" s="125" t="s">
        <v>5270</v>
      </c>
      <c r="H1244" s="125" t="s">
        <v>5810</v>
      </c>
      <c r="I1244" s="125" t="s">
        <v>5808</v>
      </c>
    </row>
    <row r="1245" spans="1:9" x14ac:dyDescent="0.25">
      <c r="A1245" s="125" t="s">
        <v>5824</v>
      </c>
      <c r="B1245" s="125" t="s">
        <v>5549</v>
      </c>
      <c r="C1245" s="125">
        <v>745</v>
      </c>
      <c r="D1245" s="125" t="s">
        <v>5550</v>
      </c>
      <c r="E1245" s="125" t="s">
        <v>5465</v>
      </c>
      <c r="F1245" s="125" t="s">
        <v>5466</v>
      </c>
      <c r="G1245" s="125" t="s">
        <v>5270</v>
      </c>
      <c r="H1245" s="125" t="s">
        <v>5811</v>
      </c>
      <c r="I1245" s="125" t="s">
        <v>5808</v>
      </c>
    </row>
    <row r="1246" spans="1:9" x14ac:dyDescent="0.25">
      <c r="A1246" s="125" t="s">
        <v>5825</v>
      </c>
      <c r="B1246" s="125" t="s">
        <v>5648</v>
      </c>
      <c r="C1246" s="125">
        <v>714</v>
      </c>
      <c r="D1246" s="125" t="s">
        <v>5649</v>
      </c>
      <c r="E1246" s="125" t="s">
        <v>5465</v>
      </c>
      <c r="F1246" s="125" t="s">
        <v>5466</v>
      </c>
      <c r="G1246" s="125" t="s">
        <v>5270</v>
      </c>
      <c r="H1246" s="125" t="s">
        <v>5811</v>
      </c>
      <c r="I1246" s="125" t="s">
        <v>5808</v>
      </c>
    </row>
    <row r="1247" spans="1:9" x14ac:dyDescent="0.25">
      <c r="A1247" s="125" t="s">
        <v>5826</v>
      </c>
      <c r="B1247" s="125" t="s">
        <v>5648</v>
      </c>
      <c r="C1247" s="125">
        <v>714</v>
      </c>
      <c r="D1247" s="125" t="s">
        <v>5649</v>
      </c>
      <c r="E1247" s="125" t="s">
        <v>5465</v>
      </c>
      <c r="F1247" s="125" t="s">
        <v>5466</v>
      </c>
      <c r="G1247" s="125" t="s">
        <v>5270</v>
      </c>
      <c r="H1247" s="125" t="s">
        <v>5811</v>
      </c>
      <c r="I1247" s="125" t="s">
        <v>5808</v>
      </c>
    </row>
    <row r="1248" spans="1:9" x14ac:dyDescent="0.25">
      <c r="A1248" s="125" t="s">
        <v>1493</v>
      </c>
      <c r="B1248" s="125" t="s">
        <v>5549</v>
      </c>
      <c r="C1248" s="125">
        <v>745</v>
      </c>
      <c r="D1248" s="125" t="s">
        <v>5550</v>
      </c>
      <c r="E1248" s="125" t="s">
        <v>5465</v>
      </c>
      <c r="F1248" s="125" t="s">
        <v>5466</v>
      </c>
      <c r="G1248" s="125" t="s">
        <v>5270</v>
      </c>
      <c r="H1248" s="125" t="s">
        <v>5807</v>
      </c>
      <c r="I1248" s="125" t="s">
        <v>5808</v>
      </c>
    </row>
    <row r="1249" spans="1:9" x14ac:dyDescent="0.25">
      <c r="A1249" s="125" t="s">
        <v>2896</v>
      </c>
      <c r="B1249" s="125" t="s">
        <v>5648</v>
      </c>
      <c r="C1249" s="125">
        <v>714</v>
      </c>
      <c r="D1249" s="125" t="s">
        <v>5649</v>
      </c>
      <c r="E1249" s="125" t="s">
        <v>5465</v>
      </c>
      <c r="F1249" s="125" t="s">
        <v>5466</v>
      </c>
      <c r="G1249" s="125" t="s">
        <v>5270</v>
      </c>
      <c r="H1249" s="125" t="s">
        <v>5811</v>
      </c>
      <c r="I1249" s="125" t="s">
        <v>5808</v>
      </c>
    </row>
    <row r="1250" spans="1:9" x14ac:dyDescent="0.25">
      <c r="A1250" s="125" t="s">
        <v>1648</v>
      </c>
      <c r="B1250" s="125" t="s">
        <v>5549</v>
      </c>
      <c r="C1250" s="125">
        <v>745</v>
      </c>
      <c r="D1250" s="125" t="s">
        <v>5550</v>
      </c>
      <c r="E1250" s="125" t="s">
        <v>5465</v>
      </c>
      <c r="F1250" s="125" t="s">
        <v>5466</v>
      </c>
      <c r="G1250" s="125" t="s">
        <v>5270</v>
      </c>
      <c r="H1250" s="125" t="s">
        <v>5807</v>
      </c>
      <c r="I1250" s="125" t="s">
        <v>5808</v>
      </c>
    </row>
    <row r="1251" spans="1:9" x14ac:dyDescent="0.25">
      <c r="A1251" s="125" t="s">
        <v>1645</v>
      </c>
      <c r="B1251" s="125" t="s">
        <v>5549</v>
      </c>
      <c r="C1251" s="125">
        <v>745</v>
      </c>
      <c r="D1251" s="125" t="s">
        <v>5550</v>
      </c>
      <c r="E1251" s="125" t="s">
        <v>5465</v>
      </c>
      <c r="F1251" s="125" t="s">
        <v>5466</v>
      </c>
      <c r="G1251" s="125" t="s">
        <v>5270</v>
      </c>
      <c r="H1251" s="125" t="s">
        <v>5807</v>
      </c>
      <c r="I1251" s="125" t="s">
        <v>5808</v>
      </c>
    </row>
    <row r="1252" spans="1:9" x14ac:dyDescent="0.25">
      <c r="A1252" s="125" t="s">
        <v>5827</v>
      </c>
      <c r="B1252" s="125" t="s">
        <v>5549</v>
      </c>
      <c r="C1252" s="125">
        <v>745</v>
      </c>
      <c r="D1252" s="125" t="s">
        <v>5550</v>
      </c>
      <c r="E1252" s="125" t="s">
        <v>5465</v>
      </c>
      <c r="F1252" s="125" t="s">
        <v>5466</v>
      </c>
      <c r="G1252" s="125" t="s">
        <v>5270</v>
      </c>
      <c r="H1252" s="125" t="s">
        <v>5810</v>
      </c>
      <c r="I1252" s="125" t="s">
        <v>5808</v>
      </c>
    </row>
    <row r="1253" spans="1:9" x14ac:dyDescent="0.25">
      <c r="A1253" s="125" t="s">
        <v>2552</v>
      </c>
      <c r="B1253" s="125" t="s">
        <v>5549</v>
      </c>
      <c r="C1253" s="125">
        <v>745</v>
      </c>
      <c r="D1253" s="125" t="s">
        <v>5550</v>
      </c>
      <c r="E1253" s="125" t="s">
        <v>5465</v>
      </c>
      <c r="F1253" s="125" t="s">
        <v>5466</v>
      </c>
      <c r="G1253" s="125" t="s">
        <v>5270</v>
      </c>
      <c r="H1253" s="125" t="s">
        <v>5810</v>
      </c>
      <c r="I1253" s="125" t="s">
        <v>5808</v>
      </c>
    </row>
    <row r="1254" spans="1:9" x14ac:dyDescent="0.25">
      <c r="A1254" s="125" t="s">
        <v>3555</v>
      </c>
      <c r="B1254" s="125" t="s">
        <v>5549</v>
      </c>
      <c r="C1254" s="125">
        <v>745</v>
      </c>
      <c r="D1254" s="125" t="s">
        <v>5550</v>
      </c>
      <c r="E1254" s="125" t="s">
        <v>5465</v>
      </c>
      <c r="F1254" s="125" t="s">
        <v>5466</v>
      </c>
      <c r="G1254" s="125" t="s">
        <v>5270</v>
      </c>
      <c r="H1254" s="125" t="s">
        <v>5810</v>
      </c>
      <c r="I1254" s="125" t="s">
        <v>5808</v>
      </c>
    </row>
    <row r="1255" spans="1:9" x14ac:dyDescent="0.25">
      <c r="A1255" s="125" t="s">
        <v>2641</v>
      </c>
      <c r="B1255" s="125" t="s">
        <v>5549</v>
      </c>
      <c r="C1255" s="125">
        <v>745</v>
      </c>
      <c r="D1255" s="125" t="s">
        <v>5550</v>
      </c>
      <c r="E1255" s="125" t="s">
        <v>5465</v>
      </c>
      <c r="F1255" s="125" t="s">
        <v>5466</v>
      </c>
      <c r="G1255" s="125" t="s">
        <v>5270</v>
      </c>
      <c r="H1255" s="125" t="s">
        <v>5810</v>
      </c>
      <c r="I1255" s="125" t="s">
        <v>5808</v>
      </c>
    </row>
    <row r="1256" spans="1:9" x14ac:dyDescent="0.25">
      <c r="A1256" s="125" t="s">
        <v>1736</v>
      </c>
      <c r="B1256" s="125" t="s">
        <v>5513</v>
      </c>
      <c r="C1256" s="125">
        <v>238</v>
      </c>
      <c r="D1256" s="125" t="s">
        <v>5514</v>
      </c>
      <c r="E1256" s="125" t="s">
        <v>5364</v>
      </c>
      <c r="F1256" s="125" t="s">
        <v>5365</v>
      </c>
      <c r="G1256" s="125" t="s">
        <v>5297</v>
      </c>
      <c r="H1256" s="125" t="s">
        <v>3571</v>
      </c>
      <c r="I1256" s="125" t="s">
        <v>5375</v>
      </c>
    </row>
    <row r="1257" spans="1:9" x14ac:dyDescent="0.25">
      <c r="A1257" s="125" t="s">
        <v>3027</v>
      </c>
      <c r="B1257" s="125" t="s">
        <v>5513</v>
      </c>
      <c r="C1257" s="125">
        <v>238</v>
      </c>
      <c r="D1257" s="125" t="s">
        <v>5514</v>
      </c>
      <c r="E1257" s="125" t="s">
        <v>5364</v>
      </c>
      <c r="F1257" s="125" t="s">
        <v>5365</v>
      </c>
      <c r="G1257" s="125" t="s">
        <v>5297</v>
      </c>
      <c r="H1257" s="125" t="s">
        <v>5828</v>
      </c>
      <c r="I1257" s="125" t="s">
        <v>1953</v>
      </c>
    </row>
    <row r="1258" spans="1:9" x14ac:dyDescent="0.25">
      <c r="A1258" s="125" t="s">
        <v>2984</v>
      </c>
      <c r="B1258" s="125" t="s">
        <v>5513</v>
      </c>
      <c r="C1258" s="125">
        <v>238</v>
      </c>
      <c r="D1258" s="125" t="s">
        <v>5514</v>
      </c>
      <c r="E1258" s="125" t="s">
        <v>5364</v>
      </c>
      <c r="F1258" s="125" t="s">
        <v>5365</v>
      </c>
      <c r="G1258" s="125" t="s">
        <v>5297</v>
      </c>
      <c r="H1258" s="125" t="s">
        <v>5828</v>
      </c>
      <c r="I1258" s="125" t="s">
        <v>1953</v>
      </c>
    </row>
    <row r="1259" spans="1:9" x14ac:dyDescent="0.25">
      <c r="A1259" s="125" t="s">
        <v>1118</v>
      </c>
      <c r="B1259" s="125" t="s">
        <v>5513</v>
      </c>
      <c r="C1259" s="125">
        <v>238</v>
      </c>
      <c r="D1259" s="125" t="s">
        <v>5514</v>
      </c>
      <c r="E1259" s="125" t="s">
        <v>5364</v>
      </c>
      <c r="F1259" s="125" t="s">
        <v>5365</v>
      </c>
      <c r="G1259" s="125" t="s">
        <v>5297</v>
      </c>
      <c r="H1259" s="125" t="s">
        <v>5828</v>
      </c>
      <c r="I1259" s="125" t="s">
        <v>1953</v>
      </c>
    </row>
    <row r="1260" spans="1:9" x14ac:dyDescent="0.25">
      <c r="A1260" s="125" t="s">
        <v>2861</v>
      </c>
      <c r="B1260" s="125" t="s">
        <v>5513</v>
      </c>
      <c r="C1260" s="125">
        <v>238</v>
      </c>
      <c r="D1260" s="125" t="s">
        <v>5514</v>
      </c>
      <c r="E1260" s="125" t="s">
        <v>5364</v>
      </c>
      <c r="F1260" s="125" t="s">
        <v>5365</v>
      </c>
      <c r="G1260" s="125" t="s">
        <v>5297</v>
      </c>
      <c r="H1260" s="125" t="s">
        <v>5828</v>
      </c>
      <c r="I1260" s="125" t="s">
        <v>1953</v>
      </c>
    </row>
    <row r="1261" spans="1:9" x14ac:dyDescent="0.25">
      <c r="A1261" s="125" t="s">
        <v>2237</v>
      </c>
      <c r="B1261" s="125" t="s">
        <v>5513</v>
      </c>
      <c r="C1261" s="125">
        <v>238</v>
      </c>
      <c r="D1261" s="125" t="s">
        <v>5514</v>
      </c>
      <c r="E1261" s="125" t="s">
        <v>5364</v>
      </c>
      <c r="F1261" s="125" t="s">
        <v>5365</v>
      </c>
      <c r="G1261" s="125" t="s">
        <v>5297</v>
      </c>
      <c r="H1261" s="125" t="s">
        <v>1763</v>
      </c>
      <c r="I1261" s="125" t="s">
        <v>1953</v>
      </c>
    </row>
    <row r="1262" spans="1:9" x14ac:dyDescent="0.25">
      <c r="A1262" s="125" t="s">
        <v>2207</v>
      </c>
      <c r="B1262" s="125" t="s">
        <v>5513</v>
      </c>
      <c r="C1262" s="125">
        <v>238</v>
      </c>
      <c r="D1262" s="125" t="s">
        <v>5514</v>
      </c>
      <c r="E1262" s="125" t="s">
        <v>5364</v>
      </c>
      <c r="F1262" s="125" t="s">
        <v>5365</v>
      </c>
      <c r="G1262" s="125" t="s">
        <v>5297</v>
      </c>
      <c r="H1262" s="125" t="s">
        <v>5697</v>
      </c>
      <c r="I1262" s="125" t="s">
        <v>1953</v>
      </c>
    </row>
    <row r="1263" spans="1:9" x14ac:dyDescent="0.25">
      <c r="A1263" s="125" t="s">
        <v>2437</v>
      </c>
      <c r="B1263" s="125" t="s">
        <v>5513</v>
      </c>
      <c r="C1263" s="125">
        <v>238</v>
      </c>
      <c r="D1263" s="125" t="s">
        <v>5514</v>
      </c>
      <c r="E1263" s="125" t="s">
        <v>5364</v>
      </c>
      <c r="F1263" s="125" t="s">
        <v>5365</v>
      </c>
      <c r="G1263" s="125" t="s">
        <v>5297</v>
      </c>
      <c r="H1263" s="125" t="s">
        <v>5697</v>
      </c>
      <c r="I1263" s="125" t="s">
        <v>1953</v>
      </c>
    </row>
    <row r="1264" spans="1:9" x14ac:dyDescent="0.25">
      <c r="A1264" s="125" t="s">
        <v>3113</v>
      </c>
      <c r="B1264" s="125" t="s">
        <v>5513</v>
      </c>
      <c r="C1264" s="125">
        <v>238</v>
      </c>
      <c r="D1264" s="125" t="s">
        <v>5514</v>
      </c>
      <c r="E1264" s="125" t="s">
        <v>5364</v>
      </c>
      <c r="F1264" s="125" t="s">
        <v>5365</v>
      </c>
      <c r="G1264" s="125" t="s">
        <v>5297</v>
      </c>
      <c r="H1264" s="125" t="s">
        <v>5829</v>
      </c>
      <c r="I1264" s="125" t="s">
        <v>1953</v>
      </c>
    </row>
    <row r="1265" spans="1:9" x14ac:dyDescent="0.25">
      <c r="A1265" s="125" t="s">
        <v>5830</v>
      </c>
      <c r="B1265" s="125" t="s">
        <v>5513</v>
      </c>
      <c r="C1265" s="125">
        <v>238</v>
      </c>
      <c r="D1265" s="125" t="s">
        <v>5514</v>
      </c>
      <c r="E1265" s="125" t="s">
        <v>5364</v>
      </c>
      <c r="F1265" s="125" t="s">
        <v>5365</v>
      </c>
      <c r="G1265" s="125" t="s">
        <v>5297</v>
      </c>
      <c r="H1265" s="125" t="s">
        <v>5829</v>
      </c>
      <c r="I1265" s="125" t="s">
        <v>1953</v>
      </c>
    </row>
    <row r="1266" spans="1:9" x14ac:dyDescent="0.25">
      <c r="A1266" s="125" t="s">
        <v>3364</v>
      </c>
      <c r="B1266" s="125" t="s">
        <v>5691</v>
      </c>
      <c r="C1266" s="125">
        <v>210</v>
      </c>
      <c r="D1266" s="125" t="s">
        <v>5692</v>
      </c>
      <c r="E1266" s="125" t="s">
        <v>5364</v>
      </c>
      <c r="F1266" s="125" t="s">
        <v>5365</v>
      </c>
      <c r="G1266" s="125" t="s">
        <v>5297</v>
      </c>
      <c r="H1266" s="125" t="s">
        <v>5829</v>
      </c>
      <c r="I1266" s="125" t="s">
        <v>1953</v>
      </c>
    </row>
    <row r="1267" spans="1:9" x14ac:dyDescent="0.25">
      <c r="A1267" s="125" t="s">
        <v>1363</v>
      </c>
      <c r="B1267" s="125" t="s">
        <v>5513</v>
      </c>
      <c r="C1267" s="125">
        <v>238</v>
      </c>
      <c r="D1267" s="125" t="s">
        <v>5514</v>
      </c>
      <c r="E1267" s="125" t="s">
        <v>5364</v>
      </c>
      <c r="F1267" s="125" t="s">
        <v>5365</v>
      </c>
      <c r="G1267" s="125" t="s">
        <v>5297</v>
      </c>
      <c r="H1267" s="125" t="s">
        <v>3571</v>
      </c>
      <c r="I1267" s="125" t="s">
        <v>5375</v>
      </c>
    </row>
    <row r="1268" spans="1:9" x14ac:dyDescent="0.25">
      <c r="A1268" s="125" t="s">
        <v>2924</v>
      </c>
      <c r="B1268" s="125" t="s">
        <v>5513</v>
      </c>
      <c r="C1268" s="125">
        <v>238</v>
      </c>
      <c r="D1268" s="125" t="s">
        <v>5514</v>
      </c>
      <c r="E1268" s="125" t="s">
        <v>5364</v>
      </c>
      <c r="F1268" s="125" t="s">
        <v>5365</v>
      </c>
      <c r="G1268" s="125" t="s">
        <v>5297</v>
      </c>
      <c r="H1268" s="125" t="s">
        <v>5517</v>
      </c>
      <c r="I1268" s="125" t="s">
        <v>1953</v>
      </c>
    </row>
    <row r="1269" spans="1:9" x14ac:dyDescent="0.25">
      <c r="A1269" s="125" t="s">
        <v>5831</v>
      </c>
      <c r="B1269" s="125" t="s">
        <v>5513</v>
      </c>
      <c r="C1269" s="125">
        <v>238</v>
      </c>
      <c r="D1269" s="125" t="s">
        <v>5514</v>
      </c>
      <c r="E1269" s="125" t="s">
        <v>5364</v>
      </c>
      <c r="F1269" s="125" t="s">
        <v>5365</v>
      </c>
      <c r="G1269" s="125" t="s">
        <v>5297</v>
      </c>
      <c r="H1269" s="125" t="s">
        <v>5832</v>
      </c>
      <c r="I1269" s="125" t="s">
        <v>1953</v>
      </c>
    </row>
    <row r="1270" spans="1:9" x14ac:dyDescent="0.25">
      <c r="A1270" s="125" t="s">
        <v>2124</v>
      </c>
      <c r="B1270" s="125" t="s">
        <v>5513</v>
      </c>
      <c r="C1270" s="125">
        <v>238</v>
      </c>
      <c r="D1270" s="125" t="s">
        <v>5514</v>
      </c>
      <c r="E1270" s="125" t="s">
        <v>5364</v>
      </c>
      <c r="F1270" s="125" t="s">
        <v>5365</v>
      </c>
      <c r="G1270" s="125" t="s">
        <v>5297</v>
      </c>
      <c r="H1270" s="125" t="s">
        <v>5832</v>
      </c>
      <c r="I1270" s="125" t="s">
        <v>1953</v>
      </c>
    </row>
    <row r="1271" spans="1:9" x14ac:dyDescent="0.25">
      <c r="A1271" s="125" t="s">
        <v>1393</v>
      </c>
      <c r="B1271" s="125" t="s">
        <v>5513</v>
      </c>
      <c r="C1271" s="125">
        <v>238</v>
      </c>
      <c r="D1271" s="125" t="s">
        <v>5514</v>
      </c>
      <c r="E1271" s="125" t="s">
        <v>5364</v>
      </c>
      <c r="F1271" s="125" t="s">
        <v>5365</v>
      </c>
      <c r="G1271" s="125" t="s">
        <v>5297</v>
      </c>
      <c r="H1271" s="125" t="s">
        <v>5832</v>
      </c>
      <c r="I1271" s="125" t="s">
        <v>1953</v>
      </c>
    </row>
    <row r="1272" spans="1:9" x14ac:dyDescent="0.25">
      <c r="A1272" s="125" t="s">
        <v>2528</v>
      </c>
      <c r="B1272" s="125" t="s">
        <v>5691</v>
      </c>
      <c r="C1272" s="125">
        <v>210</v>
      </c>
      <c r="D1272" s="125" t="s">
        <v>5692</v>
      </c>
      <c r="E1272" s="125" t="s">
        <v>5364</v>
      </c>
      <c r="F1272" s="125" t="s">
        <v>5365</v>
      </c>
      <c r="G1272" s="125" t="s">
        <v>5297</v>
      </c>
      <c r="H1272" s="125" t="s">
        <v>2067</v>
      </c>
      <c r="I1272" s="125" t="s">
        <v>1953</v>
      </c>
    </row>
    <row r="1273" spans="1:9" x14ac:dyDescent="0.25">
      <c r="A1273" s="125" t="s">
        <v>3141</v>
      </c>
      <c r="B1273" s="125" t="s">
        <v>5513</v>
      </c>
      <c r="C1273" s="125">
        <v>238</v>
      </c>
      <c r="D1273" s="125" t="s">
        <v>5514</v>
      </c>
      <c r="E1273" s="125" t="s">
        <v>5364</v>
      </c>
      <c r="F1273" s="125" t="s">
        <v>5365</v>
      </c>
      <c r="G1273" s="125" t="s">
        <v>5297</v>
      </c>
      <c r="H1273" s="125" t="s">
        <v>3571</v>
      </c>
      <c r="I1273" s="125" t="s">
        <v>5375</v>
      </c>
    </row>
    <row r="1274" spans="1:9" x14ac:dyDescent="0.25">
      <c r="A1274" s="125" t="s">
        <v>3528</v>
      </c>
      <c r="B1274" s="125" t="s">
        <v>5513</v>
      </c>
      <c r="C1274" s="125">
        <v>238</v>
      </c>
      <c r="D1274" s="125" t="s">
        <v>5514</v>
      </c>
      <c r="E1274" s="125" t="s">
        <v>5364</v>
      </c>
      <c r="F1274" s="125" t="s">
        <v>5365</v>
      </c>
      <c r="G1274" s="125" t="s">
        <v>5297</v>
      </c>
      <c r="H1274" s="125" t="s">
        <v>2748</v>
      </c>
      <c r="I1274" s="125" t="s">
        <v>5375</v>
      </c>
    </row>
    <row r="1275" spans="1:9" x14ac:dyDescent="0.25">
      <c r="A1275" s="125" t="s">
        <v>5833</v>
      </c>
      <c r="B1275" s="125" t="s">
        <v>5513</v>
      </c>
      <c r="C1275" s="125">
        <v>238</v>
      </c>
      <c r="D1275" s="125" t="s">
        <v>5514</v>
      </c>
      <c r="E1275" s="125" t="s">
        <v>5364</v>
      </c>
      <c r="F1275" s="125" t="s">
        <v>5365</v>
      </c>
      <c r="G1275" s="125" t="s">
        <v>5297</v>
      </c>
      <c r="H1275" s="125" t="s">
        <v>3571</v>
      </c>
      <c r="I1275" s="125" t="s">
        <v>5375</v>
      </c>
    </row>
    <row r="1276" spans="1:9" x14ac:dyDescent="0.25">
      <c r="A1276" s="125" t="s">
        <v>2042</v>
      </c>
      <c r="B1276" s="125" t="s">
        <v>5513</v>
      </c>
      <c r="C1276" s="125">
        <v>238</v>
      </c>
      <c r="D1276" s="125" t="s">
        <v>5514</v>
      </c>
      <c r="E1276" s="125" t="s">
        <v>5364</v>
      </c>
      <c r="F1276" s="125" t="s">
        <v>5365</v>
      </c>
      <c r="G1276" s="125" t="s">
        <v>5297</v>
      </c>
      <c r="H1276" s="125" t="s">
        <v>3571</v>
      </c>
      <c r="I1276" s="125" t="s">
        <v>5375</v>
      </c>
    </row>
    <row r="1277" spans="1:9" x14ac:dyDescent="0.25">
      <c r="A1277" s="125" t="s">
        <v>3256</v>
      </c>
      <c r="B1277" s="125" t="s">
        <v>5513</v>
      </c>
      <c r="C1277" s="125">
        <v>238</v>
      </c>
      <c r="D1277" s="125" t="s">
        <v>5514</v>
      </c>
      <c r="E1277" s="125" t="s">
        <v>5364</v>
      </c>
      <c r="F1277" s="125" t="s">
        <v>5365</v>
      </c>
      <c r="G1277" s="125" t="s">
        <v>5297</v>
      </c>
      <c r="H1277" s="125" t="s">
        <v>5828</v>
      </c>
      <c r="I1277" s="125" t="s">
        <v>1953</v>
      </c>
    </row>
    <row r="1278" spans="1:9" x14ac:dyDescent="0.25">
      <c r="A1278" s="125" t="s">
        <v>3145</v>
      </c>
      <c r="B1278" s="125" t="s">
        <v>5513</v>
      </c>
      <c r="C1278" s="125">
        <v>238</v>
      </c>
      <c r="D1278" s="125" t="s">
        <v>5514</v>
      </c>
      <c r="E1278" s="125" t="s">
        <v>5364</v>
      </c>
      <c r="F1278" s="125" t="s">
        <v>5365</v>
      </c>
      <c r="G1278" s="125" t="s">
        <v>5297</v>
      </c>
      <c r="H1278" s="125" t="s">
        <v>5828</v>
      </c>
      <c r="I1278" s="125" t="s">
        <v>1953</v>
      </c>
    </row>
    <row r="1279" spans="1:9" x14ac:dyDescent="0.25">
      <c r="A1279" s="125" t="s">
        <v>2774</v>
      </c>
      <c r="B1279" s="125" t="s">
        <v>5513</v>
      </c>
      <c r="C1279" s="125">
        <v>238</v>
      </c>
      <c r="D1279" s="125" t="s">
        <v>5514</v>
      </c>
      <c r="E1279" s="125" t="s">
        <v>5364</v>
      </c>
      <c r="F1279" s="125" t="s">
        <v>5365</v>
      </c>
      <c r="G1279" s="125" t="s">
        <v>5297</v>
      </c>
      <c r="H1279" s="125" t="s">
        <v>3571</v>
      </c>
      <c r="I1279" s="125" t="s">
        <v>5375</v>
      </c>
    </row>
    <row r="1280" spans="1:9" x14ac:dyDescent="0.25">
      <c r="A1280" s="125" t="s">
        <v>5834</v>
      </c>
      <c r="B1280" s="125" t="s">
        <v>5762</v>
      </c>
      <c r="C1280" s="125">
        <v>703</v>
      </c>
      <c r="D1280" s="125" t="s">
        <v>5763</v>
      </c>
      <c r="E1280" s="125" t="s">
        <v>5270</v>
      </c>
      <c r="F1280" s="125" t="s">
        <v>5271</v>
      </c>
      <c r="G1280" s="125" t="s">
        <v>5270</v>
      </c>
      <c r="H1280" s="125" t="s">
        <v>5764</v>
      </c>
      <c r="I1280" s="125" t="s">
        <v>5764</v>
      </c>
    </row>
    <row r="1281" spans="1:9" x14ac:dyDescent="0.25">
      <c r="A1281" s="125" t="s">
        <v>5835</v>
      </c>
      <c r="B1281" s="125" t="s">
        <v>5762</v>
      </c>
      <c r="C1281" s="125">
        <v>703</v>
      </c>
      <c r="D1281" s="125" t="s">
        <v>5763</v>
      </c>
      <c r="E1281" s="125" t="s">
        <v>5270</v>
      </c>
      <c r="F1281" s="125" t="s">
        <v>5271</v>
      </c>
      <c r="G1281" s="125" t="s">
        <v>5270</v>
      </c>
      <c r="H1281" s="125" t="s">
        <v>5764</v>
      </c>
      <c r="I1281" s="125" t="s">
        <v>5764</v>
      </c>
    </row>
    <row r="1282" spans="1:9" x14ac:dyDescent="0.25">
      <c r="A1282" s="125" t="s">
        <v>5836</v>
      </c>
      <c r="B1282" s="125" t="s">
        <v>5762</v>
      </c>
      <c r="C1282" s="125">
        <v>703</v>
      </c>
      <c r="D1282" s="125" t="s">
        <v>5763</v>
      </c>
      <c r="E1282" s="125" t="s">
        <v>5270</v>
      </c>
      <c r="F1282" s="125" t="s">
        <v>5271</v>
      </c>
      <c r="G1282" s="125" t="s">
        <v>5270</v>
      </c>
      <c r="H1282" s="125" t="s">
        <v>1102</v>
      </c>
      <c r="I1282" s="125" t="s">
        <v>1102</v>
      </c>
    </row>
    <row r="1283" spans="1:9" x14ac:dyDescent="0.25">
      <c r="A1283" s="125" t="s">
        <v>5837</v>
      </c>
      <c r="B1283" s="125" t="s">
        <v>5762</v>
      </c>
      <c r="C1283" s="125">
        <v>703</v>
      </c>
      <c r="D1283" s="125" t="s">
        <v>5763</v>
      </c>
      <c r="E1283" s="125" t="s">
        <v>5270</v>
      </c>
      <c r="F1283" s="125" t="s">
        <v>5271</v>
      </c>
      <c r="G1283" s="125" t="s">
        <v>5270</v>
      </c>
      <c r="H1283" s="125" t="s">
        <v>1102</v>
      </c>
      <c r="I1283" s="125" t="s">
        <v>1102</v>
      </c>
    </row>
    <row r="1284" spans="1:9" x14ac:dyDescent="0.25">
      <c r="A1284" s="125" t="s">
        <v>5838</v>
      </c>
      <c r="B1284" s="125" t="s">
        <v>5762</v>
      </c>
      <c r="C1284" s="125">
        <v>703</v>
      </c>
      <c r="D1284" s="125" t="s">
        <v>5763</v>
      </c>
      <c r="E1284" s="125" t="s">
        <v>5270</v>
      </c>
      <c r="F1284" s="125" t="s">
        <v>5271</v>
      </c>
      <c r="G1284" s="125" t="s">
        <v>5270</v>
      </c>
      <c r="H1284" s="125" t="s">
        <v>1102</v>
      </c>
      <c r="I1284" s="125" t="s">
        <v>1102</v>
      </c>
    </row>
    <row r="1285" spans="1:9" x14ac:dyDescent="0.25">
      <c r="A1285" s="125" t="s">
        <v>5839</v>
      </c>
      <c r="B1285" s="125" t="s">
        <v>5762</v>
      </c>
      <c r="C1285" s="125">
        <v>703</v>
      </c>
      <c r="D1285" s="125" t="s">
        <v>5763</v>
      </c>
      <c r="E1285" s="125" t="s">
        <v>5270</v>
      </c>
      <c r="F1285" s="125" t="s">
        <v>5271</v>
      </c>
      <c r="G1285" s="125" t="s">
        <v>5270</v>
      </c>
      <c r="H1285" s="125" t="s">
        <v>5764</v>
      </c>
      <c r="I1285" s="125" t="s">
        <v>5764</v>
      </c>
    </row>
    <row r="1286" spans="1:9" x14ac:dyDescent="0.25">
      <c r="A1286" s="125" t="s">
        <v>5840</v>
      </c>
      <c r="B1286" s="125" t="s">
        <v>5382</v>
      </c>
      <c r="C1286" s="125" t="s">
        <v>5383</v>
      </c>
      <c r="D1286" s="125"/>
      <c r="E1286" s="125" t="s">
        <v>5384</v>
      </c>
      <c r="F1286" s="125" t="s">
        <v>5384</v>
      </c>
      <c r="G1286" s="125" t="s">
        <v>5384</v>
      </c>
      <c r="H1286" s="125" t="s">
        <v>5841</v>
      </c>
      <c r="I1286" s="125" t="s">
        <v>5842</v>
      </c>
    </row>
    <row r="1287" spans="1:9" x14ac:dyDescent="0.25">
      <c r="A1287" s="125" t="s">
        <v>5843</v>
      </c>
      <c r="B1287" s="125" t="s">
        <v>5382</v>
      </c>
      <c r="C1287" s="125" t="s">
        <v>5383</v>
      </c>
      <c r="D1287" s="125"/>
      <c r="E1287" s="125" t="s">
        <v>5384</v>
      </c>
      <c r="F1287" s="125" t="s">
        <v>5384</v>
      </c>
      <c r="G1287" s="125" t="s">
        <v>5384</v>
      </c>
      <c r="H1287" s="125" t="s">
        <v>371</v>
      </c>
      <c r="I1287" s="125" t="s">
        <v>371</v>
      </c>
    </row>
    <row r="1288" spans="1:9" x14ac:dyDescent="0.25">
      <c r="A1288" s="125" t="s">
        <v>5844</v>
      </c>
      <c r="B1288" s="125" t="s">
        <v>5382</v>
      </c>
      <c r="C1288" s="125" t="s">
        <v>5383</v>
      </c>
      <c r="D1288" s="125"/>
      <c r="E1288" s="125" t="s">
        <v>5384</v>
      </c>
      <c r="F1288" s="125" t="s">
        <v>5384</v>
      </c>
      <c r="G1288" s="125" t="s">
        <v>5384</v>
      </c>
      <c r="H1288" s="125" t="s">
        <v>371</v>
      </c>
      <c r="I1288" s="125" t="s">
        <v>371</v>
      </c>
    </row>
    <row r="1289" spans="1:9" x14ac:dyDescent="0.25">
      <c r="A1289" s="125" t="s">
        <v>5845</v>
      </c>
      <c r="B1289" s="125" t="s">
        <v>5762</v>
      </c>
      <c r="C1289" s="125">
        <v>703</v>
      </c>
      <c r="D1289" s="125" t="s">
        <v>5763</v>
      </c>
      <c r="E1289" s="125" t="s">
        <v>5270</v>
      </c>
      <c r="F1289" s="125" t="s">
        <v>5271</v>
      </c>
      <c r="G1289" s="125" t="s">
        <v>5270</v>
      </c>
      <c r="H1289" s="125" t="s">
        <v>1102</v>
      </c>
      <c r="I1289" s="125" t="s">
        <v>1102</v>
      </c>
    </row>
    <row r="1290" spans="1:9" x14ac:dyDescent="0.25">
      <c r="A1290" s="125" t="s">
        <v>5846</v>
      </c>
      <c r="B1290" s="125" t="s">
        <v>5762</v>
      </c>
      <c r="C1290" s="125">
        <v>703</v>
      </c>
      <c r="D1290" s="125" t="s">
        <v>5763</v>
      </c>
      <c r="E1290" s="125" t="s">
        <v>5270</v>
      </c>
      <c r="F1290" s="125" t="s">
        <v>5271</v>
      </c>
      <c r="G1290" s="125" t="s">
        <v>5270</v>
      </c>
      <c r="H1290" s="125" t="s">
        <v>5764</v>
      </c>
      <c r="I1290" s="125" t="s">
        <v>5764</v>
      </c>
    </row>
    <row r="1291" spans="1:9" x14ac:dyDescent="0.25">
      <c r="A1291" s="125" t="s">
        <v>5847</v>
      </c>
      <c r="B1291" s="125" t="s">
        <v>5762</v>
      </c>
      <c r="C1291" s="125">
        <v>703</v>
      </c>
      <c r="D1291" s="125" t="s">
        <v>5763</v>
      </c>
      <c r="E1291" s="125" t="s">
        <v>5270</v>
      </c>
      <c r="F1291" s="125" t="s">
        <v>5271</v>
      </c>
      <c r="G1291" s="125" t="s">
        <v>5270</v>
      </c>
      <c r="H1291" s="125" t="s">
        <v>1102</v>
      </c>
      <c r="I1291" s="125" t="s">
        <v>1102</v>
      </c>
    </row>
    <row r="1292" spans="1:9" x14ac:dyDescent="0.25">
      <c r="A1292" s="125" t="s">
        <v>5848</v>
      </c>
      <c r="B1292" s="125" t="s">
        <v>5762</v>
      </c>
      <c r="C1292" s="125">
        <v>703</v>
      </c>
      <c r="D1292" s="125" t="s">
        <v>5763</v>
      </c>
      <c r="E1292" s="125" t="s">
        <v>5270</v>
      </c>
      <c r="F1292" s="125" t="s">
        <v>5271</v>
      </c>
      <c r="G1292" s="125" t="s">
        <v>5270</v>
      </c>
      <c r="H1292" s="125" t="s">
        <v>1102</v>
      </c>
      <c r="I1292" s="125" t="s">
        <v>1102</v>
      </c>
    </row>
    <row r="1293" spans="1:9" x14ac:dyDescent="0.25">
      <c r="A1293" s="125" t="s">
        <v>5849</v>
      </c>
      <c r="B1293" s="125" t="s">
        <v>5762</v>
      </c>
      <c r="C1293" s="125">
        <v>703</v>
      </c>
      <c r="D1293" s="125" t="s">
        <v>5763</v>
      </c>
      <c r="E1293" s="125" t="s">
        <v>5270</v>
      </c>
      <c r="F1293" s="125" t="s">
        <v>5271</v>
      </c>
      <c r="G1293" s="125" t="s">
        <v>5270</v>
      </c>
      <c r="H1293" s="125" t="s">
        <v>1102</v>
      </c>
      <c r="I1293" s="125" t="s">
        <v>1102</v>
      </c>
    </row>
    <row r="1294" spans="1:9" x14ac:dyDescent="0.25">
      <c r="A1294" s="125" t="s">
        <v>5850</v>
      </c>
      <c r="B1294" s="125" t="s">
        <v>5762</v>
      </c>
      <c r="C1294" s="125">
        <v>703</v>
      </c>
      <c r="D1294" s="125" t="s">
        <v>5763</v>
      </c>
      <c r="E1294" s="125" t="s">
        <v>5270</v>
      </c>
      <c r="F1294" s="125" t="s">
        <v>5271</v>
      </c>
      <c r="G1294" s="125" t="s">
        <v>5270</v>
      </c>
      <c r="H1294" s="125" t="s">
        <v>5764</v>
      </c>
      <c r="I1294" s="125" t="s">
        <v>5764</v>
      </c>
    </row>
    <row r="1295" spans="1:9" x14ac:dyDescent="0.25">
      <c r="A1295" s="125" t="s">
        <v>5851</v>
      </c>
      <c r="B1295" s="125" t="s">
        <v>5762</v>
      </c>
      <c r="C1295" s="125">
        <v>703</v>
      </c>
      <c r="D1295" s="125" t="s">
        <v>5763</v>
      </c>
      <c r="E1295" s="125" t="s">
        <v>5270</v>
      </c>
      <c r="F1295" s="125" t="s">
        <v>5271</v>
      </c>
      <c r="G1295" s="125" t="s">
        <v>5270</v>
      </c>
      <c r="H1295" s="125" t="s">
        <v>5764</v>
      </c>
      <c r="I1295" s="125" t="s">
        <v>5764</v>
      </c>
    </row>
    <row r="1296" spans="1:9" x14ac:dyDescent="0.25">
      <c r="A1296" s="125" t="s">
        <v>3186</v>
      </c>
      <c r="B1296" s="125" t="s">
        <v>5532</v>
      </c>
      <c r="C1296" s="125">
        <v>704</v>
      </c>
      <c r="D1296" s="125" t="s">
        <v>5533</v>
      </c>
      <c r="E1296" s="125" t="s">
        <v>5270</v>
      </c>
      <c r="F1296" s="125" t="s">
        <v>5271</v>
      </c>
      <c r="G1296" s="125" t="s">
        <v>5270</v>
      </c>
      <c r="H1296" s="125" t="s">
        <v>2689</v>
      </c>
      <c r="I1296" s="125" t="s">
        <v>2689</v>
      </c>
    </row>
    <row r="1297" spans="1:9" x14ac:dyDescent="0.25">
      <c r="A1297" s="125" t="s">
        <v>3093</v>
      </c>
      <c r="B1297" s="125" t="s">
        <v>5532</v>
      </c>
      <c r="C1297" s="125">
        <v>704</v>
      </c>
      <c r="D1297" s="125" t="s">
        <v>5533</v>
      </c>
      <c r="E1297" s="125" t="s">
        <v>5270</v>
      </c>
      <c r="F1297" s="125" t="s">
        <v>5271</v>
      </c>
      <c r="G1297" s="125" t="s">
        <v>5270</v>
      </c>
      <c r="H1297" s="125" t="s">
        <v>2689</v>
      </c>
      <c r="I1297" s="125" t="s">
        <v>2689</v>
      </c>
    </row>
    <row r="1298" spans="1:9" x14ac:dyDescent="0.25">
      <c r="A1298" s="125" t="s">
        <v>2394</v>
      </c>
      <c r="B1298" s="125" t="s">
        <v>5532</v>
      </c>
      <c r="C1298" s="125">
        <v>704</v>
      </c>
      <c r="D1298" s="125" t="s">
        <v>5533</v>
      </c>
      <c r="E1298" s="125" t="s">
        <v>5270</v>
      </c>
      <c r="F1298" s="125" t="s">
        <v>5271</v>
      </c>
      <c r="G1298" s="125" t="s">
        <v>5270</v>
      </c>
      <c r="H1298" s="125" t="s">
        <v>2689</v>
      </c>
      <c r="I1298" s="125" t="s">
        <v>2689</v>
      </c>
    </row>
    <row r="1299" spans="1:9" x14ac:dyDescent="0.25">
      <c r="A1299" s="125" t="s">
        <v>2705</v>
      </c>
      <c r="B1299" s="125" t="s">
        <v>5532</v>
      </c>
      <c r="C1299" s="125">
        <v>704</v>
      </c>
      <c r="D1299" s="125" t="s">
        <v>5533</v>
      </c>
      <c r="E1299" s="125" t="s">
        <v>5270</v>
      </c>
      <c r="F1299" s="125" t="s">
        <v>5271</v>
      </c>
      <c r="G1299" s="125" t="s">
        <v>5270</v>
      </c>
      <c r="H1299" s="125" t="s">
        <v>2689</v>
      </c>
      <c r="I1299" s="125" t="s">
        <v>2689</v>
      </c>
    </row>
    <row r="1300" spans="1:9" x14ac:dyDescent="0.25">
      <c r="A1300" s="125" t="s">
        <v>2542</v>
      </c>
      <c r="B1300" s="125" t="s">
        <v>5532</v>
      </c>
      <c r="C1300" s="125">
        <v>704</v>
      </c>
      <c r="D1300" s="125" t="s">
        <v>5533</v>
      </c>
      <c r="E1300" s="125" t="s">
        <v>5270</v>
      </c>
      <c r="F1300" s="125" t="s">
        <v>5271</v>
      </c>
      <c r="G1300" s="125" t="s">
        <v>5270</v>
      </c>
      <c r="H1300" s="125" t="s">
        <v>5852</v>
      </c>
      <c r="I1300" s="125" t="s">
        <v>5852</v>
      </c>
    </row>
    <row r="1301" spans="1:9" x14ac:dyDescent="0.25">
      <c r="A1301" s="125" t="s">
        <v>2852</v>
      </c>
      <c r="B1301" s="125" t="s">
        <v>5532</v>
      </c>
      <c r="C1301" s="125">
        <v>704</v>
      </c>
      <c r="D1301" s="125" t="s">
        <v>5533</v>
      </c>
      <c r="E1301" s="125" t="s">
        <v>5270</v>
      </c>
      <c r="F1301" s="125" t="s">
        <v>5271</v>
      </c>
      <c r="G1301" s="125" t="s">
        <v>5270</v>
      </c>
      <c r="H1301" s="125" t="s">
        <v>2689</v>
      </c>
      <c r="I1301" s="125" t="s">
        <v>2689</v>
      </c>
    </row>
    <row r="1302" spans="1:9" x14ac:dyDescent="0.25">
      <c r="A1302" s="125" t="s">
        <v>2690</v>
      </c>
      <c r="B1302" s="125" t="s">
        <v>5532</v>
      </c>
      <c r="C1302" s="125">
        <v>704</v>
      </c>
      <c r="D1302" s="125" t="s">
        <v>5533</v>
      </c>
      <c r="E1302" s="125" t="s">
        <v>5270</v>
      </c>
      <c r="F1302" s="125" t="s">
        <v>5271</v>
      </c>
      <c r="G1302" s="125" t="s">
        <v>5270</v>
      </c>
      <c r="H1302" s="125" t="s">
        <v>2689</v>
      </c>
      <c r="I1302" s="125" t="s">
        <v>2689</v>
      </c>
    </row>
    <row r="1303" spans="1:9" x14ac:dyDescent="0.25">
      <c r="A1303" s="125" t="s">
        <v>1500</v>
      </c>
      <c r="B1303" s="125" t="s">
        <v>5532</v>
      </c>
      <c r="C1303" s="125">
        <v>704</v>
      </c>
      <c r="D1303" s="125" t="s">
        <v>5533</v>
      </c>
      <c r="E1303" s="125" t="s">
        <v>5270</v>
      </c>
      <c r="F1303" s="125" t="s">
        <v>5271</v>
      </c>
      <c r="G1303" s="125" t="s">
        <v>5270</v>
      </c>
      <c r="H1303" s="125" t="s">
        <v>2689</v>
      </c>
      <c r="I1303" s="125" t="s">
        <v>2689</v>
      </c>
    </row>
    <row r="1304" spans="1:9" x14ac:dyDescent="0.25">
      <c r="A1304" s="125" t="s">
        <v>1499</v>
      </c>
      <c r="B1304" s="125" t="s">
        <v>5532</v>
      </c>
      <c r="C1304" s="125">
        <v>704</v>
      </c>
      <c r="D1304" s="125" t="s">
        <v>5533</v>
      </c>
      <c r="E1304" s="125" t="s">
        <v>5270</v>
      </c>
      <c r="F1304" s="125" t="s">
        <v>5271</v>
      </c>
      <c r="G1304" s="125" t="s">
        <v>5270</v>
      </c>
      <c r="H1304" s="125" t="s">
        <v>2689</v>
      </c>
      <c r="I1304" s="125" t="s">
        <v>2689</v>
      </c>
    </row>
    <row r="1305" spans="1:9" x14ac:dyDescent="0.25">
      <c r="A1305" s="125" t="s">
        <v>5853</v>
      </c>
      <c r="B1305" s="125" t="s">
        <v>5532</v>
      </c>
      <c r="C1305" s="125">
        <v>704</v>
      </c>
      <c r="D1305" s="125" t="s">
        <v>5533</v>
      </c>
      <c r="E1305" s="125" t="s">
        <v>5270</v>
      </c>
      <c r="F1305" s="125" t="s">
        <v>5271</v>
      </c>
      <c r="G1305" s="125" t="s">
        <v>5270</v>
      </c>
      <c r="H1305" s="125" t="s">
        <v>2689</v>
      </c>
      <c r="I1305" s="125" t="s">
        <v>2689</v>
      </c>
    </row>
    <row r="1306" spans="1:9" x14ac:dyDescent="0.25">
      <c r="A1306" s="125" t="s">
        <v>5854</v>
      </c>
      <c r="B1306" s="125" t="s">
        <v>5532</v>
      </c>
      <c r="C1306" s="125">
        <v>704</v>
      </c>
      <c r="D1306" s="125" t="s">
        <v>5533</v>
      </c>
      <c r="E1306" s="125" t="s">
        <v>5270</v>
      </c>
      <c r="F1306" s="125" t="s">
        <v>5271</v>
      </c>
      <c r="G1306" s="125" t="s">
        <v>5270</v>
      </c>
      <c r="H1306" s="125" t="s">
        <v>2689</v>
      </c>
      <c r="I1306" s="125" t="s">
        <v>2689</v>
      </c>
    </row>
    <row r="1307" spans="1:9" x14ac:dyDescent="0.25">
      <c r="A1307" s="125" t="s">
        <v>3407</v>
      </c>
      <c r="B1307" s="125" t="s">
        <v>5532</v>
      </c>
      <c r="C1307" s="125">
        <v>704</v>
      </c>
      <c r="D1307" s="125" t="s">
        <v>5533</v>
      </c>
      <c r="E1307" s="125" t="s">
        <v>5270</v>
      </c>
      <c r="F1307" s="125" t="s">
        <v>5271</v>
      </c>
      <c r="G1307" s="125" t="s">
        <v>5270</v>
      </c>
      <c r="H1307" s="125" t="s">
        <v>2689</v>
      </c>
      <c r="I1307" s="125" t="s">
        <v>2689</v>
      </c>
    </row>
    <row r="1308" spans="1:9" x14ac:dyDescent="0.25">
      <c r="A1308" s="125" t="s">
        <v>3552</v>
      </c>
      <c r="B1308" s="125" t="s">
        <v>5532</v>
      </c>
      <c r="C1308" s="125">
        <v>704</v>
      </c>
      <c r="D1308" s="125" t="s">
        <v>5533</v>
      </c>
      <c r="E1308" s="125" t="s">
        <v>5270</v>
      </c>
      <c r="F1308" s="125" t="s">
        <v>5271</v>
      </c>
      <c r="G1308" s="125" t="s">
        <v>5270</v>
      </c>
      <c r="H1308" s="125" t="s">
        <v>2689</v>
      </c>
      <c r="I1308" s="125" t="s">
        <v>2689</v>
      </c>
    </row>
    <row r="1309" spans="1:9" x14ac:dyDescent="0.25">
      <c r="A1309" s="125" t="s">
        <v>1863</v>
      </c>
      <c r="B1309" s="125" t="s">
        <v>5532</v>
      </c>
      <c r="C1309" s="125">
        <v>704</v>
      </c>
      <c r="D1309" s="125" t="s">
        <v>5533</v>
      </c>
      <c r="E1309" s="125" t="s">
        <v>5270</v>
      </c>
      <c r="F1309" s="125" t="s">
        <v>5271</v>
      </c>
      <c r="G1309" s="125" t="s">
        <v>5270</v>
      </c>
      <c r="H1309" s="125" t="s">
        <v>2689</v>
      </c>
      <c r="I1309" s="125" t="s">
        <v>2689</v>
      </c>
    </row>
    <row r="1310" spans="1:9" x14ac:dyDescent="0.25">
      <c r="A1310" s="125" t="s">
        <v>2743</v>
      </c>
      <c r="B1310" s="125" t="s">
        <v>5532</v>
      </c>
      <c r="C1310" s="125">
        <v>704</v>
      </c>
      <c r="D1310" s="125" t="s">
        <v>5533</v>
      </c>
      <c r="E1310" s="125" t="s">
        <v>5270</v>
      </c>
      <c r="F1310" s="125" t="s">
        <v>5271</v>
      </c>
      <c r="G1310" s="125" t="s">
        <v>5270</v>
      </c>
      <c r="H1310" s="125" t="s">
        <v>2689</v>
      </c>
      <c r="I1310" s="125" t="s">
        <v>2689</v>
      </c>
    </row>
    <row r="1311" spans="1:9" x14ac:dyDescent="0.25">
      <c r="A1311" s="125" t="s">
        <v>5855</v>
      </c>
      <c r="B1311" s="125" t="s">
        <v>5532</v>
      </c>
      <c r="C1311" s="125">
        <v>704</v>
      </c>
      <c r="D1311" s="125" t="s">
        <v>5533</v>
      </c>
      <c r="E1311" s="125" t="s">
        <v>5270</v>
      </c>
      <c r="F1311" s="125" t="s">
        <v>5271</v>
      </c>
      <c r="G1311" s="125" t="s">
        <v>5270</v>
      </c>
      <c r="H1311" s="125" t="s">
        <v>2689</v>
      </c>
      <c r="I1311" s="125" t="s">
        <v>2689</v>
      </c>
    </row>
    <row r="1312" spans="1:9" x14ac:dyDescent="0.25">
      <c r="A1312" s="125" t="s">
        <v>1306</v>
      </c>
      <c r="B1312" s="125" t="s">
        <v>5339</v>
      </c>
      <c r="C1312" s="125">
        <v>235</v>
      </c>
      <c r="D1312" s="140" t="s">
        <v>5340</v>
      </c>
      <c r="E1312" s="125" t="s">
        <v>5341</v>
      </c>
      <c r="F1312" s="140" t="s">
        <v>5342</v>
      </c>
      <c r="G1312" s="125" t="s">
        <v>5297</v>
      </c>
      <c r="H1312" s="125" t="s">
        <v>1059</v>
      </c>
      <c r="I1312" s="125" t="s">
        <v>5497</v>
      </c>
    </row>
    <row r="1313" spans="1:9" x14ac:dyDescent="0.25">
      <c r="A1313" s="125" t="s">
        <v>5856</v>
      </c>
      <c r="B1313" s="125" t="s">
        <v>5339</v>
      </c>
      <c r="C1313" s="125">
        <v>235</v>
      </c>
      <c r="D1313" s="140" t="s">
        <v>5340</v>
      </c>
      <c r="E1313" s="125" t="s">
        <v>5341</v>
      </c>
      <c r="F1313" s="140" t="s">
        <v>5342</v>
      </c>
      <c r="G1313" s="125" t="s">
        <v>5297</v>
      </c>
      <c r="H1313" s="125" t="s">
        <v>5857</v>
      </c>
      <c r="I1313" s="125" t="s">
        <v>5497</v>
      </c>
    </row>
    <row r="1314" spans="1:9" x14ac:dyDescent="0.25">
      <c r="A1314" s="125" t="s">
        <v>3282</v>
      </c>
      <c r="B1314" s="125" t="s">
        <v>5339</v>
      </c>
      <c r="C1314" s="125">
        <v>235</v>
      </c>
      <c r="D1314" s="140" t="s">
        <v>5340</v>
      </c>
      <c r="E1314" s="125" t="s">
        <v>5341</v>
      </c>
      <c r="F1314" s="140" t="s">
        <v>5342</v>
      </c>
      <c r="G1314" s="125" t="s">
        <v>5297</v>
      </c>
      <c r="H1314" s="125" t="s">
        <v>1059</v>
      </c>
      <c r="I1314" s="125" t="s">
        <v>5497</v>
      </c>
    </row>
    <row r="1315" spans="1:9" x14ac:dyDescent="0.25">
      <c r="A1315" s="125" t="s">
        <v>2547</v>
      </c>
      <c r="B1315" s="125" t="s">
        <v>5339</v>
      </c>
      <c r="C1315" s="125">
        <v>235</v>
      </c>
      <c r="D1315" s="140" t="s">
        <v>5340</v>
      </c>
      <c r="E1315" s="125" t="s">
        <v>5341</v>
      </c>
      <c r="F1315" s="140" t="s">
        <v>5342</v>
      </c>
      <c r="G1315" s="125" t="s">
        <v>5297</v>
      </c>
      <c r="H1315" s="125" t="s">
        <v>1059</v>
      </c>
      <c r="I1315" s="125" t="s">
        <v>5497</v>
      </c>
    </row>
    <row r="1316" spans="1:9" x14ac:dyDescent="0.25">
      <c r="A1316" s="125" t="s">
        <v>3516</v>
      </c>
      <c r="B1316" s="125" t="s">
        <v>5339</v>
      </c>
      <c r="C1316" s="125">
        <v>235</v>
      </c>
      <c r="D1316" s="140" t="s">
        <v>5340</v>
      </c>
      <c r="E1316" s="125" t="s">
        <v>5341</v>
      </c>
      <c r="F1316" s="140" t="s">
        <v>5342</v>
      </c>
      <c r="G1316" s="125" t="s">
        <v>5297</v>
      </c>
      <c r="H1316" s="125" t="s">
        <v>1059</v>
      </c>
      <c r="I1316" s="125" t="s">
        <v>5497</v>
      </c>
    </row>
    <row r="1317" spans="1:9" x14ac:dyDescent="0.25">
      <c r="A1317" s="125" t="s">
        <v>1537</v>
      </c>
      <c r="B1317" s="125" t="s">
        <v>5339</v>
      </c>
      <c r="C1317" s="125">
        <v>235</v>
      </c>
      <c r="D1317" s="140" t="s">
        <v>5340</v>
      </c>
      <c r="E1317" s="125" t="s">
        <v>5341</v>
      </c>
      <c r="F1317" s="140" t="s">
        <v>5342</v>
      </c>
      <c r="G1317" s="125" t="s">
        <v>5297</v>
      </c>
      <c r="H1317" s="125" t="s">
        <v>1059</v>
      </c>
      <c r="I1317" s="125" t="s">
        <v>5497</v>
      </c>
    </row>
    <row r="1318" spans="1:9" x14ac:dyDescent="0.25">
      <c r="A1318" s="125" t="s">
        <v>3302</v>
      </c>
      <c r="B1318" s="125" t="s">
        <v>5339</v>
      </c>
      <c r="C1318" s="125">
        <v>235</v>
      </c>
      <c r="D1318" s="140" t="s">
        <v>5340</v>
      </c>
      <c r="E1318" s="125" t="s">
        <v>5341</v>
      </c>
      <c r="F1318" s="140" t="s">
        <v>5342</v>
      </c>
      <c r="G1318" s="125" t="s">
        <v>5297</v>
      </c>
      <c r="H1318" s="125" t="s">
        <v>1059</v>
      </c>
      <c r="I1318" s="125" t="s">
        <v>5497</v>
      </c>
    </row>
    <row r="1319" spans="1:9" x14ac:dyDescent="0.25">
      <c r="A1319" s="125" t="s">
        <v>3465</v>
      </c>
      <c r="B1319" s="125" t="s">
        <v>5339</v>
      </c>
      <c r="C1319" s="125">
        <v>235</v>
      </c>
      <c r="D1319" s="140" t="s">
        <v>5340</v>
      </c>
      <c r="E1319" s="125" t="s">
        <v>5341</v>
      </c>
      <c r="F1319" s="140" t="s">
        <v>5342</v>
      </c>
      <c r="G1319" s="125" t="s">
        <v>5297</v>
      </c>
      <c r="H1319" s="125" t="s">
        <v>1059</v>
      </c>
      <c r="I1319" s="125" t="s">
        <v>5497</v>
      </c>
    </row>
    <row r="1320" spans="1:9" x14ac:dyDescent="0.25">
      <c r="A1320" s="125" t="s">
        <v>3537</v>
      </c>
      <c r="B1320" s="125" t="s">
        <v>5339</v>
      </c>
      <c r="C1320" s="125">
        <v>235</v>
      </c>
      <c r="D1320" s="140" t="s">
        <v>5340</v>
      </c>
      <c r="E1320" s="125" t="s">
        <v>5341</v>
      </c>
      <c r="F1320" s="140" t="s">
        <v>5342</v>
      </c>
      <c r="G1320" s="125" t="s">
        <v>5297</v>
      </c>
      <c r="H1320" s="125" t="s">
        <v>1059</v>
      </c>
      <c r="I1320" s="125" t="s">
        <v>5497</v>
      </c>
    </row>
    <row r="1321" spans="1:9" x14ac:dyDescent="0.25">
      <c r="A1321" s="125" t="s">
        <v>1535</v>
      </c>
      <c r="B1321" s="125" t="s">
        <v>5339</v>
      </c>
      <c r="C1321" s="125">
        <v>235</v>
      </c>
      <c r="D1321" s="140" t="s">
        <v>5340</v>
      </c>
      <c r="E1321" s="125" t="s">
        <v>5341</v>
      </c>
      <c r="F1321" s="140" t="s">
        <v>5342</v>
      </c>
      <c r="G1321" s="125" t="s">
        <v>5297</v>
      </c>
      <c r="H1321" s="125" t="s">
        <v>1059</v>
      </c>
      <c r="I1321" s="125" t="s">
        <v>5497</v>
      </c>
    </row>
    <row r="1322" spans="1:9" x14ac:dyDescent="0.25">
      <c r="A1322" s="125" t="s">
        <v>2481</v>
      </c>
      <c r="B1322" s="125" t="s">
        <v>5339</v>
      </c>
      <c r="C1322" s="125">
        <v>235</v>
      </c>
      <c r="D1322" s="140" t="s">
        <v>5340</v>
      </c>
      <c r="E1322" s="125" t="s">
        <v>5341</v>
      </c>
      <c r="F1322" s="140" t="s">
        <v>5342</v>
      </c>
      <c r="G1322" s="125" t="s">
        <v>5297</v>
      </c>
      <c r="H1322" s="125" t="s">
        <v>1059</v>
      </c>
      <c r="I1322" s="125" t="s">
        <v>5497</v>
      </c>
    </row>
    <row r="1323" spans="1:9" x14ac:dyDescent="0.25">
      <c r="A1323" s="125" t="s">
        <v>2009</v>
      </c>
      <c r="B1323" s="125" t="s">
        <v>5339</v>
      </c>
      <c r="C1323" s="125">
        <v>235</v>
      </c>
      <c r="D1323" s="140" t="s">
        <v>5340</v>
      </c>
      <c r="E1323" s="125" t="s">
        <v>5341</v>
      </c>
      <c r="F1323" s="140" t="s">
        <v>5342</v>
      </c>
      <c r="G1323" s="125" t="s">
        <v>5297</v>
      </c>
      <c r="H1323" s="125" t="s">
        <v>1059</v>
      </c>
      <c r="I1323" s="125" t="s">
        <v>5497</v>
      </c>
    </row>
    <row r="1324" spans="1:9" x14ac:dyDescent="0.25">
      <c r="A1324" s="125" t="s">
        <v>3385</v>
      </c>
      <c r="B1324" s="125" t="s">
        <v>5339</v>
      </c>
      <c r="C1324" s="125">
        <v>235</v>
      </c>
      <c r="D1324" s="140" t="s">
        <v>5340</v>
      </c>
      <c r="E1324" s="125" t="s">
        <v>5341</v>
      </c>
      <c r="F1324" s="140" t="s">
        <v>5342</v>
      </c>
      <c r="G1324" s="125" t="s">
        <v>5297</v>
      </c>
      <c r="H1324" s="125" t="s">
        <v>5857</v>
      </c>
      <c r="I1324" s="125" t="s">
        <v>5497</v>
      </c>
    </row>
    <row r="1325" spans="1:9" x14ac:dyDescent="0.25">
      <c r="A1325" s="125" t="s">
        <v>3316</v>
      </c>
      <c r="B1325" s="125" t="s">
        <v>5339</v>
      </c>
      <c r="C1325" s="125">
        <v>235</v>
      </c>
      <c r="D1325" s="140" t="s">
        <v>5340</v>
      </c>
      <c r="E1325" s="125" t="s">
        <v>5341</v>
      </c>
      <c r="F1325" s="140" t="s">
        <v>5342</v>
      </c>
      <c r="G1325" s="125" t="s">
        <v>5297</v>
      </c>
      <c r="H1325" s="125" t="s">
        <v>5857</v>
      </c>
      <c r="I1325" s="125" t="s">
        <v>5497</v>
      </c>
    </row>
    <row r="1326" spans="1:9" x14ac:dyDescent="0.25">
      <c r="A1326" s="125" t="s">
        <v>1162</v>
      </c>
      <c r="B1326" s="125" t="s">
        <v>5339</v>
      </c>
      <c r="C1326" s="125">
        <v>235</v>
      </c>
      <c r="D1326" s="140" t="s">
        <v>5340</v>
      </c>
      <c r="E1326" s="125" t="s">
        <v>5341</v>
      </c>
      <c r="F1326" s="140" t="s">
        <v>5342</v>
      </c>
      <c r="G1326" s="125" t="s">
        <v>5297</v>
      </c>
      <c r="H1326" s="125" t="s">
        <v>5857</v>
      </c>
      <c r="I1326" s="125" t="s">
        <v>5497</v>
      </c>
    </row>
    <row r="1327" spans="1:9" x14ac:dyDescent="0.25">
      <c r="A1327" s="125" t="s">
        <v>2401</v>
      </c>
      <c r="B1327" s="125" t="s">
        <v>5339</v>
      </c>
      <c r="C1327" s="125">
        <v>235</v>
      </c>
      <c r="D1327" s="140" t="s">
        <v>5340</v>
      </c>
      <c r="E1327" s="125" t="s">
        <v>5341</v>
      </c>
      <c r="F1327" s="140" t="s">
        <v>5342</v>
      </c>
      <c r="G1327" s="125" t="s">
        <v>5297</v>
      </c>
      <c r="H1327" s="125" t="s">
        <v>5857</v>
      </c>
      <c r="I1327" s="125" t="s">
        <v>5497</v>
      </c>
    </row>
    <row r="1328" spans="1:9" x14ac:dyDescent="0.25">
      <c r="A1328" s="125" t="s">
        <v>3219</v>
      </c>
      <c r="B1328" s="125" t="s">
        <v>5339</v>
      </c>
      <c r="C1328" s="125">
        <v>235</v>
      </c>
      <c r="D1328" s="140" t="s">
        <v>5340</v>
      </c>
      <c r="E1328" s="125" t="s">
        <v>5341</v>
      </c>
      <c r="F1328" s="140" t="s">
        <v>5342</v>
      </c>
      <c r="G1328" s="125" t="s">
        <v>5297</v>
      </c>
      <c r="H1328" s="125" t="s">
        <v>1059</v>
      </c>
      <c r="I1328" s="125" t="s">
        <v>5497</v>
      </c>
    </row>
    <row r="1329" spans="1:9" x14ac:dyDescent="0.25">
      <c r="A1329" s="125" t="s">
        <v>1362</v>
      </c>
      <c r="B1329" s="125" t="s">
        <v>5339</v>
      </c>
      <c r="C1329" s="125">
        <v>235</v>
      </c>
      <c r="D1329" s="140" t="s">
        <v>5340</v>
      </c>
      <c r="E1329" s="125" t="s">
        <v>5341</v>
      </c>
      <c r="F1329" s="140" t="s">
        <v>5342</v>
      </c>
      <c r="G1329" s="125" t="s">
        <v>5297</v>
      </c>
      <c r="H1329" s="125" t="s">
        <v>1059</v>
      </c>
      <c r="I1329" s="125" t="s">
        <v>5497</v>
      </c>
    </row>
    <row r="1330" spans="1:9" x14ac:dyDescent="0.25">
      <c r="A1330" s="125" t="s">
        <v>3572</v>
      </c>
      <c r="B1330" s="125" t="s">
        <v>5339</v>
      </c>
      <c r="C1330" s="125">
        <v>235</v>
      </c>
      <c r="D1330" s="140" t="s">
        <v>5340</v>
      </c>
      <c r="E1330" s="125" t="s">
        <v>5341</v>
      </c>
      <c r="F1330" s="140" t="s">
        <v>5342</v>
      </c>
      <c r="G1330" s="125" t="s">
        <v>5297</v>
      </c>
      <c r="H1330" s="125" t="s">
        <v>5858</v>
      </c>
      <c r="I1330" s="125" t="s">
        <v>5497</v>
      </c>
    </row>
    <row r="1331" spans="1:9" x14ac:dyDescent="0.25">
      <c r="A1331" s="125" t="s">
        <v>5859</v>
      </c>
      <c r="B1331" s="125" t="s">
        <v>5339</v>
      </c>
      <c r="C1331" s="125">
        <v>235</v>
      </c>
      <c r="D1331" s="140" t="s">
        <v>5340</v>
      </c>
      <c r="E1331" s="125" t="s">
        <v>5341</v>
      </c>
      <c r="F1331" s="140" t="s">
        <v>5342</v>
      </c>
      <c r="G1331" s="125" t="s">
        <v>5297</v>
      </c>
      <c r="H1331" s="125" t="s">
        <v>1059</v>
      </c>
      <c r="I1331" s="125" t="s">
        <v>5497</v>
      </c>
    </row>
    <row r="1332" spans="1:9" x14ac:dyDescent="0.25">
      <c r="A1332" s="125" t="s">
        <v>5860</v>
      </c>
      <c r="B1332" s="125" t="s">
        <v>5339</v>
      </c>
      <c r="C1332" s="125">
        <v>235</v>
      </c>
      <c r="D1332" s="140" t="s">
        <v>5340</v>
      </c>
      <c r="E1332" s="125" t="s">
        <v>5341</v>
      </c>
      <c r="F1332" s="140" t="s">
        <v>5342</v>
      </c>
      <c r="G1332" s="125" t="s">
        <v>5297</v>
      </c>
      <c r="H1332" s="125" t="s">
        <v>1059</v>
      </c>
      <c r="I1332" s="125" t="s">
        <v>5497</v>
      </c>
    </row>
    <row r="1333" spans="1:9" x14ac:dyDescent="0.25">
      <c r="A1333" s="125" t="s">
        <v>5861</v>
      </c>
      <c r="B1333" s="125" t="s">
        <v>5339</v>
      </c>
      <c r="C1333" s="125">
        <v>235</v>
      </c>
      <c r="D1333" s="140" t="s">
        <v>5340</v>
      </c>
      <c r="E1333" s="125" t="s">
        <v>5341</v>
      </c>
      <c r="F1333" s="140" t="s">
        <v>5342</v>
      </c>
      <c r="G1333" s="125" t="s">
        <v>5297</v>
      </c>
      <c r="H1333" s="125" t="s">
        <v>5857</v>
      </c>
      <c r="I1333" s="125" t="s">
        <v>5497</v>
      </c>
    </row>
    <row r="1334" spans="1:9" x14ac:dyDescent="0.25">
      <c r="A1334" s="125" t="s">
        <v>2730</v>
      </c>
      <c r="B1334" s="125" t="s">
        <v>5339</v>
      </c>
      <c r="C1334" s="125">
        <v>235</v>
      </c>
      <c r="D1334" s="140" t="s">
        <v>5340</v>
      </c>
      <c r="E1334" s="125" t="s">
        <v>5341</v>
      </c>
      <c r="F1334" s="140" t="s">
        <v>5342</v>
      </c>
      <c r="G1334" s="125" t="s">
        <v>5297</v>
      </c>
      <c r="H1334" s="125" t="s">
        <v>1059</v>
      </c>
      <c r="I1334" s="125" t="s">
        <v>5497</v>
      </c>
    </row>
    <row r="1335" spans="1:9" x14ac:dyDescent="0.25">
      <c r="A1335" s="125" t="s">
        <v>3410</v>
      </c>
      <c r="B1335" s="125" t="s">
        <v>5339</v>
      </c>
      <c r="C1335" s="125">
        <v>235</v>
      </c>
      <c r="D1335" s="140" t="s">
        <v>5340</v>
      </c>
      <c r="E1335" s="125" t="s">
        <v>5341</v>
      </c>
      <c r="F1335" s="140" t="s">
        <v>5342</v>
      </c>
      <c r="G1335" s="125" t="s">
        <v>5297</v>
      </c>
      <c r="H1335" s="125" t="s">
        <v>5857</v>
      </c>
      <c r="I1335" s="125" t="s">
        <v>5497</v>
      </c>
    </row>
    <row r="1336" spans="1:9" x14ac:dyDescent="0.25">
      <c r="A1336" s="125" t="s">
        <v>2073</v>
      </c>
      <c r="B1336" s="125" t="s">
        <v>5339</v>
      </c>
      <c r="C1336" s="125">
        <v>235</v>
      </c>
      <c r="D1336" s="140" t="s">
        <v>5340</v>
      </c>
      <c r="E1336" s="125" t="s">
        <v>5341</v>
      </c>
      <c r="F1336" s="140" t="s">
        <v>5342</v>
      </c>
      <c r="G1336" s="125" t="s">
        <v>5297</v>
      </c>
      <c r="H1336" s="125" t="s">
        <v>5857</v>
      </c>
      <c r="I1336" s="125" t="s">
        <v>5497</v>
      </c>
    </row>
    <row r="1337" spans="1:9" x14ac:dyDescent="0.25">
      <c r="A1337" s="125" t="s">
        <v>1639</v>
      </c>
      <c r="B1337" s="125" t="s">
        <v>5339</v>
      </c>
      <c r="C1337" s="125">
        <v>235</v>
      </c>
      <c r="D1337" s="140" t="s">
        <v>5340</v>
      </c>
      <c r="E1337" s="125" t="s">
        <v>5341</v>
      </c>
      <c r="F1337" s="140" t="s">
        <v>5342</v>
      </c>
      <c r="G1337" s="125" t="s">
        <v>5297</v>
      </c>
      <c r="H1337" s="125" t="s">
        <v>5858</v>
      </c>
      <c r="I1337" s="125" t="s">
        <v>5497</v>
      </c>
    </row>
    <row r="1338" spans="1:9" x14ac:dyDescent="0.25">
      <c r="A1338" s="125" t="s">
        <v>3412</v>
      </c>
      <c r="B1338" s="125" t="s">
        <v>5339</v>
      </c>
      <c r="C1338" s="125">
        <v>235</v>
      </c>
      <c r="D1338" s="140" t="s">
        <v>5340</v>
      </c>
      <c r="E1338" s="125" t="s">
        <v>5341</v>
      </c>
      <c r="F1338" s="140" t="s">
        <v>5342</v>
      </c>
      <c r="G1338" s="125" t="s">
        <v>5297</v>
      </c>
      <c r="H1338" s="125" t="s">
        <v>5858</v>
      </c>
      <c r="I1338" s="125" t="s">
        <v>5497</v>
      </c>
    </row>
    <row r="1339" spans="1:9" x14ac:dyDescent="0.25">
      <c r="A1339" s="125" t="s">
        <v>2669</v>
      </c>
      <c r="B1339" s="125" t="s">
        <v>5339</v>
      </c>
      <c r="C1339" s="125">
        <v>235</v>
      </c>
      <c r="D1339" s="140" t="s">
        <v>5340</v>
      </c>
      <c r="E1339" s="125" t="s">
        <v>5341</v>
      </c>
      <c r="F1339" s="140" t="s">
        <v>5342</v>
      </c>
      <c r="G1339" s="125" t="s">
        <v>5297</v>
      </c>
      <c r="H1339" s="125" t="s">
        <v>5858</v>
      </c>
      <c r="I1339" s="125" t="s">
        <v>5497</v>
      </c>
    </row>
    <row r="1340" spans="1:9" x14ac:dyDescent="0.25">
      <c r="A1340" s="125" t="s">
        <v>2162</v>
      </c>
      <c r="B1340" s="125" t="s">
        <v>5339</v>
      </c>
      <c r="C1340" s="125">
        <v>235</v>
      </c>
      <c r="D1340" s="140" t="s">
        <v>5340</v>
      </c>
      <c r="E1340" s="125" t="s">
        <v>5341</v>
      </c>
      <c r="F1340" s="140" t="s">
        <v>5342</v>
      </c>
      <c r="G1340" s="125" t="s">
        <v>5297</v>
      </c>
      <c r="H1340" s="125" t="s">
        <v>3388</v>
      </c>
      <c r="I1340" s="125" t="s">
        <v>5497</v>
      </c>
    </row>
    <row r="1341" spans="1:9" x14ac:dyDescent="0.25">
      <c r="A1341" s="125" t="s">
        <v>3301</v>
      </c>
      <c r="B1341" s="125" t="s">
        <v>5339</v>
      </c>
      <c r="C1341" s="125">
        <v>235</v>
      </c>
      <c r="D1341" s="140" t="s">
        <v>5340</v>
      </c>
      <c r="E1341" s="125" t="s">
        <v>5341</v>
      </c>
      <c r="F1341" s="140" t="s">
        <v>5342</v>
      </c>
      <c r="G1341" s="125" t="s">
        <v>5297</v>
      </c>
      <c r="H1341" s="125" t="s">
        <v>5858</v>
      </c>
      <c r="I1341" s="125" t="s">
        <v>5497</v>
      </c>
    </row>
    <row r="1342" spans="1:9" x14ac:dyDescent="0.25">
      <c r="A1342" s="125" t="s">
        <v>3544</v>
      </c>
      <c r="B1342" s="125" t="s">
        <v>5339</v>
      </c>
      <c r="C1342" s="125">
        <v>235</v>
      </c>
      <c r="D1342" s="140" t="s">
        <v>5340</v>
      </c>
      <c r="E1342" s="125" t="s">
        <v>5341</v>
      </c>
      <c r="F1342" s="140" t="s">
        <v>5342</v>
      </c>
      <c r="G1342" s="125" t="s">
        <v>5297</v>
      </c>
      <c r="H1342" s="125" t="s">
        <v>5857</v>
      </c>
      <c r="I1342" s="125" t="s">
        <v>5497</v>
      </c>
    </row>
    <row r="1343" spans="1:9" x14ac:dyDescent="0.25">
      <c r="A1343" s="125" t="s">
        <v>3484</v>
      </c>
      <c r="B1343" s="125" t="s">
        <v>5339</v>
      </c>
      <c r="C1343" s="125">
        <v>235</v>
      </c>
      <c r="D1343" s="140" t="s">
        <v>5340</v>
      </c>
      <c r="E1343" s="125" t="s">
        <v>5341</v>
      </c>
      <c r="F1343" s="140" t="s">
        <v>5342</v>
      </c>
      <c r="G1343" s="125" t="s">
        <v>5297</v>
      </c>
      <c r="H1343" s="125" t="s">
        <v>5857</v>
      </c>
      <c r="I1343" s="125" t="s">
        <v>5497</v>
      </c>
    </row>
    <row r="1344" spans="1:9" x14ac:dyDescent="0.25">
      <c r="A1344" s="125" t="s">
        <v>1119</v>
      </c>
      <c r="B1344" s="125" t="s">
        <v>5339</v>
      </c>
      <c r="C1344" s="125">
        <v>235</v>
      </c>
      <c r="D1344" s="140" t="s">
        <v>5340</v>
      </c>
      <c r="E1344" s="125" t="s">
        <v>5341</v>
      </c>
      <c r="F1344" s="140" t="s">
        <v>5342</v>
      </c>
      <c r="G1344" s="125" t="s">
        <v>5297</v>
      </c>
      <c r="H1344" s="125" t="s">
        <v>5862</v>
      </c>
      <c r="I1344" s="125" t="s">
        <v>5344</v>
      </c>
    </row>
    <row r="1345" spans="1:9" x14ac:dyDescent="0.25">
      <c r="A1345" s="125" t="s">
        <v>2609</v>
      </c>
      <c r="B1345" s="125" t="s">
        <v>5339</v>
      </c>
      <c r="C1345" s="125">
        <v>235</v>
      </c>
      <c r="D1345" s="140" t="s">
        <v>5340</v>
      </c>
      <c r="E1345" s="125" t="s">
        <v>5341</v>
      </c>
      <c r="F1345" s="140" t="s">
        <v>5342</v>
      </c>
      <c r="G1345" s="125" t="s">
        <v>5297</v>
      </c>
      <c r="H1345" s="125" t="s">
        <v>1059</v>
      </c>
      <c r="I1345" s="125" t="s">
        <v>5497</v>
      </c>
    </row>
    <row r="1346" spans="1:9" x14ac:dyDescent="0.25">
      <c r="A1346" s="125" t="s">
        <v>1547</v>
      </c>
      <c r="B1346" s="125" t="s">
        <v>5339</v>
      </c>
      <c r="C1346" s="125">
        <v>235</v>
      </c>
      <c r="D1346" s="140" t="s">
        <v>5340</v>
      </c>
      <c r="E1346" s="125" t="s">
        <v>5341</v>
      </c>
      <c r="F1346" s="140" t="s">
        <v>5342</v>
      </c>
      <c r="G1346" s="125" t="s">
        <v>5297</v>
      </c>
      <c r="H1346" s="125" t="s">
        <v>5862</v>
      </c>
      <c r="I1346" s="125" t="s">
        <v>5344</v>
      </c>
    </row>
    <row r="1347" spans="1:9" x14ac:dyDescent="0.25">
      <c r="A1347" s="125" t="s">
        <v>2208</v>
      </c>
      <c r="B1347" s="125" t="s">
        <v>5339</v>
      </c>
      <c r="C1347" s="125">
        <v>235</v>
      </c>
      <c r="D1347" s="140" t="s">
        <v>5340</v>
      </c>
      <c r="E1347" s="125" t="s">
        <v>5341</v>
      </c>
      <c r="F1347" s="140" t="s">
        <v>5342</v>
      </c>
      <c r="G1347" s="125" t="s">
        <v>5297</v>
      </c>
      <c r="H1347" s="125" t="s">
        <v>1059</v>
      </c>
      <c r="I1347" s="125" t="s">
        <v>5497</v>
      </c>
    </row>
    <row r="1348" spans="1:9" x14ac:dyDescent="0.25">
      <c r="A1348" s="125" t="s">
        <v>2757</v>
      </c>
      <c r="B1348" s="125" t="s">
        <v>5339</v>
      </c>
      <c r="C1348" s="125">
        <v>235</v>
      </c>
      <c r="D1348" s="140" t="s">
        <v>5340</v>
      </c>
      <c r="E1348" s="125" t="s">
        <v>5341</v>
      </c>
      <c r="F1348" s="140" t="s">
        <v>5342</v>
      </c>
      <c r="G1348" s="125" t="s">
        <v>5297</v>
      </c>
      <c r="H1348" s="125" t="s">
        <v>1059</v>
      </c>
      <c r="I1348" s="125" t="s">
        <v>5497</v>
      </c>
    </row>
    <row r="1349" spans="1:9" x14ac:dyDescent="0.25">
      <c r="A1349" s="125" t="s">
        <v>2312</v>
      </c>
      <c r="B1349" s="125" t="s">
        <v>5339</v>
      </c>
      <c r="C1349" s="125">
        <v>235</v>
      </c>
      <c r="D1349" s="140" t="s">
        <v>5340</v>
      </c>
      <c r="E1349" s="125" t="s">
        <v>5341</v>
      </c>
      <c r="F1349" s="140" t="s">
        <v>5342</v>
      </c>
      <c r="G1349" s="125" t="s">
        <v>5297</v>
      </c>
      <c r="H1349" s="125" t="s">
        <v>1059</v>
      </c>
      <c r="I1349" s="125" t="s">
        <v>5497</v>
      </c>
    </row>
    <row r="1350" spans="1:9" x14ac:dyDescent="0.25">
      <c r="A1350" s="125" t="s">
        <v>3042</v>
      </c>
      <c r="B1350" s="125" t="s">
        <v>5339</v>
      </c>
      <c r="C1350" s="125">
        <v>235</v>
      </c>
      <c r="D1350" s="140" t="s">
        <v>5340</v>
      </c>
      <c r="E1350" s="125" t="s">
        <v>5341</v>
      </c>
      <c r="F1350" s="140" t="s">
        <v>5342</v>
      </c>
      <c r="G1350" s="125" t="s">
        <v>5297</v>
      </c>
      <c r="H1350" s="125" t="s">
        <v>1059</v>
      </c>
      <c r="I1350" s="125" t="s">
        <v>5497</v>
      </c>
    </row>
    <row r="1351" spans="1:9" x14ac:dyDescent="0.25">
      <c r="A1351" s="125" t="s">
        <v>1940</v>
      </c>
      <c r="B1351" s="125" t="s">
        <v>5339</v>
      </c>
      <c r="C1351" s="125">
        <v>235</v>
      </c>
      <c r="D1351" s="140" t="s">
        <v>5340</v>
      </c>
      <c r="E1351" s="125" t="s">
        <v>5341</v>
      </c>
      <c r="F1351" s="140" t="s">
        <v>5342</v>
      </c>
      <c r="G1351" s="125" t="s">
        <v>5297</v>
      </c>
      <c r="H1351" s="125" t="s">
        <v>1059</v>
      </c>
      <c r="I1351" s="125" t="s">
        <v>5497</v>
      </c>
    </row>
    <row r="1352" spans="1:9" x14ac:dyDescent="0.25">
      <c r="A1352" s="125" t="s">
        <v>2420</v>
      </c>
      <c r="B1352" s="125" t="s">
        <v>5463</v>
      </c>
      <c r="C1352" s="125">
        <v>709</v>
      </c>
      <c r="D1352" s="125" t="s">
        <v>5464</v>
      </c>
      <c r="E1352" s="125" t="s">
        <v>5465</v>
      </c>
      <c r="F1352" s="125" t="s">
        <v>5466</v>
      </c>
      <c r="G1352" s="125" t="s">
        <v>5270</v>
      </c>
      <c r="H1352" s="125" t="s">
        <v>1628</v>
      </c>
      <c r="I1352" s="125" t="s">
        <v>5344</v>
      </c>
    </row>
    <row r="1353" spans="1:9" x14ac:dyDescent="0.25">
      <c r="A1353" s="125" t="s">
        <v>2387</v>
      </c>
      <c r="B1353" s="125" t="s">
        <v>5463</v>
      </c>
      <c r="C1353" s="125">
        <v>709</v>
      </c>
      <c r="D1353" s="125" t="s">
        <v>5464</v>
      </c>
      <c r="E1353" s="125" t="s">
        <v>5465</v>
      </c>
      <c r="F1353" s="125" t="s">
        <v>5466</v>
      </c>
      <c r="G1353" s="125" t="s">
        <v>5270</v>
      </c>
      <c r="H1353" s="125" t="s">
        <v>5863</v>
      </c>
      <c r="I1353" s="125" t="s">
        <v>2672</v>
      </c>
    </row>
    <row r="1354" spans="1:9" x14ac:dyDescent="0.25">
      <c r="A1354" s="125" t="s">
        <v>2857</v>
      </c>
      <c r="B1354" s="125" t="s">
        <v>5463</v>
      </c>
      <c r="C1354" s="125">
        <v>709</v>
      </c>
      <c r="D1354" s="125" t="s">
        <v>5464</v>
      </c>
      <c r="E1354" s="125" t="s">
        <v>5465</v>
      </c>
      <c r="F1354" s="125" t="s">
        <v>5466</v>
      </c>
      <c r="G1354" s="125" t="s">
        <v>5270</v>
      </c>
      <c r="H1354" s="125" t="s">
        <v>1102</v>
      </c>
      <c r="I1354" s="125" t="s">
        <v>1102</v>
      </c>
    </row>
    <row r="1355" spans="1:9" x14ac:dyDescent="0.25">
      <c r="A1355" s="125" t="s">
        <v>1314</v>
      </c>
      <c r="B1355" s="125" t="s">
        <v>5463</v>
      </c>
      <c r="C1355" s="125">
        <v>709</v>
      </c>
      <c r="D1355" s="125" t="s">
        <v>5464</v>
      </c>
      <c r="E1355" s="125" t="s">
        <v>5465</v>
      </c>
      <c r="F1355" s="125" t="s">
        <v>5466</v>
      </c>
      <c r="G1355" s="125" t="s">
        <v>5270</v>
      </c>
      <c r="H1355" s="125" t="s">
        <v>1102</v>
      </c>
      <c r="I1355" s="125" t="s">
        <v>1102</v>
      </c>
    </row>
    <row r="1356" spans="1:9" x14ac:dyDescent="0.25">
      <c r="A1356" s="125" t="s">
        <v>2812</v>
      </c>
      <c r="B1356" s="125" t="s">
        <v>5463</v>
      </c>
      <c r="C1356" s="125">
        <v>709</v>
      </c>
      <c r="D1356" s="125" t="s">
        <v>5464</v>
      </c>
      <c r="E1356" s="125" t="s">
        <v>5465</v>
      </c>
      <c r="F1356" s="125" t="s">
        <v>5466</v>
      </c>
      <c r="G1356" s="125" t="s">
        <v>5270</v>
      </c>
      <c r="H1356" s="125" t="s">
        <v>1102</v>
      </c>
      <c r="I1356" s="125" t="s">
        <v>1102</v>
      </c>
    </row>
    <row r="1357" spans="1:9" x14ac:dyDescent="0.25">
      <c r="A1357" s="125" t="s">
        <v>3054</v>
      </c>
      <c r="B1357" s="125" t="s">
        <v>5463</v>
      </c>
      <c r="C1357" s="125">
        <v>709</v>
      </c>
      <c r="D1357" s="125" t="s">
        <v>5464</v>
      </c>
      <c r="E1357" s="125" t="s">
        <v>5465</v>
      </c>
      <c r="F1357" s="125" t="s">
        <v>5466</v>
      </c>
      <c r="G1357" s="125" t="s">
        <v>5270</v>
      </c>
      <c r="H1357" s="125" t="s">
        <v>3053</v>
      </c>
      <c r="I1357" s="125" t="s">
        <v>2672</v>
      </c>
    </row>
    <row r="1358" spans="1:9" x14ac:dyDescent="0.25">
      <c r="A1358" s="125" t="s">
        <v>2571</v>
      </c>
      <c r="B1358" s="125" t="s">
        <v>5463</v>
      </c>
      <c r="C1358" s="125">
        <v>709</v>
      </c>
      <c r="D1358" s="125" t="s">
        <v>5464</v>
      </c>
      <c r="E1358" s="125" t="s">
        <v>5465</v>
      </c>
      <c r="F1358" s="125" t="s">
        <v>5466</v>
      </c>
      <c r="G1358" s="125" t="s">
        <v>5270</v>
      </c>
      <c r="H1358" s="125" t="s">
        <v>1102</v>
      </c>
      <c r="I1358" s="125" t="s">
        <v>1102</v>
      </c>
    </row>
    <row r="1359" spans="1:9" x14ac:dyDescent="0.25">
      <c r="A1359" s="125" t="s">
        <v>5864</v>
      </c>
      <c r="B1359" s="125" t="s">
        <v>5463</v>
      </c>
      <c r="C1359" s="125">
        <v>709</v>
      </c>
      <c r="D1359" s="125" t="s">
        <v>5464</v>
      </c>
      <c r="E1359" s="125" t="s">
        <v>5465</v>
      </c>
      <c r="F1359" s="125" t="s">
        <v>5466</v>
      </c>
      <c r="G1359" s="125" t="s">
        <v>5270</v>
      </c>
      <c r="H1359" s="125" t="s">
        <v>3053</v>
      </c>
      <c r="I1359" s="125" t="s">
        <v>2672</v>
      </c>
    </row>
    <row r="1360" spans="1:9" x14ac:dyDescent="0.25">
      <c r="A1360" s="125" t="s">
        <v>5865</v>
      </c>
      <c r="B1360" s="125" t="s">
        <v>5463</v>
      </c>
      <c r="C1360" s="125">
        <v>709</v>
      </c>
      <c r="D1360" s="125" t="s">
        <v>5464</v>
      </c>
      <c r="E1360" s="125" t="s">
        <v>5465</v>
      </c>
      <c r="F1360" s="125" t="s">
        <v>5466</v>
      </c>
      <c r="G1360" s="125" t="s">
        <v>5270</v>
      </c>
      <c r="H1360" s="125" t="s">
        <v>1102</v>
      </c>
      <c r="I1360" s="125" t="s">
        <v>1102</v>
      </c>
    </row>
    <row r="1361" spans="1:9" x14ac:dyDescent="0.25">
      <c r="A1361" s="125" t="s">
        <v>5866</v>
      </c>
      <c r="B1361" s="125" t="s">
        <v>5463</v>
      </c>
      <c r="C1361" s="125">
        <v>709</v>
      </c>
      <c r="D1361" s="125" t="s">
        <v>5464</v>
      </c>
      <c r="E1361" s="125" t="s">
        <v>5465</v>
      </c>
      <c r="F1361" s="125" t="s">
        <v>5466</v>
      </c>
      <c r="G1361" s="125" t="s">
        <v>5270</v>
      </c>
      <c r="H1361" s="125" t="s">
        <v>1102</v>
      </c>
      <c r="I1361" s="125" t="s">
        <v>1102</v>
      </c>
    </row>
    <row r="1362" spans="1:9" x14ac:dyDescent="0.25">
      <c r="A1362" s="125" t="s">
        <v>5867</v>
      </c>
      <c r="B1362" s="125" t="s">
        <v>5463</v>
      </c>
      <c r="C1362" s="125">
        <v>709</v>
      </c>
      <c r="D1362" s="125" t="s">
        <v>5464</v>
      </c>
      <c r="E1362" s="125" t="s">
        <v>5465</v>
      </c>
      <c r="F1362" s="125" t="s">
        <v>5466</v>
      </c>
      <c r="G1362" s="125" t="s">
        <v>5270</v>
      </c>
      <c r="H1362" s="125" t="s">
        <v>1102</v>
      </c>
      <c r="I1362" s="125" t="s">
        <v>1102</v>
      </c>
    </row>
    <row r="1363" spans="1:9" x14ac:dyDescent="0.25">
      <c r="A1363" s="125" t="s">
        <v>1629</v>
      </c>
      <c r="B1363" s="125" t="s">
        <v>5463</v>
      </c>
      <c r="C1363" s="125">
        <v>709</v>
      </c>
      <c r="D1363" s="125" t="s">
        <v>5464</v>
      </c>
      <c r="E1363" s="125" t="s">
        <v>5465</v>
      </c>
      <c r="F1363" s="125" t="s">
        <v>5466</v>
      </c>
      <c r="G1363" s="125" t="s">
        <v>5270</v>
      </c>
      <c r="H1363" s="125" t="s">
        <v>1628</v>
      </c>
      <c r="I1363" s="125" t="s">
        <v>5344</v>
      </c>
    </row>
    <row r="1364" spans="1:9" x14ac:dyDescent="0.25">
      <c r="A1364" s="125" t="s">
        <v>5868</v>
      </c>
      <c r="B1364" s="125" t="s">
        <v>5463</v>
      </c>
      <c r="C1364" s="125">
        <v>709</v>
      </c>
      <c r="D1364" s="125" t="s">
        <v>5464</v>
      </c>
      <c r="E1364" s="125" t="s">
        <v>5465</v>
      </c>
      <c r="F1364" s="125" t="s">
        <v>5466</v>
      </c>
      <c r="G1364" s="125" t="s">
        <v>5270</v>
      </c>
      <c r="H1364" s="125" t="s">
        <v>1102</v>
      </c>
      <c r="I1364" s="125" t="s">
        <v>1102</v>
      </c>
    </row>
    <row r="1365" spans="1:9" x14ac:dyDescent="0.25">
      <c r="A1365" s="125" t="s">
        <v>1256</v>
      </c>
      <c r="B1365" s="125" t="s">
        <v>5463</v>
      </c>
      <c r="C1365" s="125">
        <v>709</v>
      </c>
      <c r="D1365" s="125" t="s">
        <v>5464</v>
      </c>
      <c r="E1365" s="125" t="s">
        <v>5465</v>
      </c>
      <c r="F1365" s="125" t="s">
        <v>5466</v>
      </c>
      <c r="G1365" s="125" t="s">
        <v>5270</v>
      </c>
      <c r="H1365" s="125" t="s">
        <v>1102</v>
      </c>
      <c r="I1365" s="125" t="s">
        <v>1102</v>
      </c>
    </row>
    <row r="1366" spans="1:9" x14ac:dyDescent="0.25">
      <c r="A1366" s="125" t="s">
        <v>1326</v>
      </c>
      <c r="B1366" s="125" t="s">
        <v>5463</v>
      </c>
      <c r="C1366" s="125">
        <v>709</v>
      </c>
      <c r="D1366" s="125" t="s">
        <v>5464</v>
      </c>
      <c r="E1366" s="125" t="s">
        <v>5465</v>
      </c>
      <c r="F1366" s="125" t="s">
        <v>5466</v>
      </c>
      <c r="G1366" s="125" t="s">
        <v>5270</v>
      </c>
      <c r="H1366" s="125" t="s">
        <v>5863</v>
      </c>
      <c r="I1366" s="125" t="s">
        <v>2672</v>
      </c>
    </row>
    <row r="1367" spans="1:9" x14ac:dyDescent="0.25">
      <c r="A1367" s="125" t="s">
        <v>1778</v>
      </c>
      <c r="B1367" s="125" t="s">
        <v>5463</v>
      </c>
      <c r="C1367" s="125">
        <v>709</v>
      </c>
      <c r="D1367" s="125" t="s">
        <v>5464</v>
      </c>
      <c r="E1367" s="125" t="s">
        <v>5465</v>
      </c>
      <c r="F1367" s="125" t="s">
        <v>5466</v>
      </c>
      <c r="G1367" s="125" t="s">
        <v>5270</v>
      </c>
      <c r="H1367" s="125" t="s">
        <v>5863</v>
      </c>
      <c r="I1367" s="125" t="s">
        <v>2672</v>
      </c>
    </row>
    <row r="1368" spans="1:9" x14ac:dyDescent="0.25">
      <c r="A1368" s="125" t="s">
        <v>2451</v>
      </c>
      <c r="B1368" s="125" t="s">
        <v>5463</v>
      </c>
      <c r="C1368" s="125">
        <v>709</v>
      </c>
      <c r="D1368" s="125" t="s">
        <v>5464</v>
      </c>
      <c r="E1368" s="125" t="s">
        <v>5465</v>
      </c>
      <c r="F1368" s="125" t="s">
        <v>5466</v>
      </c>
      <c r="G1368" s="125" t="s">
        <v>5270</v>
      </c>
      <c r="H1368" s="125" t="s">
        <v>1628</v>
      </c>
      <c r="I1368" s="125" t="s">
        <v>5344</v>
      </c>
    </row>
    <row r="1369" spans="1:9" x14ac:dyDescent="0.25">
      <c r="A1369" s="125" t="s">
        <v>2740</v>
      </c>
      <c r="B1369" s="125" t="s">
        <v>5463</v>
      </c>
      <c r="C1369" s="125">
        <v>709</v>
      </c>
      <c r="D1369" s="125" t="s">
        <v>5464</v>
      </c>
      <c r="E1369" s="125" t="s">
        <v>5465</v>
      </c>
      <c r="F1369" s="125" t="s">
        <v>5466</v>
      </c>
      <c r="G1369" s="125" t="s">
        <v>5270</v>
      </c>
      <c r="H1369" s="125" t="s">
        <v>1628</v>
      </c>
      <c r="I1369" s="125" t="s">
        <v>5344</v>
      </c>
    </row>
    <row r="1370" spans="1:9" x14ac:dyDescent="0.25">
      <c r="A1370" s="125" t="s">
        <v>1359</v>
      </c>
      <c r="B1370" s="125" t="s">
        <v>5463</v>
      </c>
      <c r="C1370" s="125">
        <v>709</v>
      </c>
      <c r="D1370" s="125" t="s">
        <v>5464</v>
      </c>
      <c r="E1370" s="125" t="s">
        <v>5465</v>
      </c>
      <c r="F1370" s="125" t="s">
        <v>5466</v>
      </c>
      <c r="G1370" s="125" t="s">
        <v>5270</v>
      </c>
      <c r="H1370" s="125" t="s">
        <v>5863</v>
      </c>
      <c r="I1370" s="125" t="s">
        <v>2672</v>
      </c>
    </row>
    <row r="1371" spans="1:9" x14ac:dyDescent="0.25">
      <c r="A1371" s="125" t="s">
        <v>1891</v>
      </c>
      <c r="B1371" s="125" t="s">
        <v>5463</v>
      </c>
      <c r="C1371" s="125">
        <v>709</v>
      </c>
      <c r="D1371" s="125" t="s">
        <v>5464</v>
      </c>
      <c r="E1371" s="125" t="s">
        <v>5465</v>
      </c>
      <c r="F1371" s="125" t="s">
        <v>5466</v>
      </c>
      <c r="G1371" s="125" t="s">
        <v>5270</v>
      </c>
      <c r="H1371" s="125" t="s">
        <v>1628</v>
      </c>
      <c r="I1371" s="125" t="s">
        <v>5344</v>
      </c>
    </row>
    <row r="1372" spans="1:9" x14ac:dyDescent="0.25">
      <c r="A1372" s="125" t="s">
        <v>2348</v>
      </c>
      <c r="B1372" s="125" t="s">
        <v>5463</v>
      </c>
      <c r="C1372" s="125">
        <v>709</v>
      </c>
      <c r="D1372" s="125" t="s">
        <v>5464</v>
      </c>
      <c r="E1372" s="125" t="s">
        <v>5465</v>
      </c>
      <c r="F1372" s="125" t="s">
        <v>5466</v>
      </c>
      <c r="G1372" s="125" t="s">
        <v>5270</v>
      </c>
      <c r="H1372" s="125" t="s">
        <v>5863</v>
      </c>
      <c r="I1372" s="125" t="s">
        <v>2672</v>
      </c>
    </row>
    <row r="1373" spans="1:9" x14ac:dyDescent="0.25">
      <c r="A1373" s="125" t="s">
        <v>2338</v>
      </c>
      <c r="B1373" s="125" t="s">
        <v>5463</v>
      </c>
      <c r="C1373" s="125">
        <v>709</v>
      </c>
      <c r="D1373" s="125" t="s">
        <v>5464</v>
      </c>
      <c r="E1373" s="125" t="s">
        <v>5465</v>
      </c>
      <c r="F1373" s="125" t="s">
        <v>5466</v>
      </c>
      <c r="G1373" s="125" t="s">
        <v>5270</v>
      </c>
      <c r="H1373" s="125" t="s">
        <v>5863</v>
      </c>
      <c r="I1373" s="125" t="s">
        <v>2672</v>
      </c>
    </row>
    <row r="1374" spans="1:9" x14ac:dyDescent="0.25">
      <c r="A1374" s="125" t="s">
        <v>1846</v>
      </c>
      <c r="B1374" s="125" t="s">
        <v>5463</v>
      </c>
      <c r="C1374" s="125">
        <v>709</v>
      </c>
      <c r="D1374" s="125" t="s">
        <v>5464</v>
      </c>
      <c r="E1374" s="125" t="s">
        <v>5465</v>
      </c>
      <c r="F1374" s="125" t="s">
        <v>5466</v>
      </c>
      <c r="G1374" s="125" t="s">
        <v>5270</v>
      </c>
      <c r="H1374" s="125" t="s">
        <v>5863</v>
      </c>
      <c r="I1374" s="125" t="s">
        <v>2672</v>
      </c>
    </row>
    <row r="1375" spans="1:9" x14ac:dyDescent="0.25">
      <c r="A1375" s="125" t="s">
        <v>1846</v>
      </c>
      <c r="B1375" s="125" t="s">
        <v>5463</v>
      </c>
      <c r="C1375" s="125">
        <v>709</v>
      </c>
      <c r="D1375" s="125" t="s">
        <v>5464</v>
      </c>
      <c r="E1375" s="125" t="s">
        <v>5465</v>
      </c>
      <c r="F1375" s="125" t="s">
        <v>5466</v>
      </c>
      <c r="G1375" s="125" t="s">
        <v>5270</v>
      </c>
      <c r="H1375" s="125" t="s">
        <v>5869</v>
      </c>
      <c r="I1375" s="125" t="s">
        <v>5869</v>
      </c>
    </row>
    <row r="1376" spans="1:9" x14ac:dyDescent="0.25">
      <c r="A1376" s="125" t="s">
        <v>1846</v>
      </c>
      <c r="B1376" s="125" t="s">
        <v>5463</v>
      </c>
      <c r="C1376" s="125">
        <v>709</v>
      </c>
      <c r="D1376" s="125" t="s">
        <v>5464</v>
      </c>
      <c r="E1376" s="125" t="s">
        <v>5465</v>
      </c>
      <c r="F1376" s="125" t="s">
        <v>5466</v>
      </c>
      <c r="G1376" s="125" t="s">
        <v>5270</v>
      </c>
      <c r="H1376" s="125" t="s">
        <v>5869</v>
      </c>
      <c r="I1376" s="125" t="s">
        <v>5869</v>
      </c>
    </row>
    <row r="1377" spans="1:9" x14ac:dyDescent="0.25">
      <c r="A1377" s="125" t="s">
        <v>5870</v>
      </c>
      <c r="B1377" s="125" t="s">
        <v>5320</v>
      </c>
      <c r="C1377" s="125">
        <v>234</v>
      </c>
      <c r="D1377" s="125" t="s">
        <v>5321</v>
      </c>
      <c r="E1377" s="125" t="s">
        <v>5303</v>
      </c>
      <c r="F1377" s="125" t="s">
        <v>5304</v>
      </c>
      <c r="G1377" s="125" t="s">
        <v>5297</v>
      </c>
      <c r="H1377" s="125" t="s">
        <v>1092</v>
      </c>
      <c r="I1377" s="125" t="s">
        <v>1092</v>
      </c>
    </row>
    <row r="1378" spans="1:9" x14ac:dyDescent="0.25">
      <c r="A1378" s="125" t="s">
        <v>3494</v>
      </c>
      <c r="B1378" s="125" t="s">
        <v>5320</v>
      </c>
      <c r="C1378" s="125">
        <v>234</v>
      </c>
      <c r="D1378" s="125" t="s">
        <v>5321</v>
      </c>
      <c r="E1378" s="125" t="s">
        <v>5303</v>
      </c>
      <c r="F1378" s="125" t="s">
        <v>5304</v>
      </c>
      <c r="G1378" s="125" t="s">
        <v>5297</v>
      </c>
      <c r="H1378" s="125" t="s">
        <v>1092</v>
      </c>
      <c r="I1378" s="125" t="s">
        <v>1092</v>
      </c>
    </row>
    <row r="1379" spans="1:9" x14ac:dyDescent="0.25">
      <c r="A1379" s="125" t="s">
        <v>2080</v>
      </c>
      <c r="B1379" s="125" t="s">
        <v>5320</v>
      </c>
      <c r="C1379" s="125">
        <v>234</v>
      </c>
      <c r="D1379" s="125" t="s">
        <v>5321</v>
      </c>
      <c r="E1379" s="125" t="s">
        <v>5303</v>
      </c>
      <c r="F1379" s="125" t="s">
        <v>5304</v>
      </c>
      <c r="G1379" s="125" t="s">
        <v>5297</v>
      </c>
      <c r="H1379" s="125" t="s">
        <v>1092</v>
      </c>
      <c r="I1379" s="125" t="s">
        <v>1092</v>
      </c>
    </row>
    <row r="1380" spans="1:9" x14ac:dyDescent="0.25">
      <c r="A1380" s="125" t="s">
        <v>5871</v>
      </c>
      <c r="B1380" s="125" t="s">
        <v>5320</v>
      </c>
      <c r="C1380" s="125">
        <v>234</v>
      </c>
      <c r="D1380" s="125" t="s">
        <v>5321</v>
      </c>
      <c r="E1380" s="125" t="s">
        <v>5303</v>
      </c>
      <c r="F1380" s="125" t="s">
        <v>5304</v>
      </c>
      <c r="G1380" s="125" t="s">
        <v>5297</v>
      </c>
      <c r="H1380" s="125" t="s">
        <v>1092</v>
      </c>
      <c r="I1380" s="125" t="s">
        <v>1092</v>
      </c>
    </row>
    <row r="1381" spans="1:9" x14ac:dyDescent="0.25">
      <c r="A1381" s="125" t="s">
        <v>5872</v>
      </c>
      <c r="B1381" s="125" t="s">
        <v>5320</v>
      </c>
      <c r="C1381" s="125">
        <v>234</v>
      </c>
      <c r="D1381" s="125" t="s">
        <v>5321</v>
      </c>
      <c r="E1381" s="125" t="s">
        <v>5303</v>
      </c>
      <c r="F1381" s="125" t="s">
        <v>5304</v>
      </c>
      <c r="G1381" s="125" t="s">
        <v>5297</v>
      </c>
      <c r="H1381" s="125" t="s">
        <v>1092</v>
      </c>
      <c r="I1381" s="125" t="s">
        <v>1092</v>
      </c>
    </row>
    <row r="1382" spans="1:9" x14ac:dyDescent="0.25">
      <c r="A1382" s="125" t="s">
        <v>5873</v>
      </c>
      <c r="B1382" s="125" t="s">
        <v>5320</v>
      </c>
      <c r="C1382" s="125">
        <v>234</v>
      </c>
      <c r="D1382" s="125" t="s">
        <v>5321</v>
      </c>
      <c r="E1382" s="125" t="s">
        <v>5303</v>
      </c>
      <c r="F1382" s="125" t="s">
        <v>5304</v>
      </c>
      <c r="G1382" s="125" t="s">
        <v>5297</v>
      </c>
      <c r="H1382" s="125" t="s">
        <v>1092</v>
      </c>
      <c r="I1382" s="125" t="s">
        <v>1092</v>
      </c>
    </row>
    <row r="1383" spans="1:9" x14ac:dyDescent="0.25">
      <c r="A1383" s="125" t="s">
        <v>5874</v>
      </c>
      <c r="B1383" s="125" t="s">
        <v>5320</v>
      </c>
      <c r="C1383" s="125">
        <v>234</v>
      </c>
      <c r="D1383" s="125" t="s">
        <v>5321</v>
      </c>
      <c r="E1383" s="125" t="s">
        <v>5303</v>
      </c>
      <c r="F1383" s="125" t="s">
        <v>5304</v>
      </c>
      <c r="G1383" s="125" t="s">
        <v>5297</v>
      </c>
      <c r="H1383" s="125" t="s">
        <v>1092</v>
      </c>
      <c r="I1383" s="125" t="s">
        <v>1092</v>
      </c>
    </row>
    <row r="1384" spans="1:9" x14ac:dyDescent="0.25">
      <c r="A1384" s="125" t="s">
        <v>5875</v>
      </c>
      <c r="B1384" s="125" t="s">
        <v>5320</v>
      </c>
      <c r="C1384" s="125">
        <v>234</v>
      </c>
      <c r="D1384" s="125" t="s">
        <v>5321</v>
      </c>
      <c r="E1384" s="125" t="s">
        <v>5303</v>
      </c>
      <c r="F1384" s="125" t="s">
        <v>5304</v>
      </c>
      <c r="G1384" s="125" t="s">
        <v>5297</v>
      </c>
      <c r="H1384" s="125" t="s">
        <v>1092</v>
      </c>
      <c r="I1384" s="125" t="s">
        <v>1092</v>
      </c>
    </row>
    <row r="1385" spans="1:9" x14ac:dyDescent="0.25">
      <c r="A1385" s="125" t="s">
        <v>2321</v>
      </c>
      <c r="B1385" s="125" t="s">
        <v>5522</v>
      </c>
      <c r="C1385" s="125">
        <v>220</v>
      </c>
      <c r="D1385" s="125" t="s">
        <v>5523</v>
      </c>
      <c r="E1385" s="125" t="s">
        <v>5303</v>
      </c>
      <c r="F1385" s="125" t="s">
        <v>5304</v>
      </c>
      <c r="G1385" s="125" t="s">
        <v>5297</v>
      </c>
      <c r="H1385" s="125" t="s">
        <v>1058</v>
      </c>
      <c r="I1385" s="125" t="s">
        <v>5526</v>
      </c>
    </row>
    <row r="1386" spans="1:9" x14ac:dyDescent="0.25">
      <c r="A1386" s="125" t="s">
        <v>1424</v>
      </c>
      <c r="B1386" s="125" t="s">
        <v>5522</v>
      </c>
      <c r="C1386" s="125">
        <v>220</v>
      </c>
      <c r="D1386" s="125" t="s">
        <v>5523</v>
      </c>
      <c r="E1386" s="125" t="s">
        <v>5303</v>
      </c>
      <c r="F1386" s="125" t="s">
        <v>5304</v>
      </c>
      <c r="G1386" s="125" t="s">
        <v>5297</v>
      </c>
      <c r="H1386" s="125" t="s">
        <v>1094</v>
      </c>
      <c r="I1386" s="125" t="s">
        <v>5318</v>
      </c>
    </row>
    <row r="1387" spans="1:9" x14ac:dyDescent="0.25">
      <c r="A1387" s="125" t="s">
        <v>1366</v>
      </c>
      <c r="B1387" s="125" t="s">
        <v>5876</v>
      </c>
      <c r="C1387" s="125">
        <v>282</v>
      </c>
      <c r="D1387" s="125" t="s">
        <v>5529</v>
      </c>
      <c r="E1387" s="125" t="s">
        <v>5341</v>
      </c>
      <c r="F1387" s="140" t="s">
        <v>5342</v>
      </c>
      <c r="G1387" s="125" t="s">
        <v>5297</v>
      </c>
      <c r="H1387" s="125" t="s">
        <v>5877</v>
      </c>
      <c r="I1387" s="125" t="s">
        <v>5526</v>
      </c>
    </row>
    <row r="1388" spans="1:9" x14ac:dyDescent="0.25">
      <c r="A1388" s="125" t="s">
        <v>1126</v>
      </c>
      <c r="B1388" s="125" t="s">
        <v>5878</v>
      </c>
      <c r="C1388" s="125">
        <v>280</v>
      </c>
      <c r="D1388" s="125" t="s">
        <v>5879</v>
      </c>
      <c r="E1388" s="125" t="s">
        <v>5341</v>
      </c>
      <c r="F1388" s="140" t="s">
        <v>5342</v>
      </c>
      <c r="G1388" s="125" t="s">
        <v>5297</v>
      </c>
      <c r="H1388" s="125" t="s">
        <v>5877</v>
      </c>
      <c r="I1388" s="125" t="s">
        <v>5526</v>
      </c>
    </row>
    <row r="1389" spans="1:9" x14ac:dyDescent="0.25">
      <c r="A1389" s="125" t="s">
        <v>1566</v>
      </c>
      <c r="B1389" s="125" t="s">
        <v>5878</v>
      </c>
      <c r="C1389" s="125">
        <v>280</v>
      </c>
      <c r="D1389" s="125" t="s">
        <v>5879</v>
      </c>
      <c r="E1389" s="125" t="s">
        <v>5341</v>
      </c>
      <c r="F1389" s="140" t="s">
        <v>5342</v>
      </c>
      <c r="G1389" s="125" t="s">
        <v>5297</v>
      </c>
      <c r="H1389" s="125" t="s">
        <v>5880</v>
      </c>
      <c r="I1389" s="125" t="s">
        <v>5526</v>
      </c>
    </row>
    <row r="1390" spans="1:9" x14ac:dyDescent="0.25">
      <c r="A1390" s="125" t="s">
        <v>3292</v>
      </c>
      <c r="B1390" s="125" t="s">
        <v>5878</v>
      </c>
      <c r="C1390" s="125">
        <v>280</v>
      </c>
      <c r="D1390" s="125" t="s">
        <v>5879</v>
      </c>
      <c r="E1390" s="125" t="s">
        <v>5341</v>
      </c>
      <c r="F1390" s="140" t="s">
        <v>5342</v>
      </c>
      <c r="G1390" s="125" t="s">
        <v>5297</v>
      </c>
      <c r="H1390" s="125" t="s">
        <v>5880</v>
      </c>
      <c r="I1390" s="125" t="s">
        <v>5526</v>
      </c>
    </row>
    <row r="1391" spans="1:9" x14ac:dyDescent="0.25">
      <c r="A1391" s="125" t="s">
        <v>1152</v>
      </c>
      <c r="B1391" s="125" t="s">
        <v>5572</v>
      </c>
      <c r="C1391" s="125">
        <v>218</v>
      </c>
      <c r="D1391" s="125" t="s">
        <v>5573</v>
      </c>
      <c r="E1391" s="125" t="s">
        <v>5341</v>
      </c>
      <c r="F1391" s="140" t="s">
        <v>5342</v>
      </c>
      <c r="G1391" s="125" t="s">
        <v>5297</v>
      </c>
      <c r="H1391" s="125" t="s">
        <v>3121</v>
      </c>
      <c r="I1391" s="125" t="s">
        <v>3121</v>
      </c>
    </row>
    <row r="1392" spans="1:9" x14ac:dyDescent="0.25">
      <c r="A1392" s="125" t="s">
        <v>1132</v>
      </c>
      <c r="B1392" s="125" t="s">
        <v>5878</v>
      </c>
      <c r="C1392" s="125">
        <v>280</v>
      </c>
      <c r="D1392" s="125" t="s">
        <v>5879</v>
      </c>
      <c r="E1392" s="125" t="s">
        <v>5341</v>
      </c>
      <c r="F1392" s="140" t="s">
        <v>5342</v>
      </c>
      <c r="G1392" s="125" t="s">
        <v>5297</v>
      </c>
      <c r="H1392" s="125" t="s">
        <v>5881</v>
      </c>
      <c r="I1392" s="125" t="s">
        <v>5526</v>
      </c>
    </row>
    <row r="1393" spans="1:9" x14ac:dyDescent="0.25">
      <c r="A1393" s="125" t="s">
        <v>1920</v>
      </c>
      <c r="B1393" s="125" t="s">
        <v>5522</v>
      </c>
      <c r="C1393" s="125">
        <v>220</v>
      </c>
      <c r="D1393" s="125" t="s">
        <v>5523</v>
      </c>
      <c r="E1393" s="125" t="s">
        <v>5303</v>
      </c>
      <c r="F1393" s="125" t="s">
        <v>5304</v>
      </c>
      <c r="G1393" s="125" t="s">
        <v>5297</v>
      </c>
      <c r="H1393" s="125" t="s">
        <v>5881</v>
      </c>
      <c r="I1393" s="125" t="s">
        <v>5526</v>
      </c>
    </row>
    <row r="1394" spans="1:9" x14ac:dyDescent="0.25">
      <c r="A1394" s="125" t="s">
        <v>2043</v>
      </c>
      <c r="B1394" s="125" t="s">
        <v>5522</v>
      </c>
      <c r="C1394" s="125">
        <v>220</v>
      </c>
      <c r="D1394" s="125" t="s">
        <v>5523</v>
      </c>
      <c r="E1394" s="125" t="s">
        <v>5303</v>
      </c>
      <c r="F1394" s="125" t="s">
        <v>5304</v>
      </c>
      <c r="G1394" s="125" t="s">
        <v>5297</v>
      </c>
      <c r="H1394" s="125" t="s">
        <v>5882</v>
      </c>
      <c r="I1394" s="125" t="s">
        <v>5526</v>
      </c>
    </row>
    <row r="1395" spans="1:9" x14ac:dyDescent="0.25">
      <c r="A1395" s="125" t="s">
        <v>1573</v>
      </c>
      <c r="B1395" s="125" t="s">
        <v>5522</v>
      </c>
      <c r="C1395" s="125">
        <v>220</v>
      </c>
      <c r="D1395" s="125" t="s">
        <v>5523</v>
      </c>
      <c r="E1395" s="125" t="s">
        <v>5303</v>
      </c>
      <c r="F1395" s="125" t="s">
        <v>5304</v>
      </c>
      <c r="G1395" s="125" t="s">
        <v>5297</v>
      </c>
      <c r="H1395" s="125" t="s">
        <v>3211</v>
      </c>
      <c r="I1395" s="125" t="s">
        <v>5526</v>
      </c>
    </row>
    <row r="1396" spans="1:9" x14ac:dyDescent="0.25">
      <c r="A1396" s="125" t="s">
        <v>1563</v>
      </c>
      <c r="B1396" s="125" t="s">
        <v>5522</v>
      </c>
      <c r="C1396" s="125">
        <v>220</v>
      </c>
      <c r="D1396" s="125" t="s">
        <v>5523</v>
      </c>
      <c r="E1396" s="125" t="s">
        <v>5303</v>
      </c>
      <c r="F1396" s="125" t="s">
        <v>5304</v>
      </c>
      <c r="G1396" s="125" t="s">
        <v>5297</v>
      </c>
      <c r="H1396" s="125" t="s">
        <v>1058</v>
      </c>
      <c r="I1396" s="125" t="s">
        <v>5526</v>
      </c>
    </row>
    <row r="1397" spans="1:9" x14ac:dyDescent="0.25">
      <c r="A1397" s="125" t="s">
        <v>1574</v>
      </c>
      <c r="B1397" s="125" t="s">
        <v>5522</v>
      </c>
      <c r="C1397" s="125">
        <v>220</v>
      </c>
      <c r="D1397" s="125" t="s">
        <v>5523</v>
      </c>
      <c r="E1397" s="125" t="s">
        <v>5303</v>
      </c>
      <c r="F1397" s="125" t="s">
        <v>5304</v>
      </c>
      <c r="G1397" s="125" t="s">
        <v>5297</v>
      </c>
      <c r="H1397" s="125" t="s">
        <v>1058</v>
      </c>
      <c r="I1397" s="125" t="s">
        <v>5526</v>
      </c>
    </row>
    <row r="1398" spans="1:9" x14ac:dyDescent="0.25">
      <c r="A1398" s="125" t="s">
        <v>1901</v>
      </c>
      <c r="B1398" s="125" t="s">
        <v>5522</v>
      </c>
      <c r="C1398" s="125">
        <v>220</v>
      </c>
      <c r="D1398" s="125" t="s">
        <v>5523</v>
      </c>
      <c r="E1398" s="125" t="s">
        <v>5303</v>
      </c>
      <c r="F1398" s="125" t="s">
        <v>5304</v>
      </c>
      <c r="G1398" s="125" t="s">
        <v>5297</v>
      </c>
      <c r="H1398" s="125" t="s">
        <v>1058</v>
      </c>
      <c r="I1398" s="125" t="s">
        <v>5526</v>
      </c>
    </row>
    <row r="1399" spans="1:9" x14ac:dyDescent="0.25">
      <c r="A1399" s="125" t="s">
        <v>2490</v>
      </c>
      <c r="B1399" s="125" t="s">
        <v>5522</v>
      </c>
      <c r="C1399" s="125">
        <v>220</v>
      </c>
      <c r="D1399" s="125" t="s">
        <v>5523</v>
      </c>
      <c r="E1399" s="125" t="s">
        <v>5303</v>
      </c>
      <c r="F1399" s="125" t="s">
        <v>5304</v>
      </c>
      <c r="G1399" s="125" t="s">
        <v>5297</v>
      </c>
      <c r="H1399" s="125" t="s">
        <v>1058</v>
      </c>
      <c r="I1399" s="125" t="s">
        <v>5526</v>
      </c>
    </row>
    <row r="1400" spans="1:9" x14ac:dyDescent="0.25">
      <c r="A1400" s="125" t="s">
        <v>1658</v>
      </c>
      <c r="B1400" s="125" t="s">
        <v>5522</v>
      </c>
      <c r="C1400" s="125">
        <v>220</v>
      </c>
      <c r="D1400" s="125" t="s">
        <v>5523</v>
      </c>
      <c r="E1400" s="125" t="s">
        <v>5303</v>
      </c>
      <c r="F1400" s="125" t="s">
        <v>5304</v>
      </c>
      <c r="G1400" s="125" t="s">
        <v>5297</v>
      </c>
      <c r="H1400" s="125" t="s">
        <v>5877</v>
      </c>
      <c r="I1400" s="125" t="s">
        <v>5526</v>
      </c>
    </row>
    <row r="1401" spans="1:9" x14ac:dyDescent="0.25">
      <c r="A1401" s="125" t="s">
        <v>1946</v>
      </c>
      <c r="B1401" s="125" t="s">
        <v>5522</v>
      </c>
      <c r="C1401" s="125">
        <v>220</v>
      </c>
      <c r="D1401" s="125" t="s">
        <v>5523</v>
      </c>
      <c r="E1401" s="125" t="s">
        <v>5303</v>
      </c>
      <c r="F1401" s="125" t="s">
        <v>5304</v>
      </c>
      <c r="G1401" s="125" t="s">
        <v>5297</v>
      </c>
      <c r="H1401" s="125" t="s">
        <v>371</v>
      </c>
      <c r="I1401" s="125" t="s">
        <v>371</v>
      </c>
    </row>
    <row r="1402" spans="1:9" x14ac:dyDescent="0.25">
      <c r="A1402" s="125" t="s">
        <v>1415</v>
      </c>
      <c r="B1402" s="125" t="s">
        <v>5522</v>
      </c>
      <c r="C1402" s="125">
        <v>220</v>
      </c>
      <c r="D1402" s="125" t="s">
        <v>5523</v>
      </c>
      <c r="E1402" s="125" t="s">
        <v>5303</v>
      </c>
      <c r="F1402" s="125" t="s">
        <v>5304</v>
      </c>
      <c r="G1402" s="125" t="s">
        <v>5297</v>
      </c>
      <c r="H1402" s="125" t="s">
        <v>5542</v>
      </c>
      <c r="I1402" s="125" t="s">
        <v>5526</v>
      </c>
    </row>
    <row r="1403" spans="1:9" x14ac:dyDescent="0.25">
      <c r="A1403" s="125" t="s">
        <v>2096</v>
      </c>
      <c r="B1403" s="125" t="s">
        <v>5878</v>
      </c>
      <c r="C1403" s="125">
        <v>280</v>
      </c>
      <c r="D1403" s="125" t="s">
        <v>5879</v>
      </c>
      <c r="E1403" s="125" t="s">
        <v>5341</v>
      </c>
      <c r="F1403" s="140" t="s">
        <v>5342</v>
      </c>
      <c r="G1403" s="125" t="s">
        <v>5297</v>
      </c>
      <c r="H1403" s="125" t="s">
        <v>5877</v>
      </c>
      <c r="I1403" s="125" t="s">
        <v>5526</v>
      </c>
    </row>
    <row r="1404" spans="1:9" x14ac:dyDescent="0.25">
      <c r="A1404" s="125" t="s">
        <v>1751</v>
      </c>
      <c r="B1404" s="125" t="s">
        <v>5522</v>
      </c>
      <c r="C1404" s="125">
        <v>220</v>
      </c>
      <c r="D1404" s="125" t="s">
        <v>5523</v>
      </c>
      <c r="E1404" s="125" t="s">
        <v>5303</v>
      </c>
      <c r="F1404" s="125" t="s">
        <v>5304</v>
      </c>
      <c r="G1404" s="125" t="s">
        <v>5297</v>
      </c>
      <c r="H1404" s="125" t="s">
        <v>5881</v>
      </c>
      <c r="I1404" s="125" t="s">
        <v>5526</v>
      </c>
    </row>
    <row r="1405" spans="1:9" x14ac:dyDescent="0.25">
      <c r="A1405" s="125" t="s">
        <v>1565</v>
      </c>
      <c r="B1405" s="125" t="s">
        <v>5522</v>
      </c>
      <c r="C1405" s="125">
        <v>220</v>
      </c>
      <c r="D1405" s="125" t="s">
        <v>5523</v>
      </c>
      <c r="E1405" s="125" t="s">
        <v>5303</v>
      </c>
      <c r="F1405" s="125" t="s">
        <v>5304</v>
      </c>
      <c r="G1405" s="125" t="s">
        <v>5297</v>
      </c>
      <c r="H1405" s="125" t="s">
        <v>5881</v>
      </c>
      <c r="I1405" s="125" t="s">
        <v>5526</v>
      </c>
    </row>
    <row r="1406" spans="1:9" x14ac:dyDescent="0.25">
      <c r="A1406" s="125" t="s">
        <v>1923</v>
      </c>
      <c r="B1406" s="125" t="s">
        <v>5339</v>
      </c>
      <c r="C1406" s="125">
        <v>235</v>
      </c>
      <c r="D1406" s="140" t="s">
        <v>5340</v>
      </c>
      <c r="E1406" s="125" t="s">
        <v>5341</v>
      </c>
      <c r="F1406" s="140" t="s">
        <v>5342</v>
      </c>
      <c r="G1406" s="125" t="s">
        <v>5297</v>
      </c>
      <c r="H1406" s="125" t="s">
        <v>1092</v>
      </c>
      <c r="I1406" s="125" t="s">
        <v>1092</v>
      </c>
    </row>
    <row r="1407" spans="1:9" x14ac:dyDescent="0.25">
      <c r="A1407" s="125" t="s">
        <v>2856</v>
      </c>
      <c r="B1407" s="125" t="s">
        <v>5339</v>
      </c>
      <c r="C1407" s="125">
        <v>235</v>
      </c>
      <c r="D1407" s="140" t="s">
        <v>5340</v>
      </c>
      <c r="E1407" s="125" t="s">
        <v>5341</v>
      </c>
      <c r="F1407" s="140" t="s">
        <v>5342</v>
      </c>
      <c r="G1407" s="125" t="s">
        <v>5297</v>
      </c>
      <c r="H1407" s="125" t="s">
        <v>1092</v>
      </c>
      <c r="I1407" s="125" t="s">
        <v>1092</v>
      </c>
    </row>
    <row r="1408" spans="1:9" x14ac:dyDescent="0.25">
      <c r="A1408" s="125" t="s">
        <v>1441</v>
      </c>
      <c r="B1408" s="125" t="s">
        <v>5339</v>
      </c>
      <c r="C1408" s="125">
        <v>235</v>
      </c>
      <c r="D1408" s="140" t="s">
        <v>5340</v>
      </c>
      <c r="E1408" s="125" t="s">
        <v>5341</v>
      </c>
      <c r="F1408" s="140" t="s">
        <v>5342</v>
      </c>
      <c r="G1408" s="125" t="s">
        <v>5297</v>
      </c>
      <c r="H1408" s="125" t="s">
        <v>1440</v>
      </c>
      <c r="I1408" s="125" t="s">
        <v>1440</v>
      </c>
    </row>
    <row r="1409" spans="1:9" x14ac:dyDescent="0.25">
      <c r="A1409" s="125" t="s">
        <v>1416</v>
      </c>
      <c r="B1409" s="125" t="s">
        <v>5339</v>
      </c>
      <c r="C1409" s="125">
        <v>235</v>
      </c>
      <c r="D1409" s="140" t="s">
        <v>5340</v>
      </c>
      <c r="E1409" s="125" t="s">
        <v>5341</v>
      </c>
      <c r="F1409" s="140" t="s">
        <v>5342</v>
      </c>
      <c r="G1409" s="125" t="s">
        <v>5297</v>
      </c>
      <c r="H1409" s="125" t="s">
        <v>1092</v>
      </c>
      <c r="I1409" s="125" t="s">
        <v>1092</v>
      </c>
    </row>
    <row r="1410" spans="1:9" x14ac:dyDescent="0.25">
      <c r="A1410" s="125" t="s">
        <v>2941</v>
      </c>
      <c r="B1410" s="125" t="s">
        <v>5339</v>
      </c>
      <c r="C1410" s="125">
        <v>235</v>
      </c>
      <c r="D1410" s="140" t="s">
        <v>5340</v>
      </c>
      <c r="E1410" s="125" t="s">
        <v>5341</v>
      </c>
      <c r="F1410" s="140" t="s">
        <v>5342</v>
      </c>
      <c r="G1410" s="125" t="s">
        <v>5297</v>
      </c>
      <c r="H1410" s="125" t="s">
        <v>1092</v>
      </c>
      <c r="I1410" s="125" t="s">
        <v>1092</v>
      </c>
    </row>
    <row r="1411" spans="1:9" x14ac:dyDescent="0.25">
      <c r="A1411" s="125" t="s">
        <v>1091</v>
      </c>
      <c r="B1411" s="125" t="s">
        <v>5339</v>
      </c>
      <c r="C1411" s="125">
        <v>235</v>
      </c>
      <c r="D1411" s="140" t="s">
        <v>5340</v>
      </c>
      <c r="E1411" s="125" t="s">
        <v>5341</v>
      </c>
      <c r="F1411" s="140" t="s">
        <v>5342</v>
      </c>
      <c r="G1411" s="125" t="s">
        <v>5297</v>
      </c>
      <c r="H1411" s="125" t="s">
        <v>1092</v>
      </c>
      <c r="I1411" s="125" t="s">
        <v>1092</v>
      </c>
    </row>
    <row r="1412" spans="1:9" x14ac:dyDescent="0.25">
      <c r="A1412" s="125" t="s">
        <v>3258</v>
      </c>
      <c r="B1412" s="125" t="s">
        <v>5339</v>
      </c>
      <c r="C1412" s="125">
        <v>235</v>
      </c>
      <c r="D1412" s="140" t="s">
        <v>5340</v>
      </c>
      <c r="E1412" s="125" t="s">
        <v>5341</v>
      </c>
      <c r="F1412" s="140" t="s">
        <v>5342</v>
      </c>
      <c r="G1412" s="125" t="s">
        <v>5297</v>
      </c>
      <c r="H1412" s="125" t="s">
        <v>1092</v>
      </c>
      <c r="I1412" s="125" t="s">
        <v>1092</v>
      </c>
    </row>
    <row r="1413" spans="1:9" x14ac:dyDescent="0.25">
      <c r="A1413" s="125" t="s">
        <v>3081</v>
      </c>
      <c r="B1413" s="125" t="s">
        <v>5339</v>
      </c>
      <c r="C1413" s="125">
        <v>235</v>
      </c>
      <c r="D1413" s="140" t="s">
        <v>5340</v>
      </c>
      <c r="E1413" s="125" t="s">
        <v>5341</v>
      </c>
      <c r="F1413" s="140" t="s">
        <v>5342</v>
      </c>
      <c r="G1413" s="125" t="s">
        <v>5297</v>
      </c>
      <c r="H1413" s="125" t="s">
        <v>1114</v>
      </c>
      <c r="I1413" s="125" t="s">
        <v>1114</v>
      </c>
    </row>
    <row r="1414" spans="1:9" x14ac:dyDescent="0.25">
      <c r="A1414" s="125" t="s">
        <v>1457</v>
      </c>
      <c r="B1414" s="125" t="s">
        <v>5339</v>
      </c>
      <c r="C1414" s="125">
        <v>235</v>
      </c>
      <c r="D1414" s="140" t="s">
        <v>5340</v>
      </c>
      <c r="E1414" s="125" t="s">
        <v>5341</v>
      </c>
      <c r="F1414" s="140" t="s">
        <v>5342</v>
      </c>
      <c r="G1414" s="125" t="s">
        <v>5297</v>
      </c>
      <c r="H1414" s="125" t="s">
        <v>1092</v>
      </c>
      <c r="I1414" s="125" t="s">
        <v>1092</v>
      </c>
    </row>
    <row r="1415" spans="1:9" x14ac:dyDescent="0.25">
      <c r="A1415" s="125" t="s">
        <v>2570</v>
      </c>
      <c r="B1415" s="125" t="s">
        <v>5339</v>
      </c>
      <c r="C1415" s="125">
        <v>235</v>
      </c>
      <c r="D1415" s="140" t="s">
        <v>5340</v>
      </c>
      <c r="E1415" s="125" t="s">
        <v>5341</v>
      </c>
      <c r="F1415" s="140" t="s">
        <v>5342</v>
      </c>
      <c r="G1415" s="125" t="s">
        <v>5297</v>
      </c>
      <c r="H1415" s="125" t="s">
        <v>1092</v>
      </c>
      <c r="I1415" s="125" t="s">
        <v>1092</v>
      </c>
    </row>
    <row r="1416" spans="1:9" x14ac:dyDescent="0.25">
      <c r="A1416" s="125" t="s">
        <v>1643</v>
      </c>
      <c r="B1416" s="125" t="s">
        <v>5339</v>
      </c>
      <c r="C1416" s="125">
        <v>235</v>
      </c>
      <c r="D1416" s="140" t="s">
        <v>5340</v>
      </c>
      <c r="E1416" s="125" t="s">
        <v>5341</v>
      </c>
      <c r="F1416" s="140" t="s">
        <v>5342</v>
      </c>
      <c r="G1416" s="125" t="s">
        <v>5297</v>
      </c>
      <c r="H1416" s="125" t="s">
        <v>1092</v>
      </c>
      <c r="I1416" s="125" t="s">
        <v>1092</v>
      </c>
    </row>
    <row r="1417" spans="1:9" x14ac:dyDescent="0.25">
      <c r="A1417" s="125" t="s">
        <v>2474</v>
      </c>
      <c r="B1417" s="125" t="s">
        <v>5339</v>
      </c>
      <c r="C1417" s="125">
        <v>235</v>
      </c>
      <c r="D1417" s="140" t="s">
        <v>5340</v>
      </c>
      <c r="E1417" s="125" t="s">
        <v>5341</v>
      </c>
      <c r="F1417" s="140" t="s">
        <v>5342</v>
      </c>
      <c r="G1417" s="125" t="s">
        <v>5297</v>
      </c>
      <c r="H1417" s="125" t="s">
        <v>1092</v>
      </c>
      <c r="I1417" s="125" t="s">
        <v>1092</v>
      </c>
    </row>
    <row r="1418" spans="1:9" x14ac:dyDescent="0.25">
      <c r="A1418" s="125" t="s">
        <v>5883</v>
      </c>
      <c r="B1418" s="125" t="s">
        <v>5339</v>
      </c>
      <c r="C1418" s="125">
        <v>235</v>
      </c>
      <c r="D1418" s="140" t="s">
        <v>5340</v>
      </c>
      <c r="E1418" s="125" t="s">
        <v>5341</v>
      </c>
      <c r="F1418" s="140" t="s">
        <v>5342</v>
      </c>
      <c r="G1418" s="125" t="s">
        <v>5297</v>
      </c>
      <c r="H1418" s="125" t="s">
        <v>1092</v>
      </c>
      <c r="I1418" s="125" t="s">
        <v>1092</v>
      </c>
    </row>
    <row r="1419" spans="1:9" x14ac:dyDescent="0.25">
      <c r="A1419" s="125" t="s">
        <v>3529</v>
      </c>
      <c r="B1419" s="125" t="s">
        <v>5339</v>
      </c>
      <c r="C1419" s="125">
        <v>235</v>
      </c>
      <c r="D1419" s="140" t="s">
        <v>5340</v>
      </c>
      <c r="E1419" s="125" t="s">
        <v>5341</v>
      </c>
      <c r="F1419" s="140" t="s">
        <v>5342</v>
      </c>
      <c r="G1419" s="125" t="s">
        <v>5297</v>
      </c>
      <c r="H1419" s="125" t="s">
        <v>1092</v>
      </c>
      <c r="I1419" s="125" t="s">
        <v>1092</v>
      </c>
    </row>
    <row r="1420" spans="1:9" x14ac:dyDescent="0.25">
      <c r="A1420" s="125" t="s">
        <v>5884</v>
      </c>
      <c r="B1420" s="125" t="s">
        <v>5339</v>
      </c>
      <c r="C1420" s="125">
        <v>235</v>
      </c>
      <c r="D1420" s="140" t="s">
        <v>5340</v>
      </c>
      <c r="E1420" s="125" t="s">
        <v>5341</v>
      </c>
      <c r="F1420" s="140" t="s">
        <v>5342</v>
      </c>
      <c r="G1420" s="125" t="s">
        <v>5297</v>
      </c>
      <c r="H1420" s="125" t="s">
        <v>1092</v>
      </c>
      <c r="I1420" s="125" t="s">
        <v>1092</v>
      </c>
    </row>
    <row r="1421" spans="1:9" x14ac:dyDescent="0.25">
      <c r="A1421" s="125" t="s">
        <v>2813</v>
      </c>
      <c r="B1421" s="125" t="s">
        <v>5339</v>
      </c>
      <c r="C1421" s="125">
        <v>235</v>
      </c>
      <c r="D1421" s="140" t="s">
        <v>5340</v>
      </c>
      <c r="E1421" s="125" t="s">
        <v>5341</v>
      </c>
      <c r="F1421" s="140" t="s">
        <v>5342</v>
      </c>
      <c r="G1421" s="125" t="s">
        <v>5297</v>
      </c>
      <c r="H1421" s="125" t="s">
        <v>1092</v>
      </c>
      <c r="I1421" s="125" t="s">
        <v>1092</v>
      </c>
    </row>
    <row r="1422" spans="1:9" x14ac:dyDescent="0.25">
      <c r="A1422" s="125" t="s">
        <v>3361</v>
      </c>
      <c r="B1422" s="125" t="s">
        <v>5339</v>
      </c>
      <c r="C1422" s="125">
        <v>235</v>
      </c>
      <c r="D1422" s="140" t="s">
        <v>5340</v>
      </c>
      <c r="E1422" s="125" t="s">
        <v>5341</v>
      </c>
      <c r="F1422" s="140" t="s">
        <v>5342</v>
      </c>
      <c r="G1422" s="125" t="s">
        <v>5297</v>
      </c>
      <c r="H1422" s="125" t="s">
        <v>1092</v>
      </c>
      <c r="I1422" s="125" t="s">
        <v>1092</v>
      </c>
    </row>
    <row r="1423" spans="1:9" x14ac:dyDescent="0.25">
      <c r="A1423" s="125" t="s">
        <v>1642</v>
      </c>
      <c r="B1423" s="125" t="s">
        <v>5339</v>
      </c>
      <c r="C1423" s="125">
        <v>235</v>
      </c>
      <c r="D1423" s="140" t="s">
        <v>5340</v>
      </c>
      <c r="E1423" s="125" t="s">
        <v>5341</v>
      </c>
      <c r="F1423" s="140" t="s">
        <v>5342</v>
      </c>
      <c r="G1423" s="125" t="s">
        <v>5297</v>
      </c>
      <c r="H1423" s="125" t="s">
        <v>1092</v>
      </c>
      <c r="I1423" s="125" t="s">
        <v>1092</v>
      </c>
    </row>
    <row r="1424" spans="1:9" x14ac:dyDescent="0.25">
      <c r="A1424" s="125" t="s">
        <v>1221</v>
      </c>
      <c r="B1424" s="125" t="s">
        <v>5339</v>
      </c>
      <c r="C1424" s="125">
        <v>235</v>
      </c>
      <c r="D1424" s="140" t="s">
        <v>5340</v>
      </c>
      <c r="E1424" s="125" t="s">
        <v>5341</v>
      </c>
      <c r="F1424" s="140" t="s">
        <v>5342</v>
      </c>
      <c r="G1424" s="125" t="s">
        <v>5297</v>
      </c>
      <c r="H1424" s="125" t="s">
        <v>1092</v>
      </c>
      <c r="I1424" s="125" t="s">
        <v>1092</v>
      </c>
    </row>
    <row r="1425" spans="1:9" x14ac:dyDescent="0.25">
      <c r="A1425" s="125" t="s">
        <v>1921</v>
      </c>
      <c r="B1425" s="125" t="s">
        <v>5339</v>
      </c>
      <c r="C1425" s="125">
        <v>235</v>
      </c>
      <c r="D1425" s="140" t="s">
        <v>5340</v>
      </c>
      <c r="E1425" s="125" t="s">
        <v>5341</v>
      </c>
      <c r="F1425" s="140" t="s">
        <v>5342</v>
      </c>
      <c r="G1425" s="125" t="s">
        <v>5297</v>
      </c>
      <c r="H1425" s="125" t="s">
        <v>1092</v>
      </c>
      <c r="I1425" s="125" t="s">
        <v>1092</v>
      </c>
    </row>
    <row r="1426" spans="1:9" x14ac:dyDescent="0.25">
      <c r="A1426" s="125" t="s">
        <v>1163</v>
      </c>
      <c r="B1426" s="125" t="s">
        <v>5339</v>
      </c>
      <c r="C1426" s="125">
        <v>235</v>
      </c>
      <c r="D1426" s="140" t="s">
        <v>5340</v>
      </c>
      <c r="E1426" s="125" t="s">
        <v>5341</v>
      </c>
      <c r="F1426" s="140" t="s">
        <v>5342</v>
      </c>
      <c r="G1426" s="125" t="s">
        <v>5297</v>
      </c>
      <c r="H1426" s="125" t="s">
        <v>1092</v>
      </c>
      <c r="I1426" s="125" t="s">
        <v>1092</v>
      </c>
    </row>
    <row r="1427" spans="1:9" x14ac:dyDescent="0.25">
      <c r="A1427" s="125" t="s">
        <v>1115</v>
      </c>
      <c r="B1427" s="125" t="s">
        <v>5339</v>
      </c>
      <c r="C1427" s="125">
        <v>235</v>
      </c>
      <c r="D1427" s="140" t="s">
        <v>5340</v>
      </c>
      <c r="E1427" s="125" t="s">
        <v>5341</v>
      </c>
      <c r="F1427" s="140" t="s">
        <v>5342</v>
      </c>
      <c r="G1427" s="125" t="s">
        <v>5297</v>
      </c>
      <c r="H1427" s="125" t="s">
        <v>1092</v>
      </c>
      <c r="I1427" s="125" t="s">
        <v>1092</v>
      </c>
    </row>
    <row r="1428" spans="1:9" x14ac:dyDescent="0.25">
      <c r="A1428" s="125" t="s">
        <v>5885</v>
      </c>
      <c r="B1428" s="125" t="s">
        <v>5339</v>
      </c>
      <c r="C1428" s="125">
        <v>235</v>
      </c>
      <c r="D1428" s="140" t="s">
        <v>5340</v>
      </c>
      <c r="E1428" s="125" t="s">
        <v>5341</v>
      </c>
      <c r="F1428" s="140" t="s">
        <v>5342</v>
      </c>
      <c r="G1428" s="125" t="s">
        <v>5297</v>
      </c>
      <c r="H1428" s="125" t="s">
        <v>1092</v>
      </c>
      <c r="I1428" s="125" t="s">
        <v>1092</v>
      </c>
    </row>
    <row r="1429" spans="1:9" x14ac:dyDescent="0.25">
      <c r="A1429" s="125" t="s">
        <v>3386</v>
      </c>
      <c r="B1429" s="125" t="s">
        <v>5339</v>
      </c>
      <c r="C1429" s="125">
        <v>235</v>
      </c>
      <c r="D1429" s="140" t="s">
        <v>5340</v>
      </c>
      <c r="E1429" s="125" t="s">
        <v>5341</v>
      </c>
      <c r="F1429" s="140" t="s">
        <v>5342</v>
      </c>
      <c r="G1429" s="125" t="s">
        <v>5297</v>
      </c>
      <c r="H1429" s="125" t="s">
        <v>1092</v>
      </c>
      <c r="I1429" s="125" t="s">
        <v>1092</v>
      </c>
    </row>
    <row r="1430" spans="1:9" x14ac:dyDescent="0.25">
      <c r="A1430" s="125" t="s">
        <v>5886</v>
      </c>
      <c r="B1430" s="125" t="s">
        <v>5339</v>
      </c>
      <c r="C1430" s="125">
        <v>235</v>
      </c>
      <c r="D1430" s="140" t="s">
        <v>5340</v>
      </c>
      <c r="E1430" s="125" t="s">
        <v>5341</v>
      </c>
      <c r="F1430" s="140" t="s">
        <v>5342</v>
      </c>
      <c r="G1430" s="125" t="s">
        <v>5297</v>
      </c>
      <c r="H1430" s="125" t="s">
        <v>1092</v>
      </c>
      <c r="I1430" s="125" t="s">
        <v>1092</v>
      </c>
    </row>
    <row r="1431" spans="1:9" x14ac:dyDescent="0.25">
      <c r="A1431" s="125" t="s">
        <v>3001</v>
      </c>
      <c r="B1431" s="125" t="s">
        <v>5339</v>
      </c>
      <c r="C1431" s="125">
        <v>235</v>
      </c>
      <c r="D1431" s="140" t="s">
        <v>5340</v>
      </c>
      <c r="E1431" s="125" t="s">
        <v>5341</v>
      </c>
      <c r="F1431" s="140" t="s">
        <v>5342</v>
      </c>
      <c r="G1431" s="125" t="s">
        <v>5297</v>
      </c>
      <c r="H1431" s="125" t="s">
        <v>1092</v>
      </c>
      <c r="I1431" s="125" t="s">
        <v>1092</v>
      </c>
    </row>
    <row r="1432" spans="1:9" x14ac:dyDescent="0.25">
      <c r="A1432" s="125" t="s">
        <v>1943</v>
      </c>
      <c r="B1432" s="125" t="s">
        <v>5339</v>
      </c>
      <c r="C1432" s="125">
        <v>235</v>
      </c>
      <c r="D1432" s="140" t="s">
        <v>5340</v>
      </c>
      <c r="E1432" s="125" t="s">
        <v>5341</v>
      </c>
      <c r="F1432" s="140" t="s">
        <v>5342</v>
      </c>
      <c r="G1432" s="125" t="s">
        <v>5297</v>
      </c>
      <c r="H1432" s="125" t="s">
        <v>1092</v>
      </c>
      <c r="I1432" s="125" t="s">
        <v>1092</v>
      </c>
    </row>
    <row r="1433" spans="1:9" x14ac:dyDescent="0.25">
      <c r="A1433" s="125" t="s">
        <v>5887</v>
      </c>
      <c r="B1433" s="125" t="s">
        <v>5339</v>
      </c>
      <c r="C1433" s="125">
        <v>235</v>
      </c>
      <c r="D1433" s="140" t="s">
        <v>5340</v>
      </c>
      <c r="E1433" s="125" t="s">
        <v>5341</v>
      </c>
      <c r="F1433" s="140" t="s">
        <v>5342</v>
      </c>
      <c r="G1433" s="125" t="s">
        <v>5297</v>
      </c>
      <c r="H1433" s="125" t="s">
        <v>1092</v>
      </c>
      <c r="I1433" s="125" t="s">
        <v>1092</v>
      </c>
    </row>
    <row r="1434" spans="1:9" x14ac:dyDescent="0.25">
      <c r="A1434" s="125" t="s">
        <v>5888</v>
      </c>
      <c r="B1434" s="125" t="s">
        <v>5339</v>
      </c>
      <c r="C1434" s="125">
        <v>235</v>
      </c>
      <c r="D1434" s="140" t="s">
        <v>5340</v>
      </c>
      <c r="E1434" s="125" t="s">
        <v>5341</v>
      </c>
      <c r="F1434" s="140" t="s">
        <v>5342</v>
      </c>
      <c r="G1434" s="125" t="s">
        <v>5297</v>
      </c>
      <c r="H1434" s="125" t="s">
        <v>1092</v>
      </c>
      <c r="I1434" s="125" t="s">
        <v>1092</v>
      </c>
    </row>
    <row r="1435" spans="1:9" x14ac:dyDescent="0.25">
      <c r="A1435" s="125" t="s">
        <v>5889</v>
      </c>
      <c r="B1435" s="125" t="s">
        <v>5339</v>
      </c>
      <c r="C1435" s="125">
        <v>235</v>
      </c>
      <c r="D1435" s="140" t="s">
        <v>5340</v>
      </c>
      <c r="E1435" s="125" t="s">
        <v>5341</v>
      </c>
      <c r="F1435" s="140" t="s">
        <v>5342</v>
      </c>
      <c r="G1435" s="125" t="s">
        <v>5297</v>
      </c>
      <c r="H1435" s="125" t="s">
        <v>1092</v>
      </c>
      <c r="I1435" s="125" t="s">
        <v>1092</v>
      </c>
    </row>
    <row r="1436" spans="1:9" x14ac:dyDescent="0.25">
      <c r="A1436" s="125" t="s">
        <v>1795</v>
      </c>
      <c r="B1436" s="125" t="s">
        <v>5339</v>
      </c>
      <c r="C1436" s="125">
        <v>235</v>
      </c>
      <c r="D1436" s="140" t="s">
        <v>5340</v>
      </c>
      <c r="E1436" s="125" t="s">
        <v>5341</v>
      </c>
      <c r="F1436" s="140" t="s">
        <v>5342</v>
      </c>
      <c r="G1436" s="125" t="s">
        <v>5297</v>
      </c>
      <c r="H1436" s="125" t="s">
        <v>1092</v>
      </c>
      <c r="I1436" s="125" t="s">
        <v>1092</v>
      </c>
    </row>
    <row r="1437" spans="1:9" x14ac:dyDescent="0.25">
      <c r="A1437" s="125" t="s">
        <v>2914</v>
      </c>
      <c r="B1437" s="125" t="s">
        <v>5339</v>
      </c>
      <c r="C1437" s="125">
        <v>235</v>
      </c>
      <c r="D1437" s="140" t="s">
        <v>5340</v>
      </c>
      <c r="E1437" s="125" t="s">
        <v>5341</v>
      </c>
      <c r="F1437" s="140" t="s">
        <v>5342</v>
      </c>
      <c r="G1437" s="125" t="s">
        <v>5297</v>
      </c>
      <c r="H1437" s="125" t="s">
        <v>1092</v>
      </c>
      <c r="I1437" s="125" t="s">
        <v>1092</v>
      </c>
    </row>
    <row r="1438" spans="1:9" x14ac:dyDescent="0.25">
      <c r="A1438" s="125" t="s">
        <v>5890</v>
      </c>
      <c r="B1438" s="125" t="s">
        <v>5339</v>
      </c>
      <c r="C1438" s="125">
        <v>235</v>
      </c>
      <c r="D1438" s="140" t="s">
        <v>5340</v>
      </c>
      <c r="E1438" s="125" t="s">
        <v>5341</v>
      </c>
      <c r="F1438" s="140" t="s">
        <v>5342</v>
      </c>
      <c r="G1438" s="125" t="s">
        <v>5297</v>
      </c>
      <c r="H1438" s="125" t="s">
        <v>1092</v>
      </c>
      <c r="I1438" s="125" t="s">
        <v>1092</v>
      </c>
    </row>
    <row r="1439" spans="1:9" x14ac:dyDescent="0.25">
      <c r="A1439" s="125" t="s">
        <v>5891</v>
      </c>
      <c r="B1439" s="125" t="s">
        <v>5339</v>
      </c>
      <c r="C1439" s="125">
        <v>235</v>
      </c>
      <c r="D1439" s="140" t="s">
        <v>5340</v>
      </c>
      <c r="E1439" s="125" t="s">
        <v>5341</v>
      </c>
      <c r="F1439" s="140" t="s">
        <v>5342</v>
      </c>
      <c r="G1439" s="125" t="s">
        <v>5297</v>
      </c>
      <c r="H1439" s="125" t="s">
        <v>1092</v>
      </c>
      <c r="I1439" s="125" t="s">
        <v>1092</v>
      </c>
    </row>
    <row r="1440" spans="1:9" x14ac:dyDescent="0.25">
      <c r="A1440" s="125" t="s">
        <v>3350</v>
      </c>
      <c r="B1440" s="125" t="s">
        <v>5339</v>
      </c>
      <c r="C1440" s="125">
        <v>235</v>
      </c>
      <c r="D1440" s="140" t="s">
        <v>5340</v>
      </c>
      <c r="E1440" s="125" t="s">
        <v>5341</v>
      </c>
      <c r="F1440" s="140" t="s">
        <v>5342</v>
      </c>
      <c r="G1440" s="125" t="s">
        <v>5297</v>
      </c>
      <c r="H1440" s="125" t="s">
        <v>1092</v>
      </c>
      <c r="I1440" s="125" t="s">
        <v>1092</v>
      </c>
    </row>
    <row r="1441" spans="1:9" x14ac:dyDescent="0.25">
      <c r="A1441" s="125" t="s">
        <v>5892</v>
      </c>
      <c r="B1441" s="125" t="s">
        <v>5339</v>
      </c>
      <c r="C1441" s="125">
        <v>235</v>
      </c>
      <c r="D1441" s="140" t="s">
        <v>5340</v>
      </c>
      <c r="E1441" s="125" t="s">
        <v>5341</v>
      </c>
      <c r="F1441" s="140" t="s">
        <v>5342</v>
      </c>
      <c r="G1441" s="125" t="s">
        <v>5297</v>
      </c>
      <c r="H1441" s="125" t="s">
        <v>1092</v>
      </c>
      <c r="I1441" s="125" t="s">
        <v>1092</v>
      </c>
    </row>
    <row r="1442" spans="1:9" x14ac:dyDescent="0.25">
      <c r="A1442" s="125" t="s">
        <v>5893</v>
      </c>
      <c r="B1442" s="125" t="s">
        <v>5339</v>
      </c>
      <c r="C1442" s="125">
        <v>235</v>
      </c>
      <c r="D1442" s="140" t="s">
        <v>5340</v>
      </c>
      <c r="E1442" s="125" t="s">
        <v>5341</v>
      </c>
      <c r="F1442" s="140" t="s">
        <v>5342</v>
      </c>
      <c r="G1442" s="125" t="s">
        <v>5297</v>
      </c>
      <c r="H1442" s="125" t="s">
        <v>1092</v>
      </c>
      <c r="I1442" s="125" t="s">
        <v>1092</v>
      </c>
    </row>
    <row r="1443" spans="1:9" x14ac:dyDescent="0.25">
      <c r="A1443" s="125" t="s">
        <v>3345</v>
      </c>
      <c r="B1443" s="125" t="s">
        <v>5339</v>
      </c>
      <c r="C1443" s="125">
        <v>235</v>
      </c>
      <c r="D1443" s="140" t="s">
        <v>5340</v>
      </c>
      <c r="E1443" s="125" t="s">
        <v>5341</v>
      </c>
      <c r="F1443" s="140" t="s">
        <v>5342</v>
      </c>
      <c r="G1443" s="125" t="s">
        <v>5297</v>
      </c>
      <c r="H1443" s="125" t="s">
        <v>1092</v>
      </c>
      <c r="I1443" s="125" t="s">
        <v>1092</v>
      </c>
    </row>
    <row r="1444" spans="1:9" x14ac:dyDescent="0.25">
      <c r="A1444" s="125" t="s">
        <v>2070</v>
      </c>
      <c r="B1444" s="125" t="s">
        <v>5339</v>
      </c>
      <c r="C1444" s="125">
        <v>235</v>
      </c>
      <c r="D1444" s="140" t="s">
        <v>5340</v>
      </c>
      <c r="E1444" s="125" t="s">
        <v>5341</v>
      </c>
      <c r="F1444" s="140" t="s">
        <v>5342</v>
      </c>
      <c r="G1444" s="125" t="s">
        <v>5297</v>
      </c>
      <c r="H1444" s="125" t="s">
        <v>1092</v>
      </c>
      <c r="I1444" s="125" t="s">
        <v>1092</v>
      </c>
    </row>
    <row r="1445" spans="1:9" x14ac:dyDescent="0.25">
      <c r="A1445" s="125" t="s">
        <v>1624</v>
      </c>
      <c r="B1445" s="125" t="s">
        <v>5339</v>
      </c>
      <c r="C1445" s="125">
        <v>235</v>
      </c>
      <c r="D1445" s="140" t="s">
        <v>5340</v>
      </c>
      <c r="E1445" s="125" t="s">
        <v>5341</v>
      </c>
      <c r="F1445" s="140" t="s">
        <v>5342</v>
      </c>
      <c r="G1445" s="125" t="s">
        <v>5297</v>
      </c>
      <c r="H1445" s="125" t="s">
        <v>1092</v>
      </c>
      <c r="I1445" s="125" t="s">
        <v>1092</v>
      </c>
    </row>
    <row r="1446" spans="1:9" x14ac:dyDescent="0.25">
      <c r="A1446" s="125" t="s">
        <v>2076</v>
      </c>
      <c r="B1446" s="125" t="s">
        <v>5339</v>
      </c>
      <c r="C1446" s="125">
        <v>235</v>
      </c>
      <c r="D1446" s="140" t="s">
        <v>5340</v>
      </c>
      <c r="E1446" s="125" t="s">
        <v>5341</v>
      </c>
      <c r="F1446" s="140" t="s">
        <v>5342</v>
      </c>
      <c r="G1446" s="125" t="s">
        <v>5297</v>
      </c>
      <c r="H1446" s="125" t="s">
        <v>1092</v>
      </c>
      <c r="I1446" s="125" t="s">
        <v>1092</v>
      </c>
    </row>
    <row r="1447" spans="1:9" x14ac:dyDescent="0.25">
      <c r="A1447" s="125" t="s">
        <v>1615</v>
      </c>
      <c r="B1447" s="125" t="s">
        <v>5339</v>
      </c>
      <c r="C1447" s="125">
        <v>235</v>
      </c>
      <c r="D1447" s="140" t="s">
        <v>5340</v>
      </c>
      <c r="E1447" s="125" t="s">
        <v>5341</v>
      </c>
      <c r="F1447" s="140" t="s">
        <v>5342</v>
      </c>
      <c r="G1447" s="125" t="s">
        <v>5297</v>
      </c>
      <c r="H1447" s="125" t="s">
        <v>1092</v>
      </c>
      <c r="I1447" s="125" t="s">
        <v>1092</v>
      </c>
    </row>
    <row r="1448" spans="1:9" x14ac:dyDescent="0.25">
      <c r="A1448" s="125" t="s">
        <v>3352</v>
      </c>
      <c r="B1448" s="125" t="s">
        <v>5339</v>
      </c>
      <c r="C1448" s="125">
        <v>235</v>
      </c>
      <c r="D1448" s="140" t="s">
        <v>5340</v>
      </c>
      <c r="E1448" s="125" t="s">
        <v>5341</v>
      </c>
      <c r="F1448" s="140" t="s">
        <v>5342</v>
      </c>
      <c r="G1448" s="125" t="s">
        <v>5297</v>
      </c>
      <c r="H1448" s="125" t="s">
        <v>1092</v>
      </c>
      <c r="I1448" s="125" t="s">
        <v>1092</v>
      </c>
    </row>
    <row r="1449" spans="1:9" x14ac:dyDescent="0.25">
      <c r="A1449" s="125" t="s">
        <v>1623</v>
      </c>
      <c r="B1449" s="125" t="s">
        <v>5339</v>
      </c>
      <c r="C1449" s="125">
        <v>235</v>
      </c>
      <c r="D1449" s="140" t="s">
        <v>5340</v>
      </c>
      <c r="E1449" s="125" t="s">
        <v>5341</v>
      </c>
      <c r="F1449" s="140" t="s">
        <v>5342</v>
      </c>
      <c r="G1449" s="125" t="s">
        <v>5297</v>
      </c>
      <c r="H1449" s="125" t="s">
        <v>1092</v>
      </c>
      <c r="I1449" s="125" t="s">
        <v>1092</v>
      </c>
    </row>
    <row r="1450" spans="1:9" x14ac:dyDescent="0.25">
      <c r="A1450" s="125" t="s">
        <v>3214</v>
      </c>
      <c r="B1450" s="125" t="s">
        <v>5339</v>
      </c>
      <c r="C1450" s="125">
        <v>235</v>
      </c>
      <c r="D1450" s="140" t="s">
        <v>5340</v>
      </c>
      <c r="E1450" s="125" t="s">
        <v>5341</v>
      </c>
      <c r="F1450" s="140" t="s">
        <v>5342</v>
      </c>
      <c r="G1450" s="125" t="s">
        <v>5297</v>
      </c>
      <c r="H1450" s="125" t="s">
        <v>1092</v>
      </c>
      <c r="I1450" s="125" t="s">
        <v>1092</v>
      </c>
    </row>
    <row r="1451" spans="1:9" x14ac:dyDescent="0.25">
      <c r="A1451" s="125" t="s">
        <v>1239</v>
      </c>
      <c r="B1451" s="125" t="s">
        <v>5339</v>
      </c>
      <c r="C1451" s="125">
        <v>235</v>
      </c>
      <c r="D1451" s="140" t="s">
        <v>5340</v>
      </c>
      <c r="E1451" s="125" t="s">
        <v>5341</v>
      </c>
      <c r="F1451" s="140" t="s">
        <v>5342</v>
      </c>
      <c r="G1451" s="125" t="s">
        <v>5297</v>
      </c>
      <c r="H1451" s="125" t="s">
        <v>1092</v>
      </c>
      <c r="I1451" s="125" t="s">
        <v>1092</v>
      </c>
    </row>
    <row r="1452" spans="1:9" x14ac:dyDescent="0.25">
      <c r="A1452" s="125" t="s">
        <v>3171</v>
      </c>
      <c r="B1452" s="125" t="s">
        <v>5339</v>
      </c>
      <c r="C1452" s="125">
        <v>235</v>
      </c>
      <c r="D1452" s="140" t="s">
        <v>5340</v>
      </c>
      <c r="E1452" s="125" t="s">
        <v>5341</v>
      </c>
      <c r="F1452" s="140" t="s">
        <v>5342</v>
      </c>
      <c r="G1452" s="125" t="s">
        <v>5297</v>
      </c>
      <c r="H1452" s="125" t="s">
        <v>1092</v>
      </c>
      <c r="I1452" s="125" t="s">
        <v>1092</v>
      </c>
    </row>
    <row r="1453" spans="1:9" x14ac:dyDescent="0.25">
      <c r="A1453" s="125" t="s">
        <v>3097</v>
      </c>
      <c r="B1453" s="125" t="s">
        <v>5339</v>
      </c>
      <c r="C1453" s="125">
        <v>235</v>
      </c>
      <c r="D1453" s="140" t="s">
        <v>5340</v>
      </c>
      <c r="E1453" s="125" t="s">
        <v>5341</v>
      </c>
      <c r="F1453" s="140" t="s">
        <v>5342</v>
      </c>
      <c r="G1453" s="125" t="s">
        <v>5297</v>
      </c>
      <c r="H1453" s="125" t="s">
        <v>1092</v>
      </c>
      <c r="I1453" s="125" t="s">
        <v>1092</v>
      </c>
    </row>
    <row r="1454" spans="1:9" x14ac:dyDescent="0.25">
      <c r="A1454" s="125" t="s">
        <v>2717</v>
      </c>
      <c r="B1454" s="125" t="s">
        <v>5339</v>
      </c>
      <c r="C1454" s="125">
        <v>235</v>
      </c>
      <c r="D1454" s="140" t="s">
        <v>5340</v>
      </c>
      <c r="E1454" s="125" t="s">
        <v>5341</v>
      </c>
      <c r="F1454" s="140" t="s">
        <v>5342</v>
      </c>
      <c r="G1454" s="125" t="s">
        <v>5297</v>
      </c>
      <c r="H1454" s="125" t="s">
        <v>1092</v>
      </c>
      <c r="I1454" s="125" t="s">
        <v>1092</v>
      </c>
    </row>
    <row r="1455" spans="1:9" x14ac:dyDescent="0.25">
      <c r="A1455" s="125" t="s">
        <v>2623</v>
      </c>
      <c r="B1455" s="125" t="s">
        <v>5339</v>
      </c>
      <c r="C1455" s="125">
        <v>235</v>
      </c>
      <c r="D1455" s="140" t="s">
        <v>5340</v>
      </c>
      <c r="E1455" s="125" t="s">
        <v>5341</v>
      </c>
      <c r="F1455" s="140" t="s">
        <v>5342</v>
      </c>
      <c r="G1455" s="125" t="s">
        <v>5297</v>
      </c>
      <c r="H1455" s="125" t="s">
        <v>1092</v>
      </c>
      <c r="I1455" s="125" t="s">
        <v>1092</v>
      </c>
    </row>
    <row r="1456" spans="1:9" x14ac:dyDescent="0.25">
      <c r="A1456" s="125" t="s">
        <v>5894</v>
      </c>
      <c r="B1456" s="125" t="s">
        <v>5339</v>
      </c>
      <c r="C1456" s="125">
        <v>235</v>
      </c>
      <c r="D1456" s="140" t="s">
        <v>5340</v>
      </c>
      <c r="E1456" s="125" t="s">
        <v>5341</v>
      </c>
      <c r="F1456" s="140" t="s">
        <v>5342</v>
      </c>
      <c r="G1456" s="125" t="s">
        <v>5297</v>
      </c>
      <c r="H1456" s="125" t="s">
        <v>1092</v>
      </c>
      <c r="I1456" s="125" t="s">
        <v>1092</v>
      </c>
    </row>
    <row r="1457" spans="1:9" x14ac:dyDescent="0.25">
      <c r="A1457" s="125" t="s">
        <v>5895</v>
      </c>
      <c r="B1457" s="125" t="s">
        <v>5339</v>
      </c>
      <c r="C1457" s="125">
        <v>235</v>
      </c>
      <c r="D1457" s="140" t="s">
        <v>5340</v>
      </c>
      <c r="E1457" s="125" t="s">
        <v>5341</v>
      </c>
      <c r="F1457" s="140" t="s">
        <v>5342</v>
      </c>
      <c r="G1457" s="125" t="s">
        <v>5297</v>
      </c>
      <c r="H1457" s="125" t="s">
        <v>1092</v>
      </c>
      <c r="I1457" s="125" t="s">
        <v>1092</v>
      </c>
    </row>
    <row r="1458" spans="1:9" x14ac:dyDescent="0.25">
      <c r="A1458" s="125" t="s">
        <v>5896</v>
      </c>
      <c r="B1458" s="125" t="s">
        <v>5339</v>
      </c>
      <c r="C1458" s="125">
        <v>235</v>
      </c>
      <c r="D1458" s="140" t="s">
        <v>5340</v>
      </c>
      <c r="E1458" s="125" t="s">
        <v>5341</v>
      </c>
      <c r="F1458" s="140" t="s">
        <v>5342</v>
      </c>
      <c r="G1458" s="125" t="s">
        <v>5297</v>
      </c>
      <c r="H1458" s="125" t="s">
        <v>1092</v>
      </c>
      <c r="I1458" s="125" t="s">
        <v>1092</v>
      </c>
    </row>
    <row r="1459" spans="1:9" x14ac:dyDescent="0.25">
      <c r="A1459" s="125" t="s">
        <v>1706</v>
      </c>
      <c r="B1459" s="125" t="s">
        <v>5339</v>
      </c>
      <c r="C1459" s="125">
        <v>235</v>
      </c>
      <c r="D1459" s="140" t="s">
        <v>5340</v>
      </c>
      <c r="E1459" s="125" t="s">
        <v>5341</v>
      </c>
      <c r="F1459" s="140" t="s">
        <v>5342</v>
      </c>
      <c r="G1459" s="125" t="s">
        <v>5297</v>
      </c>
      <c r="H1459" s="125" t="s">
        <v>1092</v>
      </c>
      <c r="I1459" s="125" t="s">
        <v>1092</v>
      </c>
    </row>
    <row r="1460" spans="1:9" x14ac:dyDescent="0.25">
      <c r="A1460" s="125" t="s">
        <v>5897</v>
      </c>
      <c r="B1460" s="125" t="s">
        <v>5339</v>
      </c>
      <c r="C1460" s="125">
        <v>235</v>
      </c>
      <c r="D1460" s="140" t="s">
        <v>5340</v>
      </c>
      <c r="E1460" s="125" t="s">
        <v>5341</v>
      </c>
      <c r="F1460" s="140" t="s">
        <v>5342</v>
      </c>
      <c r="G1460" s="125" t="s">
        <v>5297</v>
      </c>
      <c r="H1460" s="125" t="s">
        <v>1092</v>
      </c>
      <c r="I1460" s="125" t="s">
        <v>1092</v>
      </c>
    </row>
    <row r="1461" spans="1:9" x14ac:dyDescent="0.25">
      <c r="A1461" s="125" t="s">
        <v>3118</v>
      </c>
      <c r="B1461" s="125" t="s">
        <v>5339</v>
      </c>
      <c r="C1461" s="125">
        <v>235</v>
      </c>
      <c r="D1461" s="140" t="s">
        <v>5340</v>
      </c>
      <c r="E1461" s="125" t="s">
        <v>5341</v>
      </c>
      <c r="F1461" s="140" t="s">
        <v>5342</v>
      </c>
      <c r="G1461" s="125" t="s">
        <v>5297</v>
      </c>
      <c r="H1461" s="125" t="s">
        <v>1092</v>
      </c>
      <c r="I1461" s="125" t="s">
        <v>1092</v>
      </c>
    </row>
    <row r="1462" spans="1:9" x14ac:dyDescent="0.25">
      <c r="A1462" s="125" t="s">
        <v>2606</v>
      </c>
      <c r="B1462" s="125" t="s">
        <v>5339</v>
      </c>
      <c r="C1462" s="125">
        <v>235</v>
      </c>
      <c r="D1462" s="140" t="s">
        <v>5340</v>
      </c>
      <c r="E1462" s="125" t="s">
        <v>5341</v>
      </c>
      <c r="F1462" s="140" t="s">
        <v>5342</v>
      </c>
      <c r="G1462" s="125" t="s">
        <v>5297</v>
      </c>
      <c r="H1462" s="125" t="s">
        <v>1092</v>
      </c>
      <c r="I1462" s="125" t="s">
        <v>1092</v>
      </c>
    </row>
    <row r="1463" spans="1:9" x14ac:dyDescent="0.25">
      <c r="A1463" s="125" t="s">
        <v>5898</v>
      </c>
      <c r="B1463" s="125" t="s">
        <v>5339</v>
      </c>
      <c r="C1463" s="125">
        <v>235</v>
      </c>
      <c r="D1463" s="140" t="s">
        <v>5340</v>
      </c>
      <c r="E1463" s="125" t="s">
        <v>5341</v>
      </c>
      <c r="F1463" s="140" t="s">
        <v>5342</v>
      </c>
      <c r="G1463" s="125" t="s">
        <v>5297</v>
      </c>
      <c r="H1463" s="125" t="s">
        <v>1092</v>
      </c>
      <c r="I1463" s="125" t="s">
        <v>1092</v>
      </c>
    </row>
    <row r="1464" spans="1:9" x14ac:dyDescent="0.25">
      <c r="A1464" s="125" t="s">
        <v>3346</v>
      </c>
      <c r="B1464" s="125" t="s">
        <v>5339</v>
      </c>
      <c r="C1464" s="125">
        <v>235</v>
      </c>
      <c r="D1464" s="140" t="s">
        <v>5340</v>
      </c>
      <c r="E1464" s="125" t="s">
        <v>5341</v>
      </c>
      <c r="F1464" s="140" t="s">
        <v>5342</v>
      </c>
      <c r="G1464" s="125" t="s">
        <v>5297</v>
      </c>
      <c r="H1464" s="125" t="s">
        <v>1092</v>
      </c>
      <c r="I1464" s="125" t="s">
        <v>1092</v>
      </c>
    </row>
    <row r="1465" spans="1:9" x14ac:dyDescent="0.25">
      <c r="A1465" s="125" t="s">
        <v>5899</v>
      </c>
      <c r="B1465" s="125" t="s">
        <v>5339</v>
      </c>
      <c r="C1465" s="125">
        <v>235</v>
      </c>
      <c r="D1465" s="140" t="s">
        <v>5340</v>
      </c>
      <c r="E1465" s="125" t="s">
        <v>5341</v>
      </c>
      <c r="F1465" s="140" t="s">
        <v>5342</v>
      </c>
      <c r="G1465" s="125" t="s">
        <v>5297</v>
      </c>
      <c r="H1465" s="125" t="s">
        <v>1092</v>
      </c>
      <c r="I1465" s="125" t="s">
        <v>1092</v>
      </c>
    </row>
    <row r="1466" spans="1:9" x14ac:dyDescent="0.25">
      <c r="A1466" s="125" t="s">
        <v>3342</v>
      </c>
      <c r="B1466" s="125" t="s">
        <v>5339</v>
      </c>
      <c r="C1466" s="125">
        <v>235</v>
      </c>
      <c r="D1466" s="140" t="s">
        <v>5340</v>
      </c>
      <c r="E1466" s="125" t="s">
        <v>5341</v>
      </c>
      <c r="F1466" s="140" t="s">
        <v>5342</v>
      </c>
      <c r="G1466" s="125" t="s">
        <v>5297</v>
      </c>
      <c r="H1466" s="125" t="s">
        <v>1092</v>
      </c>
      <c r="I1466" s="125" t="s">
        <v>1092</v>
      </c>
    </row>
    <row r="1467" spans="1:9" x14ac:dyDescent="0.25">
      <c r="A1467" s="125" t="s">
        <v>5900</v>
      </c>
      <c r="B1467" s="125" t="s">
        <v>5339</v>
      </c>
      <c r="C1467" s="125">
        <v>235</v>
      </c>
      <c r="D1467" s="140" t="s">
        <v>5340</v>
      </c>
      <c r="E1467" s="125" t="s">
        <v>5341</v>
      </c>
      <c r="F1467" s="140" t="s">
        <v>5342</v>
      </c>
      <c r="G1467" s="125" t="s">
        <v>5297</v>
      </c>
      <c r="H1467" s="125" t="s">
        <v>1092</v>
      </c>
      <c r="I1467" s="125" t="s">
        <v>1092</v>
      </c>
    </row>
    <row r="1468" spans="1:9" x14ac:dyDescent="0.25">
      <c r="A1468" s="125" t="s">
        <v>1896</v>
      </c>
      <c r="B1468" s="125" t="s">
        <v>5339</v>
      </c>
      <c r="C1468" s="125">
        <v>235</v>
      </c>
      <c r="D1468" s="140" t="s">
        <v>5340</v>
      </c>
      <c r="E1468" s="125" t="s">
        <v>5341</v>
      </c>
      <c r="F1468" s="140" t="s">
        <v>5342</v>
      </c>
      <c r="G1468" s="125" t="s">
        <v>5297</v>
      </c>
      <c r="H1468" s="125" t="s">
        <v>1092</v>
      </c>
      <c r="I1468" s="125" t="s">
        <v>1092</v>
      </c>
    </row>
    <row r="1469" spans="1:9" x14ac:dyDescent="0.25">
      <c r="A1469" s="125" t="s">
        <v>3014</v>
      </c>
      <c r="B1469" s="125" t="s">
        <v>5339</v>
      </c>
      <c r="C1469" s="125">
        <v>235</v>
      </c>
      <c r="D1469" s="140" t="s">
        <v>5340</v>
      </c>
      <c r="E1469" s="125" t="s">
        <v>5341</v>
      </c>
      <c r="F1469" s="140" t="s">
        <v>5342</v>
      </c>
      <c r="G1469" s="125" t="s">
        <v>5297</v>
      </c>
      <c r="H1469" s="125" t="s">
        <v>1092</v>
      </c>
      <c r="I1469" s="125" t="s">
        <v>1092</v>
      </c>
    </row>
    <row r="1470" spans="1:9" x14ac:dyDescent="0.25">
      <c r="A1470" s="125" t="s">
        <v>5901</v>
      </c>
      <c r="B1470" s="125" t="s">
        <v>5339</v>
      </c>
      <c r="C1470" s="125">
        <v>235</v>
      </c>
      <c r="D1470" s="140" t="s">
        <v>5340</v>
      </c>
      <c r="E1470" s="125" t="s">
        <v>5341</v>
      </c>
      <c r="F1470" s="140" t="s">
        <v>5342</v>
      </c>
      <c r="G1470" s="125" t="s">
        <v>5297</v>
      </c>
      <c r="H1470" s="125" t="s">
        <v>1092</v>
      </c>
      <c r="I1470" s="125" t="s">
        <v>1092</v>
      </c>
    </row>
    <row r="1471" spans="1:9" x14ac:dyDescent="0.25">
      <c r="A1471" s="125" t="s">
        <v>1130</v>
      </c>
      <c r="B1471" s="125" t="s">
        <v>5339</v>
      </c>
      <c r="C1471" s="125">
        <v>235</v>
      </c>
      <c r="D1471" s="140" t="s">
        <v>5340</v>
      </c>
      <c r="E1471" s="125" t="s">
        <v>5341</v>
      </c>
      <c r="F1471" s="140" t="s">
        <v>5342</v>
      </c>
      <c r="G1471" s="125" t="s">
        <v>5297</v>
      </c>
      <c r="H1471" s="125" t="s">
        <v>1092</v>
      </c>
      <c r="I1471" s="125" t="s">
        <v>1092</v>
      </c>
    </row>
    <row r="1472" spans="1:9" x14ac:dyDescent="0.25">
      <c r="A1472" s="125" t="s">
        <v>5902</v>
      </c>
      <c r="B1472" s="125" t="s">
        <v>5339</v>
      </c>
      <c r="C1472" s="125">
        <v>235</v>
      </c>
      <c r="D1472" s="140" t="s">
        <v>5340</v>
      </c>
      <c r="E1472" s="125" t="s">
        <v>5341</v>
      </c>
      <c r="F1472" s="140" t="s">
        <v>5342</v>
      </c>
      <c r="G1472" s="125" t="s">
        <v>5297</v>
      </c>
      <c r="H1472" s="125" t="s">
        <v>1092</v>
      </c>
      <c r="I1472" s="125" t="s">
        <v>1092</v>
      </c>
    </row>
    <row r="1473" spans="1:9" x14ac:dyDescent="0.25">
      <c r="A1473" s="125" t="s">
        <v>1572</v>
      </c>
      <c r="B1473" s="125" t="s">
        <v>5572</v>
      </c>
      <c r="C1473" s="125">
        <v>218</v>
      </c>
      <c r="D1473" s="125" t="s">
        <v>5573</v>
      </c>
      <c r="E1473" s="125" t="s">
        <v>5341</v>
      </c>
      <c r="F1473" s="140" t="s">
        <v>5342</v>
      </c>
      <c r="G1473" s="125" t="s">
        <v>5297</v>
      </c>
      <c r="H1473" s="125" t="s">
        <v>1285</v>
      </c>
      <c r="I1473" s="125" t="s">
        <v>3480</v>
      </c>
    </row>
    <row r="1474" spans="1:9" x14ac:dyDescent="0.25">
      <c r="A1474" s="125" t="s">
        <v>3481</v>
      </c>
      <c r="B1474" s="125" t="s">
        <v>5572</v>
      </c>
      <c r="C1474" s="125">
        <v>218</v>
      </c>
      <c r="D1474" s="125" t="s">
        <v>5573</v>
      </c>
      <c r="E1474" s="125" t="s">
        <v>5341</v>
      </c>
      <c r="F1474" s="140" t="s">
        <v>5342</v>
      </c>
      <c r="G1474" s="125" t="s">
        <v>5297</v>
      </c>
      <c r="H1474" s="125" t="s">
        <v>5903</v>
      </c>
      <c r="I1474" s="125" t="s">
        <v>3480</v>
      </c>
    </row>
    <row r="1475" spans="1:9" x14ac:dyDescent="0.25">
      <c r="A1475" s="125" t="s">
        <v>1850</v>
      </c>
      <c r="B1475" s="125" t="s">
        <v>5572</v>
      </c>
      <c r="C1475" s="125">
        <v>218</v>
      </c>
      <c r="D1475" s="125" t="s">
        <v>5573</v>
      </c>
      <c r="E1475" s="125" t="s">
        <v>5341</v>
      </c>
      <c r="F1475" s="140" t="s">
        <v>5342</v>
      </c>
      <c r="G1475" s="125" t="s">
        <v>5297</v>
      </c>
      <c r="H1475" s="125" t="s">
        <v>5903</v>
      </c>
      <c r="I1475" s="125" t="s">
        <v>3480</v>
      </c>
    </row>
    <row r="1476" spans="1:9" x14ac:dyDescent="0.25">
      <c r="A1476" s="125" t="s">
        <v>5904</v>
      </c>
      <c r="B1476" s="125" t="s">
        <v>5572</v>
      </c>
      <c r="C1476" s="125">
        <v>218</v>
      </c>
      <c r="D1476" s="125" t="s">
        <v>5573</v>
      </c>
      <c r="E1476" s="125" t="s">
        <v>5341</v>
      </c>
      <c r="F1476" s="140" t="s">
        <v>5342</v>
      </c>
      <c r="G1476" s="125" t="s">
        <v>5297</v>
      </c>
      <c r="H1476" s="125" t="s">
        <v>5903</v>
      </c>
      <c r="I1476" s="125" t="s">
        <v>3480</v>
      </c>
    </row>
    <row r="1477" spans="1:9" x14ac:dyDescent="0.25">
      <c r="A1477" s="125" t="s">
        <v>3122</v>
      </c>
      <c r="B1477" s="125" t="s">
        <v>5572</v>
      </c>
      <c r="C1477" s="125">
        <v>218</v>
      </c>
      <c r="D1477" s="125" t="s">
        <v>5573</v>
      </c>
      <c r="E1477" s="125" t="s">
        <v>5341</v>
      </c>
      <c r="F1477" s="140" t="s">
        <v>5342</v>
      </c>
      <c r="G1477" s="125" t="s">
        <v>5297</v>
      </c>
      <c r="H1477" s="125" t="s">
        <v>5903</v>
      </c>
      <c r="I1477" s="125" t="s">
        <v>3480</v>
      </c>
    </row>
    <row r="1478" spans="1:9" x14ac:dyDescent="0.25">
      <c r="A1478" s="125" t="s">
        <v>1286</v>
      </c>
      <c r="B1478" s="125" t="s">
        <v>5572</v>
      </c>
      <c r="C1478" s="125">
        <v>218</v>
      </c>
      <c r="D1478" s="125" t="s">
        <v>5573</v>
      </c>
      <c r="E1478" s="125" t="s">
        <v>5341</v>
      </c>
      <c r="F1478" s="140" t="s">
        <v>5342</v>
      </c>
      <c r="G1478" s="125" t="s">
        <v>5297</v>
      </c>
      <c r="H1478" s="125" t="s">
        <v>1285</v>
      </c>
      <c r="I1478" s="125" t="s">
        <v>3480</v>
      </c>
    </row>
    <row r="1479" spans="1:9" x14ac:dyDescent="0.25">
      <c r="A1479" s="125" t="s">
        <v>3323</v>
      </c>
      <c r="B1479" s="125" t="s">
        <v>5572</v>
      </c>
      <c r="C1479" s="125">
        <v>218</v>
      </c>
      <c r="D1479" s="125" t="s">
        <v>5573</v>
      </c>
      <c r="E1479" s="125" t="s">
        <v>5341</v>
      </c>
      <c r="F1479" s="140" t="s">
        <v>5342</v>
      </c>
      <c r="G1479" s="125" t="s">
        <v>5297</v>
      </c>
      <c r="H1479" s="125" t="s">
        <v>5568</v>
      </c>
      <c r="I1479" s="125" t="s">
        <v>3480</v>
      </c>
    </row>
    <row r="1480" spans="1:9" x14ac:dyDescent="0.25">
      <c r="A1480" s="125" t="s">
        <v>1739</v>
      </c>
      <c r="B1480" s="125" t="s">
        <v>5572</v>
      </c>
      <c r="C1480" s="125">
        <v>218</v>
      </c>
      <c r="D1480" s="125" t="s">
        <v>5573</v>
      </c>
      <c r="E1480" s="125" t="s">
        <v>5341</v>
      </c>
      <c r="F1480" s="140" t="s">
        <v>5342</v>
      </c>
      <c r="G1480" s="125" t="s">
        <v>5297</v>
      </c>
      <c r="H1480" s="125" t="s">
        <v>5905</v>
      </c>
      <c r="I1480" s="125" t="s">
        <v>3480</v>
      </c>
    </row>
    <row r="1481" spans="1:9" x14ac:dyDescent="0.25">
      <c r="A1481" s="125" t="s">
        <v>1172</v>
      </c>
      <c r="B1481" s="125" t="s">
        <v>5572</v>
      </c>
      <c r="C1481" s="125">
        <v>218</v>
      </c>
      <c r="D1481" s="125" t="s">
        <v>5573</v>
      </c>
      <c r="E1481" s="125" t="s">
        <v>5341</v>
      </c>
      <c r="F1481" s="140" t="s">
        <v>5342</v>
      </c>
      <c r="G1481" s="125" t="s">
        <v>5297</v>
      </c>
      <c r="H1481" s="125" t="s">
        <v>5905</v>
      </c>
      <c r="I1481" s="125" t="s">
        <v>3480</v>
      </c>
    </row>
    <row r="1482" spans="1:9" x14ac:dyDescent="0.25">
      <c r="A1482" s="125" t="s">
        <v>1575</v>
      </c>
      <c r="B1482" s="125" t="s">
        <v>5572</v>
      </c>
      <c r="C1482" s="125">
        <v>218</v>
      </c>
      <c r="D1482" s="125" t="s">
        <v>5573</v>
      </c>
      <c r="E1482" s="125" t="s">
        <v>5341</v>
      </c>
      <c r="F1482" s="140" t="s">
        <v>5342</v>
      </c>
      <c r="G1482" s="125" t="s">
        <v>5297</v>
      </c>
      <c r="H1482" s="125" t="s">
        <v>1285</v>
      </c>
      <c r="I1482" s="125" t="s">
        <v>3480</v>
      </c>
    </row>
    <row r="1483" spans="1:9" x14ac:dyDescent="0.25">
      <c r="A1483" s="125" t="s">
        <v>2294</v>
      </c>
      <c r="B1483" s="125" t="s">
        <v>5572</v>
      </c>
      <c r="C1483" s="125">
        <v>218</v>
      </c>
      <c r="D1483" s="125" t="s">
        <v>5573</v>
      </c>
      <c r="E1483" s="125" t="s">
        <v>5341</v>
      </c>
      <c r="F1483" s="140" t="s">
        <v>5342</v>
      </c>
      <c r="G1483" s="125" t="s">
        <v>5297</v>
      </c>
      <c r="H1483" s="125" t="s">
        <v>5568</v>
      </c>
      <c r="I1483" s="125" t="s">
        <v>3480</v>
      </c>
    </row>
    <row r="1484" spans="1:9" x14ac:dyDescent="0.25">
      <c r="A1484" s="125" t="s">
        <v>1666</v>
      </c>
      <c r="B1484" s="125" t="s">
        <v>5572</v>
      </c>
      <c r="C1484" s="125">
        <v>218</v>
      </c>
      <c r="D1484" s="125" t="s">
        <v>5573</v>
      </c>
      <c r="E1484" s="125" t="s">
        <v>5341</v>
      </c>
      <c r="F1484" s="140" t="s">
        <v>5342</v>
      </c>
      <c r="G1484" s="125" t="s">
        <v>5297</v>
      </c>
      <c r="H1484" s="125" t="s">
        <v>5568</v>
      </c>
      <c r="I1484" s="125" t="s">
        <v>3480</v>
      </c>
    </row>
    <row r="1485" spans="1:9" x14ac:dyDescent="0.25">
      <c r="A1485" s="125" t="s">
        <v>3221</v>
      </c>
      <c r="B1485" s="125" t="s">
        <v>5572</v>
      </c>
      <c r="C1485" s="125">
        <v>218</v>
      </c>
      <c r="D1485" s="125" t="s">
        <v>5573</v>
      </c>
      <c r="E1485" s="125" t="s">
        <v>5341</v>
      </c>
      <c r="F1485" s="140" t="s">
        <v>5342</v>
      </c>
      <c r="G1485" s="125" t="s">
        <v>5297</v>
      </c>
      <c r="H1485" s="125" t="s">
        <v>5903</v>
      </c>
      <c r="I1485" s="125" t="s">
        <v>3480</v>
      </c>
    </row>
    <row r="1486" spans="1:9" x14ac:dyDescent="0.25">
      <c r="A1486" s="125" t="s">
        <v>2486</v>
      </c>
      <c r="B1486" s="125" t="s">
        <v>5348</v>
      </c>
      <c r="C1486" s="125">
        <v>284</v>
      </c>
      <c r="D1486" s="125" t="s">
        <v>5349</v>
      </c>
      <c r="E1486" s="125" t="s">
        <v>5341</v>
      </c>
      <c r="F1486" s="140" t="s">
        <v>5342</v>
      </c>
      <c r="G1486" s="125" t="s">
        <v>5297</v>
      </c>
      <c r="H1486" s="125" t="s">
        <v>1138</v>
      </c>
      <c r="I1486" s="125" t="s">
        <v>5351</v>
      </c>
    </row>
    <row r="1487" spans="1:9" x14ac:dyDescent="0.25">
      <c r="A1487" s="125" t="s">
        <v>2139</v>
      </c>
      <c r="B1487" s="125" t="s">
        <v>5348</v>
      </c>
      <c r="C1487" s="125">
        <v>284</v>
      </c>
      <c r="D1487" s="125" t="s">
        <v>5349</v>
      </c>
      <c r="E1487" s="125" t="s">
        <v>5341</v>
      </c>
      <c r="F1487" s="140" t="s">
        <v>5342</v>
      </c>
      <c r="G1487" s="125" t="s">
        <v>5297</v>
      </c>
      <c r="H1487" s="125" t="s">
        <v>1138</v>
      </c>
      <c r="I1487" s="125" t="s">
        <v>5351</v>
      </c>
    </row>
    <row r="1488" spans="1:9" x14ac:dyDescent="0.25">
      <c r="A1488" s="125" t="s">
        <v>2413</v>
      </c>
      <c r="B1488" s="125" t="s">
        <v>5348</v>
      </c>
      <c r="C1488" s="125">
        <v>284</v>
      </c>
      <c r="D1488" s="125" t="s">
        <v>5349</v>
      </c>
      <c r="E1488" s="125" t="s">
        <v>5341</v>
      </c>
      <c r="F1488" s="140" t="s">
        <v>5342</v>
      </c>
      <c r="G1488" s="125" t="s">
        <v>5297</v>
      </c>
      <c r="H1488" s="125" t="s">
        <v>1138</v>
      </c>
      <c r="I1488" s="125" t="s">
        <v>5351</v>
      </c>
    </row>
    <row r="1489" spans="1:9" x14ac:dyDescent="0.25">
      <c r="A1489" s="125" t="s">
        <v>3247</v>
      </c>
      <c r="B1489" s="125" t="s">
        <v>5348</v>
      </c>
      <c r="C1489" s="125">
        <v>284</v>
      </c>
      <c r="D1489" s="125" t="s">
        <v>5349</v>
      </c>
      <c r="E1489" s="125" t="s">
        <v>5341</v>
      </c>
      <c r="F1489" s="140" t="s">
        <v>5342</v>
      </c>
      <c r="G1489" s="125" t="s">
        <v>5297</v>
      </c>
      <c r="H1489" s="125" t="s">
        <v>1138</v>
      </c>
      <c r="I1489" s="125" t="s">
        <v>5351</v>
      </c>
    </row>
    <row r="1490" spans="1:9" x14ac:dyDescent="0.25">
      <c r="A1490" s="125" t="s">
        <v>2620</v>
      </c>
      <c r="B1490" s="125" t="s">
        <v>5348</v>
      </c>
      <c r="C1490" s="125">
        <v>284</v>
      </c>
      <c r="D1490" s="125" t="s">
        <v>5349</v>
      </c>
      <c r="E1490" s="125" t="s">
        <v>5341</v>
      </c>
      <c r="F1490" s="140" t="s">
        <v>5342</v>
      </c>
      <c r="G1490" s="125" t="s">
        <v>5297</v>
      </c>
      <c r="H1490" s="125" t="s">
        <v>1138</v>
      </c>
      <c r="I1490" s="125" t="s">
        <v>5351</v>
      </c>
    </row>
    <row r="1491" spans="1:9" x14ac:dyDescent="0.25">
      <c r="A1491" s="125" t="s">
        <v>2718</v>
      </c>
      <c r="B1491" s="125" t="s">
        <v>5348</v>
      </c>
      <c r="C1491" s="125">
        <v>284</v>
      </c>
      <c r="D1491" s="125" t="s">
        <v>5349</v>
      </c>
      <c r="E1491" s="125" t="s">
        <v>5341</v>
      </c>
      <c r="F1491" s="140" t="s">
        <v>5342</v>
      </c>
      <c r="G1491" s="125" t="s">
        <v>5297</v>
      </c>
      <c r="H1491" s="125" t="s">
        <v>1138</v>
      </c>
      <c r="I1491" s="125" t="s">
        <v>5351</v>
      </c>
    </row>
    <row r="1492" spans="1:9" x14ac:dyDescent="0.25">
      <c r="A1492" s="125" t="s">
        <v>2488</v>
      </c>
      <c r="B1492" s="125" t="s">
        <v>5348</v>
      </c>
      <c r="C1492" s="125">
        <v>284</v>
      </c>
      <c r="D1492" s="125" t="s">
        <v>5349</v>
      </c>
      <c r="E1492" s="125" t="s">
        <v>5341</v>
      </c>
      <c r="F1492" s="140" t="s">
        <v>5342</v>
      </c>
      <c r="G1492" s="125" t="s">
        <v>5297</v>
      </c>
      <c r="H1492" s="125" t="s">
        <v>1138</v>
      </c>
      <c r="I1492" s="125" t="s">
        <v>5351</v>
      </c>
    </row>
    <row r="1493" spans="1:9" x14ac:dyDescent="0.25">
      <c r="A1493" s="125" t="s">
        <v>3467</v>
      </c>
      <c r="B1493" s="125" t="s">
        <v>5348</v>
      </c>
      <c r="C1493" s="125">
        <v>284</v>
      </c>
      <c r="D1493" s="125" t="s">
        <v>5349</v>
      </c>
      <c r="E1493" s="125" t="s">
        <v>5341</v>
      </c>
      <c r="F1493" s="140" t="s">
        <v>5342</v>
      </c>
      <c r="G1493" s="125" t="s">
        <v>5297</v>
      </c>
      <c r="H1493" s="125" t="s">
        <v>1138</v>
      </c>
      <c r="I1493" s="125" t="s">
        <v>5351</v>
      </c>
    </row>
    <row r="1494" spans="1:9" x14ac:dyDescent="0.25">
      <c r="A1494" s="125" t="s">
        <v>1308</v>
      </c>
      <c r="B1494" s="125" t="s">
        <v>5348</v>
      </c>
      <c r="C1494" s="125">
        <v>284</v>
      </c>
      <c r="D1494" s="125" t="s">
        <v>5349</v>
      </c>
      <c r="E1494" s="125" t="s">
        <v>5341</v>
      </c>
      <c r="F1494" s="140" t="s">
        <v>5342</v>
      </c>
      <c r="G1494" s="125" t="s">
        <v>5297</v>
      </c>
      <c r="H1494" s="125" t="s">
        <v>1138</v>
      </c>
      <c r="I1494" s="125" t="s">
        <v>5351</v>
      </c>
    </row>
    <row r="1495" spans="1:9" x14ac:dyDescent="0.25">
      <c r="A1495" s="125" t="s">
        <v>1514</v>
      </c>
      <c r="B1495" s="125" t="s">
        <v>5348</v>
      </c>
      <c r="C1495" s="125">
        <v>284</v>
      </c>
      <c r="D1495" s="125" t="s">
        <v>5349</v>
      </c>
      <c r="E1495" s="125" t="s">
        <v>5341</v>
      </c>
      <c r="F1495" s="140" t="s">
        <v>5342</v>
      </c>
      <c r="G1495" s="125" t="s">
        <v>5297</v>
      </c>
      <c r="H1495" s="125" t="s">
        <v>1138</v>
      </c>
      <c r="I1495" s="125" t="s">
        <v>5351</v>
      </c>
    </row>
    <row r="1496" spans="1:9" x14ac:dyDescent="0.25">
      <c r="A1496" s="125" t="s">
        <v>2358</v>
      </c>
      <c r="B1496" s="125" t="s">
        <v>5348</v>
      </c>
      <c r="C1496" s="125">
        <v>284</v>
      </c>
      <c r="D1496" s="125" t="s">
        <v>5349</v>
      </c>
      <c r="E1496" s="125" t="s">
        <v>5341</v>
      </c>
      <c r="F1496" s="140" t="s">
        <v>5342</v>
      </c>
      <c r="G1496" s="125" t="s">
        <v>5297</v>
      </c>
      <c r="H1496" s="125" t="s">
        <v>1138</v>
      </c>
      <c r="I1496" s="125" t="s">
        <v>5351</v>
      </c>
    </row>
    <row r="1497" spans="1:9" x14ac:dyDescent="0.25">
      <c r="A1497" s="125" t="s">
        <v>2559</v>
      </c>
      <c r="B1497" s="125" t="s">
        <v>5348</v>
      </c>
      <c r="C1497" s="125">
        <v>284</v>
      </c>
      <c r="D1497" s="125" t="s">
        <v>5349</v>
      </c>
      <c r="E1497" s="125" t="s">
        <v>5341</v>
      </c>
      <c r="F1497" s="140" t="s">
        <v>5342</v>
      </c>
      <c r="G1497" s="125" t="s">
        <v>5297</v>
      </c>
      <c r="H1497" s="125" t="s">
        <v>1138</v>
      </c>
      <c r="I1497" s="125" t="s">
        <v>5351</v>
      </c>
    </row>
    <row r="1498" spans="1:9" x14ac:dyDescent="0.25">
      <c r="A1498" s="125" t="s">
        <v>3326</v>
      </c>
      <c r="B1498" s="125" t="s">
        <v>5348</v>
      </c>
      <c r="C1498" s="125">
        <v>284</v>
      </c>
      <c r="D1498" s="125" t="s">
        <v>5349</v>
      </c>
      <c r="E1498" s="125" t="s">
        <v>5341</v>
      </c>
      <c r="F1498" s="140" t="s">
        <v>5342</v>
      </c>
      <c r="G1498" s="125" t="s">
        <v>5297</v>
      </c>
      <c r="H1498" s="125" t="s">
        <v>371</v>
      </c>
      <c r="I1498" s="125" t="s">
        <v>371</v>
      </c>
    </row>
    <row r="1499" spans="1:9" x14ac:dyDescent="0.25">
      <c r="A1499" s="125" t="s">
        <v>2247</v>
      </c>
      <c r="B1499" s="125" t="s">
        <v>5348</v>
      </c>
      <c r="C1499" s="125">
        <v>284</v>
      </c>
      <c r="D1499" s="125" t="s">
        <v>5349</v>
      </c>
      <c r="E1499" s="125" t="s">
        <v>5341</v>
      </c>
      <c r="F1499" s="140" t="s">
        <v>5342</v>
      </c>
      <c r="G1499" s="125" t="s">
        <v>5297</v>
      </c>
      <c r="H1499" s="125" t="s">
        <v>1469</v>
      </c>
      <c r="I1499" s="125" t="s">
        <v>5355</v>
      </c>
    </row>
    <row r="1500" spans="1:9" x14ac:dyDescent="0.25">
      <c r="A1500" s="125" t="s">
        <v>1814</v>
      </c>
      <c r="B1500" s="125" t="s">
        <v>5348</v>
      </c>
      <c r="C1500" s="125">
        <v>284</v>
      </c>
      <c r="D1500" s="125" t="s">
        <v>5349</v>
      </c>
      <c r="E1500" s="125" t="s">
        <v>5341</v>
      </c>
      <c r="F1500" s="140" t="s">
        <v>5342</v>
      </c>
      <c r="G1500" s="125" t="s">
        <v>5297</v>
      </c>
      <c r="H1500" s="125" t="s">
        <v>1138</v>
      </c>
      <c r="I1500" s="125" t="s">
        <v>5351</v>
      </c>
    </row>
    <row r="1501" spans="1:9" x14ac:dyDescent="0.25">
      <c r="A1501" s="125" t="s">
        <v>2397</v>
      </c>
      <c r="B1501" s="125" t="s">
        <v>5348</v>
      </c>
      <c r="C1501" s="125">
        <v>284</v>
      </c>
      <c r="D1501" s="125" t="s">
        <v>5349</v>
      </c>
      <c r="E1501" s="125" t="s">
        <v>5341</v>
      </c>
      <c r="F1501" s="140" t="s">
        <v>5342</v>
      </c>
      <c r="G1501" s="125" t="s">
        <v>5297</v>
      </c>
      <c r="H1501" s="125" t="s">
        <v>371</v>
      </c>
      <c r="I1501" s="125" t="s">
        <v>371</v>
      </c>
    </row>
    <row r="1502" spans="1:9" x14ac:dyDescent="0.25">
      <c r="A1502" s="125" t="s">
        <v>3061</v>
      </c>
      <c r="B1502" s="125" t="s">
        <v>5348</v>
      </c>
      <c r="C1502" s="125">
        <v>284</v>
      </c>
      <c r="D1502" s="125" t="s">
        <v>5349</v>
      </c>
      <c r="E1502" s="125" t="s">
        <v>5341</v>
      </c>
      <c r="F1502" s="140" t="s">
        <v>5342</v>
      </c>
      <c r="G1502" s="125" t="s">
        <v>5297</v>
      </c>
      <c r="H1502" s="125" t="s">
        <v>371</v>
      </c>
      <c r="I1502" s="125" t="s">
        <v>371</v>
      </c>
    </row>
    <row r="1503" spans="1:9" x14ac:dyDescent="0.25">
      <c r="A1503" s="125" t="s">
        <v>2487</v>
      </c>
      <c r="B1503" s="125" t="s">
        <v>5348</v>
      </c>
      <c r="C1503" s="125">
        <v>284</v>
      </c>
      <c r="D1503" s="125" t="s">
        <v>5349</v>
      </c>
      <c r="E1503" s="125" t="s">
        <v>5341</v>
      </c>
      <c r="F1503" s="140" t="s">
        <v>5342</v>
      </c>
      <c r="G1503" s="125" t="s">
        <v>5297</v>
      </c>
      <c r="H1503" s="125" t="s">
        <v>1138</v>
      </c>
      <c r="I1503" s="125" t="s">
        <v>5351</v>
      </c>
    </row>
    <row r="1504" spans="1:9" x14ac:dyDescent="0.25">
      <c r="A1504" s="125" t="s">
        <v>2217</v>
      </c>
      <c r="B1504" s="125" t="s">
        <v>5348</v>
      </c>
      <c r="C1504" s="125">
        <v>284</v>
      </c>
      <c r="D1504" s="125" t="s">
        <v>5349</v>
      </c>
      <c r="E1504" s="125" t="s">
        <v>5341</v>
      </c>
      <c r="F1504" s="140" t="s">
        <v>5342</v>
      </c>
      <c r="G1504" s="125" t="s">
        <v>5297</v>
      </c>
      <c r="H1504" s="125" t="s">
        <v>1138</v>
      </c>
      <c r="I1504" s="125" t="s">
        <v>5351</v>
      </c>
    </row>
    <row r="1505" spans="1:9" x14ac:dyDescent="0.25">
      <c r="A1505" s="125" t="s">
        <v>1844</v>
      </c>
      <c r="B1505" s="125" t="s">
        <v>5348</v>
      </c>
      <c r="C1505" s="125">
        <v>284</v>
      </c>
      <c r="D1505" s="125" t="s">
        <v>5349</v>
      </c>
      <c r="E1505" s="125" t="s">
        <v>5341</v>
      </c>
      <c r="F1505" s="140" t="s">
        <v>5342</v>
      </c>
      <c r="G1505" s="125" t="s">
        <v>5297</v>
      </c>
      <c r="H1505" s="125" t="s">
        <v>1138</v>
      </c>
      <c r="I1505" s="125" t="s">
        <v>5351</v>
      </c>
    </row>
    <row r="1506" spans="1:9" x14ac:dyDescent="0.25">
      <c r="A1506" s="125" t="s">
        <v>1638</v>
      </c>
      <c r="B1506" s="125" t="s">
        <v>5348</v>
      </c>
      <c r="C1506" s="125">
        <v>284</v>
      </c>
      <c r="D1506" s="125" t="s">
        <v>5349</v>
      </c>
      <c r="E1506" s="125" t="s">
        <v>5341</v>
      </c>
      <c r="F1506" s="140" t="s">
        <v>5342</v>
      </c>
      <c r="G1506" s="125" t="s">
        <v>5297</v>
      </c>
      <c r="H1506" s="125" t="s">
        <v>1138</v>
      </c>
      <c r="I1506" s="125" t="s">
        <v>5351</v>
      </c>
    </row>
    <row r="1507" spans="1:9" x14ac:dyDescent="0.25">
      <c r="A1507" s="125" t="s">
        <v>1985</v>
      </c>
      <c r="B1507" s="125" t="s">
        <v>5348</v>
      </c>
      <c r="C1507" s="125">
        <v>284</v>
      </c>
      <c r="D1507" s="125" t="s">
        <v>5349</v>
      </c>
      <c r="E1507" s="125" t="s">
        <v>5341</v>
      </c>
      <c r="F1507" s="140" t="s">
        <v>5342</v>
      </c>
      <c r="G1507" s="125" t="s">
        <v>5297</v>
      </c>
      <c r="H1507" s="125" t="s">
        <v>1183</v>
      </c>
      <c r="I1507" s="125" t="s">
        <v>5351</v>
      </c>
    </row>
    <row r="1508" spans="1:9" x14ac:dyDescent="0.25">
      <c r="A1508" s="125" t="s">
        <v>5906</v>
      </c>
      <c r="B1508" s="125" t="s">
        <v>5348</v>
      </c>
      <c r="C1508" s="125">
        <v>284</v>
      </c>
      <c r="D1508" s="125" t="s">
        <v>5349</v>
      </c>
      <c r="E1508" s="125" t="s">
        <v>5341</v>
      </c>
      <c r="F1508" s="140" t="s">
        <v>5342</v>
      </c>
      <c r="G1508" s="125" t="s">
        <v>5297</v>
      </c>
      <c r="H1508" s="125" t="s">
        <v>1138</v>
      </c>
      <c r="I1508" s="125" t="s">
        <v>5351</v>
      </c>
    </row>
    <row r="1509" spans="1:9" x14ac:dyDescent="0.25">
      <c r="A1509" s="125" t="s">
        <v>5907</v>
      </c>
      <c r="B1509" s="125" t="s">
        <v>5348</v>
      </c>
      <c r="C1509" s="125">
        <v>284</v>
      </c>
      <c r="D1509" s="125" t="s">
        <v>5349</v>
      </c>
      <c r="E1509" s="125" t="s">
        <v>5341</v>
      </c>
      <c r="F1509" s="140" t="s">
        <v>5342</v>
      </c>
      <c r="G1509" s="125" t="s">
        <v>5297</v>
      </c>
      <c r="H1509" s="125" t="s">
        <v>1138</v>
      </c>
      <c r="I1509" s="125" t="s">
        <v>5351</v>
      </c>
    </row>
    <row r="1510" spans="1:9" x14ac:dyDescent="0.25">
      <c r="A1510" s="125" t="s">
        <v>3022</v>
      </c>
      <c r="B1510" s="125" t="s">
        <v>5348</v>
      </c>
      <c r="C1510" s="125">
        <v>284</v>
      </c>
      <c r="D1510" s="125" t="s">
        <v>5349</v>
      </c>
      <c r="E1510" s="125" t="s">
        <v>5341</v>
      </c>
      <c r="F1510" s="140" t="s">
        <v>5342</v>
      </c>
      <c r="G1510" s="125" t="s">
        <v>5297</v>
      </c>
      <c r="H1510" s="125" t="s">
        <v>1138</v>
      </c>
      <c r="I1510" s="125" t="s">
        <v>5351</v>
      </c>
    </row>
    <row r="1511" spans="1:9" x14ac:dyDescent="0.25">
      <c r="A1511" s="125" t="s">
        <v>3426</v>
      </c>
      <c r="B1511" s="125" t="s">
        <v>5348</v>
      </c>
      <c r="C1511" s="125">
        <v>284</v>
      </c>
      <c r="D1511" s="125" t="s">
        <v>5349</v>
      </c>
      <c r="E1511" s="125" t="s">
        <v>5341</v>
      </c>
      <c r="F1511" s="140" t="s">
        <v>5342</v>
      </c>
      <c r="G1511" s="125" t="s">
        <v>5297</v>
      </c>
      <c r="H1511" s="125" t="s">
        <v>1138</v>
      </c>
      <c r="I1511" s="125" t="s">
        <v>5351</v>
      </c>
    </row>
    <row r="1512" spans="1:9" x14ac:dyDescent="0.25">
      <c r="A1512" s="125" t="s">
        <v>1139</v>
      </c>
      <c r="B1512" s="125" t="s">
        <v>5348</v>
      </c>
      <c r="C1512" s="125">
        <v>284</v>
      </c>
      <c r="D1512" s="125" t="s">
        <v>5349</v>
      </c>
      <c r="E1512" s="125" t="s">
        <v>5341</v>
      </c>
      <c r="F1512" s="140" t="s">
        <v>5342</v>
      </c>
      <c r="G1512" s="125" t="s">
        <v>5297</v>
      </c>
      <c r="H1512" s="125" t="s">
        <v>1138</v>
      </c>
      <c r="I1512" s="125" t="s">
        <v>5351</v>
      </c>
    </row>
    <row r="1513" spans="1:9" x14ac:dyDescent="0.25">
      <c r="A1513" s="125" t="s">
        <v>3578</v>
      </c>
      <c r="B1513" s="125" t="s">
        <v>5348</v>
      </c>
      <c r="C1513" s="125">
        <v>284</v>
      </c>
      <c r="D1513" s="125" t="s">
        <v>5349</v>
      </c>
      <c r="E1513" s="125" t="s">
        <v>5341</v>
      </c>
      <c r="F1513" s="140" t="s">
        <v>5342</v>
      </c>
      <c r="G1513" s="125" t="s">
        <v>5297</v>
      </c>
      <c r="H1513" s="125" t="s">
        <v>1138</v>
      </c>
      <c r="I1513" s="125" t="s">
        <v>5351</v>
      </c>
    </row>
    <row r="1514" spans="1:9" x14ac:dyDescent="0.25">
      <c r="A1514" s="125" t="s">
        <v>2699</v>
      </c>
      <c r="B1514" s="125" t="s">
        <v>5348</v>
      </c>
      <c r="C1514" s="125">
        <v>284</v>
      </c>
      <c r="D1514" s="125" t="s">
        <v>5349</v>
      </c>
      <c r="E1514" s="125" t="s">
        <v>5341</v>
      </c>
      <c r="F1514" s="140" t="s">
        <v>5342</v>
      </c>
      <c r="G1514" s="125" t="s">
        <v>5297</v>
      </c>
      <c r="H1514" s="125" t="s">
        <v>1138</v>
      </c>
      <c r="I1514" s="125" t="s">
        <v>5351</v>
      </c>
    </row>
    <row r="1515" spans="1:9" x14ac:dyDescent="0.25">
      <c r="A1515" s="125" t="s">
        <v>1321</v>
      </c>
      <c r="B1515" s="125" t="s">
        <v>5293</v>
      </c>
      <c r="C1515" s="125">
        <v>228</v>
      </c>
      <c r="D1515" s="125" t="s">
        <v>5294</v>
      </c>
      <c r="E1515" s="125" t="s">
        <v>5295</v>
      </c>
      <c r="F1515" s="125" t="s">
        <v>5296</v>
      </c>
      <c r="G1515" s="125" t="s">
        <v>5297</v>
      </c>
      <c r="H1515" s="125" t="s">
        <v>1155</v>
      </c>
      <c r="I1515" s="125" t="s">
        <v>3468</v>
      </c>
    </row>
    <row r="1516" spans="1:9" x14ac:dyDescent="0.25">
      <c r="A1516" s="125" t="s">
        <v>1924</v>
      </c>
      <c r="B1516" s="125" t="s">
        <v>5293</v>
      </c>
      <c r="C1516" s="125">
        <v>228</v>
      </c>
      <c r="D1516" s="125" t="s">
        <v>5294</v>
      </c>
      <c r="E1516" s="125" t="s">
        <v>5295</v>
      </c>
      <c r="F1516" s="125" t="s">
        <v>5296</v>
      </c>
      <c r="G1516" s="125" t="s">
        <v>5297</v>
      </c>
      <c r="H1516" s="125" t="s">
        <v>1155</v>
      </c>
      <c r="I1516" s="125" t="s">
        <v>3468</v>
      </c>
    </row>
    <row r="1517" spans="1:9" x14ac:dyDescent="0.25">
      <c r="A1517" s="125" t="s">
        <v>1156</v>
      </c>
      <c r="B1517" s="125" t="s">
        <v>5293</v>
      </c>
      <c r="C1517" s="125">
        <v>228</v>
      </c>
      <c r="D1517" s="125" t="s">
        <v>5294</v>
      </c>
      <c r="E1517" s="125" t="s">
        <v>5295</v>
      </c>
      <c r="F1517" s="125" t="s">
        <v>5296</v>
      </c>
      <c r="G1517" s="125" t="s">
        <v>5297</v>
      </c>
      <c r="H1517" s="125" t="s">
        <v>1155</v>
      </c>
      <c r="I1517" s="125" t="s">
        <v>3468</v>
      </c>
    </row>
    <row r="1518" spans="1:9" x14ac:dyDescent="0.25">
      <c r="A1518" s="125" t="s">
        <v>5908</v>
      </c>
      <c r="B1518" s="125" t="s">
        <v>5293</v>
      </c>
      <c r="C1518" s="125">
        <v>228</v>
      </c>
      <c r="D1518" s="125" t="s">
        <v>5294</v>
      </c>
      <c r="E1518" s="125" t="s">
        <v>5295</v>
      </c>
      <c r="F1518" s="125" t="s">
        <v>5296</v>
      </c>
      <c r="G1518" s="125" t="s">
        <v>5297</v>
      </c>
      <c r="H1518" s="125" t="s">
        <v>5909</v>
      </c>
      <c r="I1518" s="125" t="s">
        <v>3468</v>
      </c>
    </row>
    <row r="1519" spans="1:9" x14ac:dyDescent="0.25">
      <c r="A1519" s="125" t="s">
        <v>2622</v>
      </c>
      <c r="B1519" s="125" t="s">
        <v>5293</v>
      </c>
      <c r="C1519" s="125">
        <v>228</v>
      </c>
      <c r="D1519" s="125" t="s">
        <v>5294</v>
      </c>
      <c r="E1519" s="125" t="s">
        <v>5295</v>
      </c>
      <c r="F1519" s="125" t="s">
        <v>5296</v>
      </c>
      <c r="G1519" s="125" t="s">
        <v>5297</v>
      </c>
      <c r="H1519" s="125" t="s">
        <v>5910</v>
      </c>
      <c r="I1519" s="125" t="s">
        <v>3468</v>
      </c>
    </row>
    <row r="1520" spans="1:9" x14ac:dyDescent="0.25">
      <c r="A1520" s="125" t="s">
        <v>1113</v>
      </c>
      <c r="B1520" s="125" t="s">
        <v>5293</v>
      </c>
      <c r="C1520" s="125">
        <v>228</v>
      </c>
      <c r="D1520" s="125" t="s">
        <v>5294</v>
      </c>
      <c r="E1520" s="125" t="s">
        <v>5295</v>
      </c>
      <c r="F1520" s="125" t="s">
        <v>5296</v>
      </c>
      <c r="G1520" s="125" t="s">
        <v>5297</v>
      </c>
      <c r="H1520" s="125" t="s">
        <v>5910</v>
      </c>
      <c r="I1520" s="125" t="s">
        <v>3468</v>
      </c>
    </row>
    <row r="1521" spans="1:9" x14ac:dyDescent="0.25">
      <c r="A1521" s="125" t="s">
        <v>1268</v>
      </c>
      <c r="B1521" s="125" t="s">
        <v>5293</v>
      </c>
      <c r="C1521" s="125">
        <v>228</v>
      </c>
      <c r="D1521" s="125" t="s">
        <v>5294</v>
      </c>
      <c r="E1521" s="125" t="s">
        <v>5295</v>
      </c>
      <c r="F1521" s="125" t="s">
        <v>5296</v>
      </c>
      <c r="G1521" s="125" t="s">
        <v>5297</v>
      </c>
      <c r="H1521" s="125" t="s">
        <v>5910</v>
      </c>
      <c r="I1521" s="125" t="s">
        <v>3468</v>
      </c>
    </row>
    <row r="1522" spans="1:9" x14ac:dyDescent="0.25">
      <c r="A1522" s="125" t="s">
        <v>1544</v>
      </c>
      <c r="B1522" s="125" t="s">
        <v>5339</v>
      </c>
      <c r="C1522" s="125">
        <v>235</v>
      </c>
      <c r="D1522" s="140" t="s">
        <v>5340</v>
      </c>
      <c r="E1522" s="125" t="s">
        <v>5341</v>
      </c>
      <c r="F1522" s="140" t="s">
        <v>5342</v>
      </c>
      <c r="G1522" s="125" t="s">
        <v>5297</v>
      </c>
      <c r="H1522" s="125" t="s">
        <v>1060</v>
      </c>
      <c r="I1522" s="125" t="s">
        <v>5366</v>
      </c>
    </row>
    <row r="1523" spans="1:9" x14ac:dyDescent="0.25">
      <c r="A1523" s="125" t="s">
        <v>2763</v>
      </c>
      <c r="B1523" s="125" t="s">
        <v>5339</v>
      </c>
      <c r="C1523" s="125">
        <v>235</v>
      </c>
      <c r="D1523" s="140" t="s">
        <v>5340</v>
      </c>
      <c r="E1523" s="125" t="s">
        <v>5341</v>
      </c>
      <c r="F1523" s="140" t="s">
        <v>5342</v>
      </c>
      <c r="G1523" s="125" t="s">
        <v>5297</v>
      </c>
      <c r="H1523" s="125" t="s">
        <v>1060</v>
      </c>
      <c r="I1523" s="125" t="s">
        <v>5366</v>
      </c>
    </row>
    <row r="1524" spans="1:9" x14ac:dyDescent="0.25">
      <c r="A1524" s="125" t="s">
        <v>3198</v>
      </c>
      <c r="B1524" s="125" t="s">
        <v>5339</v>
      </c>
      <c r="C1524" s="125">
        <v>235</v>
      </c>
      <c r="D1524" s="140" t="s">
        <v>5340</v>
      </c>
      <c r="E1524" s="125" t="s">
        <v>5341</v>
      </c>
      <c r="F1524" s="140" t="s">
        <v>5342</v>
      </c>
      <c r="G1524" s="125" t="s">
        <v>5297</v>
      </c>
      <c r="H1524" s="125" t="s">
        <v>1060</v>
      </c>
      <c r="I1524" s="125" t="s">
        <v>5366</v>
      </c>
    </row>
    <row r="1525" spans="1:9" x14ac:dyDescent="0.25">
      <c r="A1525" s="125" t="s">
        <v>5911</v>
      </c>
      <c r="B1525" s="125" t="s">
        <v>5339</v>
      </c>
      <c r="C1525" s="125">
        <v>235</v>
      </c>
      <c r="D1525" s="140" t="s">
        <v>5340</v>
      </c>
      <c r="E1525" s="125" t="s">
        <v>5341</v>
      </c>
      <c r="F1525" s="140" t="s">
        <v>5342</v>
      </c>
      <c r="G1525" s="125" t="s">
        <v>5297</v>
      </c>
      <c r="H1525" s="125" t="s">
        <v>1060</v>
      </c>
      <c r="I1525" s="125" t="s">
        <v>5366</v>
      </c>
    </row>
    <row r="1526" spans="1:9" x14ac:dyDescent="0.25">
      <c r="A1526" s="125" t="s">
        <v>3268</v>
      </c>
      <c r="B1526" s="125" t="s">
        <v>5339</v>
      </c>
      <c r="C1526" s="125">
        <v>235</v>
      </c>
      <c r="D1526" s="140" t="s">
        <v>5340</v>
      </c>
      <c r="E1526" s="125" t="s">
        <v>5341</v>
      </c>
      <c r="F1526" s="140" t="s">
        <v>5342</v>
      </c>
      <c r="G1526" s="125" t="s">
        <v>5297</v>
      </c>
      <c r="H1526" s="125" t="s">
        <v>1060</v>
      </c>
      <c r="I1526" s="125" t="s">
        <v>5366</v>
      </c>
    </row>
    <row r="1527" spans="1:9" x14ac:dyDescent="0.25">
      <c r="A1527" s="125" t="s">
        <v>3504</v>
      </c>
      <c r="B1527" s="125" t="s">
        <v>5339</v>
      </c>
      <c r="C1527" s="125">
        <v>235</v>
      </c>
      <c r="D1527" s="140" t="s">
        <v>5340</v>
      </c>
      <c r="E1527" s="125" t="s">
        <v>5341</v>
      </c>
      <c r="F1527" s="140" t="s">
        <v>5342</v>
      </c>
      <c r="G1527" s="125" t="s">
        <v>5297</v>
      </c>
      <c r="H1527" s="125" t="s">
        <v>1060</v>
      </c>
      <c r="I1527" s="125" t="s">
        <v>5366</v>
      </c>
    </row>
    <row r="1528" spans="1:9" x14ac:dyDescent="0.25">
      <c r="A1528" s="125" t="s">
        <v>3064</v>
      </c>
      <c r="B1528" s="125" t="s">
        <v>5339</v>
      </c>
      <c r="C1528" s="125">
        <v>235</v>
      </c>
      <c r="D1528" s="140" t="s">
        <v>5340</v>
      </c>
      <c r="E1528" s="125" t="s">
        <v>5341</v>
      </c>
      <c r="F1528" s="140" t="s">
        <v>5342</v>
      </c>
      <c r="G1528" s="125" t="s">
        <v>5297</v>
      </c>
      <c r="H1528" s="125" t="s">
        <v>1060</v>
      </c>
      <c r="I1528" s="125" t="s">
        <v>5366</v>
      </c>
    </row>
    <row r="1529" spans="1:9" x14ac:dyDescent="0.25">
      <c r="A1529" s="125" t="s">
        <v>5912</v>
      </c>
      <c r="B1529" s="125" t="s">
        <v>5339</v>
      </c>
      <c r="C1529" s="125">
        <v>235</v>
      </c>
      <c r="D1529" s="140" t="s">
        <v>5340</v>
      </c>
      <c r="E1529" s="125" t="s">
        <v>5341</v>
      </c>
      <c r="F1529" s="140" t="s">
        <v>5342</v>
      </c>
      <c r="G1529" s="125" t="s">
        <v>5297</v>
      </c>
      <c r="H1529" s="125" t="s">
        <v>5913</v>
      </c>
      <c r="I1529" s="125" t="s">
        <v>5366</v>
      </c>
    </row>
    <row r="1530" spans="1:9" x14ac:dyDescent="0.25">
      <c r="A1530" s="125" t="s">
        <v>2810</v>
      </c>
      <c r="B1530" s="125" t="s">
        <v>5339</v>
      </c>
      <c r="C1530" s="125">
        <v>235</v>
      </c>
      <c r="D1530" s="140" t="s">
        <v>5340</v>
      </c>
      <c r="E1530" s="125" t="s">
        <v>5341</v>
      </c>
      <c r="F1530" s="140" t="s">
        <v>5342</v>
      </c>
      <c r="G1530" s="125" t="s">
        <v>5297</v>
      </c>
      <c r="H1530" s="125" t="s">
        <v>1060</v>
      </c>
      <c r="I1530" s="125" t="s">
        <v>5366</v>
      </c>
    </row>
    <row r="1531" spans="1:9" x14ac:dyDescent="0.25">
      <c r="A1531" s="125" t="s">
        <v>3192</v>
      </c>
      <c r="B1531" s="125" t="s">
        <v>5339</v>
      </c>
      <c r="C1531" s="125">
        <v>235</v>
      </c>
      <c r="D1531" s="140" t="s">
        <v>5340</v>
      </c>
      <c r="E1531" s="125" t="s">
        <v>5341</v>
      </c>
      <c r="F1531" s="140" t="s">
        <v>5342</v>
      </c>
      <c r="G1531" s="125" t="s">
        <v>5297</v>
      </c>
      <c r="H1531" s="125" t="s">
        <v>1060</v>
      </c>
      <c r="I1531" s="125" t="s">
        <v>5366</v>
      </c>
    </row>
    <row r="1532" spans="1:9" x14ac:dyDescent="0.25">
      <c r="A1532" s="125" t="s">
        <v>2522</v>
      </c>
      <c r="B1532" s="125" t="s">
        <v>5348</v>
      </c>
      <c r="C1532" s="125">
        <v>284</v>
      </c>
      <c r="D1532" s="125" t="s">
        <v>5349</v>
      </c>
      <c r="E1532" s="125" t="s">
        <v>5341</v>
      </c>
      <c r="F1532" s="140" t="s">
        <v>5342</v>
      </c>
      <c r="G1532" s="125" t="s">
        <v>5297</v>
      </c>
      <c r="H1532" s="125" t="s">
        <v>1060</v>
      </c>
      <c r="I1532" s="125" t="s">
        <v>5366</v>
      </c>
    </row>
    <row r="1533" spans="1:9" x14ac:dyDescent="0.25">
      <c r="A1533" s="125" t="s">
        <v>2218</v>
      </c>
      <c r="B1533" s="125" t="s">
        <v>5339</v>
      </c>
      <c r="C1533" s="125">
        <v>235</v>
      </c>
      <c r="D1533" s="139" t="s">
        <v>5340</v>
      </c>
      <c r="E1533" s="125" t="s">
        <v>5341</v>
      </c>
      <c r="F1533" s="140" t="s">
        <v>5342</v>
      </c>
      <c r="G1533" s="125" t="s">
        <v>5297</v>
      </c>
      <c r="H1533" s="125" t="s">
        <v>1060</v>
      </c>
      <c r="I1533" s="125" t="s">
        <v>5366</v>
      </c>
    </row>
    <row r="1534" spans="1:9" x14ac:dyDescent="0.25">
      <c r="A1534" s="125" t="s">
        <v>3006</v>
      </c>
      <c r="B1534" s="125" t="s">
        <v>5339</v>
      </c>
      <c r="C1534" s="125">
        <v>235</v>
      </c>
      <c r="D1534" s="139" t="s">
        <v>5340</v>
      </c>
      <c r="E1534" s="125" t="s">
        <v>5341</v>
      </c>
      <c r="F1534" s="140" t="s">
        <v>5342</v>
      </c>
      <c r="G1534" s="125" t="s">
        <v>5297</v>
      </c>
      <c r="H1534" s="125" t="s">
        <v>1060</v>
      </c>
      <c r="I1534" s="125" t="s">
        <v>5366</v>
      </c>
    </row>
    <row r="1535" spans="1:9" x14ac:dyDescent="0.25">
      <c r="A1535" s="125" t="s">
        <v>2576</v>
      </c>
      <c r="B1535" s="125" t="s">
        <v>5339</v>
      </c>
      <c r="C1535" s="125">
        <v>235</v>
      </c>
      <c r="D1535" s="139" t="s">
        <v>5340</v>
      </c>
      <c r="E1535" s="125" t="s">
        <v>5341</v>
      </c>
      <c r="F1535" s="140" t="s">
        <v>5342</v>
      </c>
      <c r="G1535" s="125" t="s">
        <v>5297</v>
      </c>
      <c r="H1535" s="125" t="s">
        <v>1060</v>
      </c>
      <c r="I1535" s="125" t="s">
        <v>5366</v>
      </c>
    </row>
    <row r="1536" spans="1:9" x14ac:dyDescent="0.25">
      <c r="A1536" s="125" t="s">
        <v>2475</v>
      </c>
      <c r="B1536" s="125" t="s">
        <v>5339</v>
      </c>
      <c r="C1536" s="125">
        <v>235</v>
      </c>
      <c r="D1536" s="139" t="s">
        <v>5340</v>
      </c>
      <c r="E1536" s="125" t="s">
        <v>5341</v>
      </c>
      <c r="F1536" s="140" t="s">
        <v>5342</v>
      </c>
      <c r="G1536" s="125" t="s">
        <v>5297</v>
      </c>
      <c r="H1536" s="125" t="s">
        <v>1060</v>
      </c>
      <c r="I1536" s="125" t="s">
        <v>5366</v>
      </c>
    </row>
    <row r="1537" spans="1:9" x14ac:dyDescent="0.25">
      <c r="A1537" s="125" t="s">
        <v>1371</v>
      </c>
      <c r="B1537" s="125" t="s">
        <v>5339</v>
      </c>
      <c r="C1537" s="125">
        <v>235</v>
      </c>
      <c r="D1537" s="139" t="s">
        <v>5340</v>
      </c>
      <c r="E1537" s="125" t="s">
        <v>5341</v>
      </c>
      <c r="F1537" s="140" t="s">
        <v>5342</v>
      </c>
      <c r="G1537" s="125" t="s">
        <v>5297</v>
      </c>
      <c r="H1537" s="125" t="s">
        <v>1941</v>
      </c>
      <c r="I1537" s="125" t="s">
        <v>5366</v>
      </c>
    </row>
    <row r="1538" spans="1:9" x14ac:dyDescent="0.25">
      <c r="A1538" s="125" t="s">
        <v>2386</v>
      </c>
      <c r="B1538" s="125" t="s">
        <v>5339</v>
      </c>
      <c r="C1538" s="125">
        <v>235</v>
      </c>
      <c r="D1538" s="139" t="s">
        <v>5340</v>
      </c>
      <c r="E1538" s="125" t="s">
        <v>5341</v>
      </c>
      <c r="F1538" s="140" t="s">
        <v>5342</v>
      </c>
      <c r="G1538" s="125" t="s">
        <v>5297</v>
      </c>
      <c r="H1538" s="125" t="s">
        <v>1310</v>
      </c>
      <c r="I1538" s="125" t="s">
        <v>5366</v>
      </c>
    </row>
    <row r="1539" spans="1:9" x14ac:dyDescent="0.25">
      <c r="A1539" s="125" t="s">
        <v>2044</v>
      </c>
      <c r="B1539" s="125" t="s">
        <v>5339</v>
      </c>
      <c r="C1539" s="125">
        <v>235</v>
      </c>
      <c r="D1539" s="139" t="s">
        <v>5340</v>
      </c>
      <c r="E1539" s="125" t="s">
        <v>5341</v>
      </c>
      <c r="F1539" s="140" t="s">
        <v>5342</v>
      </c>
      <c r="G1539" s="125" t="s">
        <v>5297</v>
      </c>
      <c r="H1539" s="125" t="s">
        <v>1310</v>
      </c>
      <c r="I1539" s="125" t="s">
        <v>5366</v>
      </c>
    </row>
    <row r="1540" spans="1:9" x14ac:dyDescent="0.25">
      <c r="A1540" s="125" t="s">
        <v>2391</v>
      </c>
      <c r="B1540" s="125" t="s">
        <v>5339</v>
      </c>
      <c r="C1540" s="125">
        <v>235</v>
      </c>
      <c r="D1540" s="139" t="s">
        <v>5340</v>
      </c>
      <c r="E1540" s="125" t="s">
        <v>5341</v>
      </c>
      <c r="F1540" s="140" t="s">
        <v>5342</v>
      </c>
      <c r="G1540" s="125" t="s">
        <v>5297</v>
      </c>
      <c r="H1540" s="125" t="s">
        <v>3244</v>
      </c>
      <c r="I1540" s="125" t="s">
        <v>5366</v>
      </c>
    </row>
    <row r="1541" spans="1:9" x14ac:dyDescent="0.25">
      <c r="A1541" s="125" t="s">
        <v>1355</v>
      </c>
      <c r="B1541" s="125" t="s">
        <v>5339</v>
      </c>
      <c r="C1541" s="125">
        <v>235</v>
      </c>
      <c r="D1541" s="139" t="s">
        <v>5340</v>
      </c>
      <c r="E1541" s="125" t="s">
        <v>5341</v>
      </c>
      <c r="F1541" s="140" t="s">
        <v>5342</v>
      </c>
      <c r="G1541" s="125" t="s">
        <v>5297</v>
      </c>
      <c r="H1541" s="125" t="s">
        <v>3244</v>
      </c>
      <c r="I1541" s="125" t="s">
        <v>5366</v>
      </c>
    </row>
    <row r="1542" spans="1:9" x14ac:dyDescent="0.25">
      <c r="A1542" s="125" t="s">
        <v>1841</v>
      </c>
      <c r="B1542" s="125" t="s">
        <v>5914</v>
      </c>
      <c r="C1542" s="125">
        <v>247</v>
      </c>
      <c r="D1542" s="125"/>
      <c r="E1542" s="125" t="s">
        <v>5341</v>
      </c>
      <c r="F1542" s="140" t="s">
        <v>5342</v>
      </c>
      <c r="G1542" s="125" t="s">
        <v>5297</v>
      </c>
      <c r="H1542" s="125" t="s">
        <v>1124</v>
      </c>
      <c r="I1542" s="125" t="s">
        <v>5366</v>
      </c>
    </row>
    <row r="1543" spans="1:9" x14ac:dyDescent="0.25">
      <c r="A1543" s="125" t="s">
        <v>2233</v>
      </c>
      <c r="B1543" s="125" t="s">
        <v>5339</v>
      </c>
      <c r="C1543" s="125">
        <v>235</v>
      </c>
      <c r="D1543" s="139" t="s">
        <v>5340</v>
      </c>
      <c r="E1543" s="125" t="s">
        <v>5341</v>
      </c>
      <c r="F1543" s="140" t="s">
        <v>5342</v>
      </c>
      <c r="G1543" s="125" t="s">
        <v>5297</v>
      </c>
      <c r="H1543" s="125" t="s">
        <v>1060</v>
      </c>
      <c r="I1543" s="125" t="s">
        <v>5366</v>
      </c>
    </row>
    <row r="1544" spans="1:9" x14ac:dyDescent="0.25">
      <c r="A1544" s="125" t="s">
        <v>3273</v>
      </c>
      <c r="B1544" s="125" t="s">
        <v>5339</v>
      </c>
      <c r="C1544" s="125">
        <v>235</v>
      </c>
      <c r="D1544" s="139" t="s">
        <v>5340</v>
      </c>
      <c r="E1544" s="125" t="s">
        <v>5341</v>
      </c>
      <c r="F1544" s="140" t="s">
        <v>5342</v>
      </c>
      <c r="G1544" s="125" t="s">
        <v>5297</v>
      </c>
      <c r="H1544" s="125" t="s">
        <v>3244</v>
      </c>
      <c r="I1544" s="125" t="s">
        <v>5366</v>
      </c>
    </row>
    <row r="1545" spans="1:9" x14ac:dyDescent="0.25">
      <c r="A1545" s="125" t="s">
        <v>5915</v>
      </c>
      <c r="B1545" s="125" t="s">
        <v>5339</v>
      </c>
      <c r="C1545" s="125">
        <v>235</v>
      </c>
      <c r="D1545" s="139" t="s">
        <v>5340</v>
      </c>
      <c r="E1545" s="125" t="s">
        <v>5341</v>
      </c>
      <c r="F1545" s="140" t="s">
        <v>5342</v>
      </c>
      <c r="G1545" s="125" t="s">
        <v>5297</v>
      </c>
      <c r="H1545" s="125" t="s">
        <v>5913</v>
      </c>
      <c r="I1545" s="125" t="s">
        <v>5366</v>
      </c>
    </row>
    <row r="1546" spans="1:9" x14ac:dyDescent="0.25">
      <c r="A1546" s="125" t="s">
        <v>2220</v>
      </c>
      <c r="B1546" s="125" t="s">
        <v>5339</v>
      </c>
      <c r="C1546" s="125">
        <v>235</v>
      </c>
      <c r="D1546" s="139" t="s">
        <v>5340</v>
      </c>
      <c r="E1546" s="125" t="s">
        <v>5341</v>
      </c>
      <c r="F1546" s="140" t="s">
        <v>5342</v>
      </c>
      <c r="G1546" s="125" t="s">
        <v>5297</v>
      </c>
      <c r="H1546" s="125" t="s">
        <v>5913</v>
      </c>
      <c r="I1546" s="125" t="s">
        <v>5366</v>
      </c>
    </row>
    <row r="1547" spans="1:9" x14ac:dyDescent="0.25">
      <c r="A1547" s="125" t="s">
        <v>2738</v>
      </c>
      <c r="B1547" s="125" t="s">
        <v>5339</v>
      </c>
      <c r="C1547" s="125">
        <v>235</v>
      </c>
      <c r="D1547" s="139" t="s">
        <v>5340</v>
      </c>
      <c r="E1547" s="125" t="s">
        <v>5341</v>
      </c>
      <c r="F1547" s="140" t="s">
        <v>5342</v>
      </c>
      <c r="G1547" s="125" t="s">
        <v>5297</v>
      </c>
      <c r="H1547" s="125" t="s">
        <v>5913</v>
      </c>
      <c r="I1547" s="125" t="s">
        <v>5366</v>
      </c>
    </row>
    <row r="1548" spans="1:9" x14ac:dyDescent="0.25">
      <c r="A1548" s="125" t="s">
        <v>1466</v>
      </c>
      <c r="B1548" s="125" t="s">
        <v>5339</v>
      </c>
      <c r="C1548" s="125">
        <v>235</v>
      </c>
      <c r="D1548" s="139" t="s">
        <v>5340</v>
      </c>
      <c r="E1548" s="125" t="s">
        <v>5341</v>
      </c>
      <c r="F1548" s="140" t="s">
        <v>5342</v>
      </c>
      <c r="G1548" s="125" t="s">
        <v>5297</v>
      </c>
      <c r="H1548" s="125" t="s">
        <v>5916</v>
      </c>
      <c r="I1548" s="125" t="s">
        <v>5366</v>
      </c>
    </row>
    <row r="1549" spans="1:9" x14ac:dyDescent="0.25">
      <c r="A1549" s="125" t="s">
        <v>1341</v>
      </c>
      <c r="B1549" s="125" t="s">
        <v>5339</v>
      </c>
      <c r="C1549" s="125">
        <v>235</v>
      </c>
      <c r="D1549" s="139" t="s">
        <v>5340</v>
      </c>
      <c r="E1549" s="125" t="s">
        <v>5341</v>
      </c>
      <c r="F1549" s="140" t="s">
        <v>5342</v>
      </c>
      <c r="G1549" s="125" t="s">
        <v>5297</v>
      </c>
      <c r="H1549" s="125" t="s">
        <v>1190</v>
      </c>
      <c r="I1549" s="125" t="s">
        <v>5366</v>
      </c>
    </row>
    <row r="1550" spans="1:9" x14ac:dyDescent="0.25">
      <c r="A1550" s="125" t="s">
        <v>5917</v>
      </c>
      <c r="B1550" s="125" t="s">
        <v>5339</v>
      </c>
      <c r="C1550" s="125">
        <v>235</v>
      </c>
      <c r="D1550" s="139" t="s">
        <v>5340</v>
      </c>
      <c r="E1550" s="125" t="s">
        <v>5341</v>
      </c>
      <c r="F1550" s="140" t="s">
        <v>5342</v>
      </c>
      <c r="G1550" s="125" t="s">
        <v>5297</v>
      </c>
      <c r="H1550" s="125" t="s">
        <v>3244</v>
      </c>
      <c r="I1550" s="125" t="s">
        <v>5366</v>
      </c>
    </row>
    <row r="1551" spans="1:9" x14ac:dyDescent="0.25">
      <c r="A1551" s="125" t="s">
        <v>1843</v>
      </c>
      <c r="B1551" s="125" t="s">
        <v>5339</v>
      </c>
      <c r="C1551" s="125">
        <v>235</v>
      </c>
      <c r="D1551" s="139" t="s">
        <v>5340</v>
      </c>
      <c r="E1551" s="125" t="s">
        <v>5341</v>
      </c>
      <c r="F1551" s="140" t="s">
        <v>5342</v>
      </c>
      <c r="G1551" s="125" t="s">
        <v>5297</v>
      </c>
      <c r="H1551" s="125" t="s">
        <v>1060</v>
      </c>
      <c r="I1551" s="125" t="s">
        <v>5366</v>
      </c>
    </row>
    <row r="1552" spans="1:9" x14ac:dyDescent="0.25">
      <c r="A1552" s="125" t="s">
        <v>3356</v>
      </c>
      <c r="B1552" s="125" t="s">
        <v>5339</v>
      </c>
      <c r="C1552" s="125">
        <v>235</v>
      </c>
      <c r="D1552" s="139" t="s">
        <v>5340</v>
      </c>
      <c r="E1552" s="125" t="s">
        <v>5341</v>
      </c>
      <c r="F1552" s="140" t="s">
        <v>5342</v>
      </c>
      <c r="G1552" s="125" t="s">
        <v>5297</v>
      </c>
      <c r="H1552" s="125" t="s">
        <v>1060</v>
      </c>
      <c r="I1552" s="125" t="s">
        <v>5366</v>
      </c>
    </row>
    <row r="1553" spans="1:9" x14ac:dyDescent="0.25">
      <c r="A1553" s="125" t="s">
        <v>1540</v>
      </c>
      <c r="B1553" s="125" t="s">
        <v>5339</v>
      </c>
      <c r="C1553" s="125">
        <v>235</v>
      </c>
      <c r="D1553" s="139" t="s">
        <v>5340</v>
      </c>
      <c r="E1553" s="125" t="s">
        <v>5341</v>
      </c>
      <c r="F1553" s="140" t="s">
        <v>5342</v>
      </c>
      <c r="G1553" s="125" t="s">
        <v>5297</v>
      </c>
      <c r="H1553" s="125" t="s">
        <v>5913</v>
      </c>
      <c r="I1553" s="125" t="s">
        <v>5366</v>
      </c>
    </row>
    <row r="1554" spans="1:9" x14ac:dyDescent="0.25">
      <c r="A1554" s="125" t="s">
        <v>2137</v>
      </c>
      <c r="B1554" s="125" t="s">
        <v>5339</v>
      </c>
      <c r="C1554" s="125">
        <v>235</v>
      </c>
      <c r="D1554" s="139" t="s">
        <v>5340</v>
      </c>
      <c r="E1554" s="125" t="s">
        <v>5341</v>
      </c>
      <c r="F1554" s="140" t="s">
        <v>5342</v>
      </c>
      <c r="G1554" s="125" t="s">
        <v>5297</v>
      </c>
      <c r="H1554" s="125" t="s">
        <v>5916</v>
      </c>
      <c r="I1554" s="125" t="s">
        <v>5366</v>
      </c>
    </row>
    <row r="1555" spans="1:9" x14ac:dyDescent="0.25">
      <c r="A1555" s="125" t="s">
        <v>3307</v>
      </c>
      <c r="B1555" s="125" t="s">
        <v>5339</v>
      </c>
      <c r="C1555" s="125">
        <v>235</v>
      </c>
      <c r="D1555" s="139" t="s">
        <v>5340</v>
      </c>
      <c r="E1555" s="125" t="s">
        <v>5341</v>
      </c>
      <c r="F1555" s="140" t="s">
        <v>5342</v>
      </c>
      <c r="G1555" s="125" t="s">
        <v>5297</v>
      </c>
      <c r="H1555" s="125" t="s">
        <v>3244</v>
      </c>
      <c r="I1555" s="125" t="s">
        <v>5366</v>
      </c>
    </row>
    <row r="1556" spans="1:9" x14ac:dyDescent="0.25">
      <c r="A1556" s="125" t="s">
        <v>2713</v>
      </c>
      <c r="B1556" s="125" t="s">
        <v>5339</v>
      </c>
      <c r="C1556" s="125">
        <v>235</v>
      </c>
      <c r="D1556" s="139" t="s">
        <v>5340</v>
      </c>
      <c r="E1556" s="125" t="s">
        <v>5341</v>
      </c>
      <c r="F1556" s="140" t="s">
        <v>5342</v>
      </c>
      <c r="G1556" s="125" t="s">
        <v>5297</v>
      </c>
      <c r="H1556" s="125" t="s">
        <v>1310</v>
      </c>
      <c r="I1556" s="125" t="s">
        <v>5366</v>
      </c>
    </row>
    <row r="1557" spans="1:9" x14ac:dyDescent="0.25">
      <c r="A1557" s="125" t="s">
        <v>3047</v>
      </c>
      <c r="B1557" s="125" t="s">
        <v>5339</v>
      </c>
      <c r="C1557" s="125">
        <v>235</v>
      </c>
      <c r="D1557" s="139" t="s">
        <v>5340</v>
      </c>
      <c r="E1557" s="125" t="s">
        <v>5341</v>
      </c>
      <c r="F1557" s="140" t="s">
        <v>5342</v>
      </c>
      <c r="G1557" s="125" t="s">
        <v>5297</v>
      </c>
      <c r="H1557" s="125" t="s">
        <v>1124</v>
      </c>
      <c r="I1557" s="125" t="s">
        <v>5366</v>
      </c>
    </row>
    <row r="1558" spans="1:9" x14ac:dyDescent="0.25">
      <c r="A1558" s="125" t="s">
        <v>3238</v>
      </c>
      <c r="B1558" s="125" t="s">
        <v>5339</v>
      </c>
      <c r="C1558" s="125">
        <v>235</v>
      </c>
      <c r="D1558" s="139" t="s">
        <v>5340</v>
      </c>
      <c r="E1558" s="125" t="s">
        <v>5341</v>
      </c>
      <c r="F1558" s="140" t="s">
        <v>5342</v>
      </c>
      <c r="G1558" s="125" t="s">
        <v>5297</v>
      </c>
      <c r="H1558" s="125" t="s">
        <v>3244</v>
      </c>
      <c r="I1558" s="125" t="s">
        <v>5366</v>
      </c>
    </row>
    <row r="1559" spans="1:9" x14ac:dyDescent="0.25">
      <c r="A1559" s="125" t="s">
        <v>5918</v>
      </c>
      <c r="B1559" s="125" t="s">
        <v>5339</v>
      </c>
      <c r="C1559" s="125">
        <v>235</v>
      </c>
      <c r="D1559" s="139" t="s">
        <v>5340</v>
      </c>
      <c r="E1559" s="125" t="s">
        <v>5341</v>
      </c>
      <c r="F1559" s="140" t="s">
        <v>5342</v>
      </c>
      <c r="G1559" s="125" t="s">
        <v>5297</v>
      </c>
      <c r="H1559" s="125" t="s">
        <v>3244</v>
      </c>
      <c r="I1559" s="125" t="s">
        <v>5366</v>
      </c>
    </row>
    <row r="1560" spans="1:9" x14ac:dyDescent="0.25">
      <c r="A1560" s="125" t="s">
        <v>5919</v>
      </c>
      <c r="B1560" s="125" t="s">
        <v>5339</v>
      </c>
      <c r="C1560" s="125">
        <v>235</v>
      </c>
      <c r="D1560" s="139" t="s">
        <v>5340</v>
      </c>
      <c r="E1560" s="125" t="s">
        <v>5341</v>
      </c>
      <c r="F1560" s="140" t="s">
        <v>5342</v>
      </c>
      <c r="G1560" s="125" t="s">
        <v>5297</v>
      </c>
      <c r="H1560" s="125" t="s">
        <v>3244</v>
      </c>
      <c r="I1560" s="125" t="s">
        <v>5366</v>
      </c>
    </row>
    <row r="1561" spans="1:9" x14ac:dyDescent="0.25">
      <c r="A1561" s="125" t="s">
        <v>5920</v>
      </c>
      <c r="B1561" s="125" t="s">
        <v>5339</v>
      </c>
      <c r="C1561" s="125">
        <v>235</v>
      </c>
      <c r="D1561" s="139" t="s">
        <v>5340</v>
      </c>
      <c r="E1561" s="125" t="s">
        <v>5341</v>
      </c>
      <c r="F1561" s="140" t="s">
        <v>5342</v>
      </c>
      <c r="G1561" s="125" t="s">
        <v>5297</v>
      </c>
      <c r="H1561" s="125" t="s">
        <v>371</v>
      </c>
      <c r="I1561" s="125" t="s">
        <v>371</v>
      </c>
    </row>
    <row r="1562" spans="1:9" x14ac:dyDescent="0.25">
      <c r="A1562" s="125" t="s">
        <v>5921</v>
      </c>
      <c r="B1562" s="125" t="s">
        <v>5339</v>
      </c>
      <c r="C1562" s="125">
        <v>235</v>
      </c>
      <c r="D1562" s="139" t="s">
        <v>5340</v>
      </c>
      <c r="E1562" s="125" t="s">
        <v>5341</v>
      </c>
      <c r="F1562" s="140" t="s">
        <v>5342</v>
      </c>
      <c r="G1562" s="125" t="s">
        <v>5297</v>
      </c>
      <c r="H1562" s="125" t="s">
        <v>3244</v>
      </c>
      <c r="I1562" s="125" t="s">
        <v>5366</v>
      </c>
    </row>
    <row r="1563" spans="1:9" x14ac:dyDescent="0.25">
      <c r="A1563" s="125" t="s">
        <v>3276</v>
      </c>
      <c r="B1563" s="125" t="s">
        <v>5339</v>
      </c>
      <c r="C1563" s="125">
        <v>235</v>
      </c>
      <c r="D1563" s="139" t="s">
        <v>5340</v>
      </c>
      <c r="E1563" s="125" t="s">
        <v>5341</v>
      </c>
      <c r="F1563" s="140" t="s">
        <v>5342</v>
      </c>
      <c r="G1563" s="125" t="s">
        <v>5297</v>
      </c>
      <c r="H1563" s="125" t="s">
        <v>1060</v>
      </c>
      <c r="I1563" s="125" t="s">
        <v>5366</v>
      </c>
    </row>
    <row r="1564" spans="1:9" x14ac:dyDescent="0.25">
      <c r="A1564" s="125" t="s">
        <v>2006</v>
      </c>
      <c r="B1564" s="125" t="s">
        <v>5339</v>
      </c>
      <c r="C1564" s="125">
        <v>235</v>
      </c>
      <c r="D1564" s="139" t="s">
        <v>5340</v>
      </c>
      <c r="E1564" s="125" t="s">
        <v>5341</v>
      </c>
      <c r="F1564" s="140" t="s">
        <v>5342</v>
      </c>
      <c r="G1564" s="125" t="s">
        <v>5297</v>
      </c>
      <c r="H1564" s="125" t="s">
        <v>1060</v>
      </c>
      <c r="I1564" s="125" t="s">
        <v>5366</v>
      </c>
    </row>
    <row r="1565" spans="1:9" x14ac:dyDescent="0.25">
      <c r="A1565" s="125" t="s">
        <v>5922</v>
      </c>
      <c r="B1565" s="125" t="s">
        <v>5339</v>
      </c>
      <c r="C1565" s="125">
        <v>235</v>
      </c>
      <c r="D1565" s="139" t="s">
        <v>5340</v>
      </c>
      <c r="E1565" s="125" t="s">
        <v>5341</v>
      </c>
      <c r="F1565" s="140" t="s">
        <v>5342</v>
      </c>
      <c r="G1565" s="125" t="s">
        <v>5297</v>
      </c>
      <c r="H1565" s="125" t="s">
        <v>371</v>
      </c>
      <c r="I1565" s="125" t="s">
        <v>371</v>
      </c>
    </row>
    <row r="1566" spans="1:9" x14ac:dyDescent="0.25">
      <c r="A1566" s="125" t="s">
        <v>2201</v>
      </c>
      <c r="B1566" s="125" t="s">
        <v>5376</v>
      </c>
      <c r="C1566" s="125">
        <v>223</v>
      </c>
      <c r="D1566" s="125" t="s">
        <v>5377</v>
      </c>
      <c r="E1566" s="125" t="s">
        <v>5364</v>
      </c>
      <c r="F1566" s="125" t="s">
        <v>5365</v>
      </c>
      <c r="G1566" s="125" t="s">
        <v>5297</v>
      </c>
      <c r="H1566" s="125" t="s">
        <v>5923</v>
      </c>
      <c r="I1566" s="125" t="s">
        <v>2263</v>
      </c>
    </row>
    <row r="1567" spans="1:9" x14ac:dyDescent="0.25">
      <c r="A1567" s="125" t="s">
        <v>2916</v>
      </c>
      <c r="B1567" s="125" t="s">
        <v>5376</v>
      </c>
      <c r="C1567" s="125">
        <v>223</v>
      </c>
      <c r="D1567" s="125" t="s">
        <v>5377</v>
      </c>
      <c r="E1567" s="125" t="s">
        <v>5364</v>
      </c>
      <c r="F1567" s="125" t="s">
        <v>5365</v>
      </c>
      <c r="G1567" s="125" t="s">
        <v>5297</v>
      </c>
      <c r="H1567" s="125" t="s">
        <v>5924</v>
      </c>
      <c r="I1567" s="125" t="s">
        <v>2263</v>
      </c>
    </row>
    <row r="1568" spans="1:9" x14ac:dyDescent="0.25">
      <c r="A1568" s="125" t="s">
        <v>2093</v>
      </c>
      <c r="B1568" s="125" t="s">
        <v>5376</v>
      </c>
      <c r="C1568" s="125">
        <v>223</v>
      </c>
      <c r="D1568" s="125" t="s">
        <v>5377</v>
      </c>
      <c r="E1568" s="125" t="s">
        <v>5364</v>
      </c>
      <c r="F1568" s="125" t="s">
        <v>5365</v>
      </c>
      <c r="G1568" s="125" t="s">
        <v>5297</v>
      </c>
      <c r="H1568" s="125" t="s">
        <v>5924</v>
      </c>
      <c r="I1568" s="125" t="s">
        <v>2263</v>
      </c>
    </row>
    <row r="1569" spans="1:9" x14ac:dyDescent="0.25">
      <c r="A1569" s="125" t="s">
        <v>1595</v>
      </c>
      <c r="B1569" s="125" t="s">
        <v>5376</v>
      </c>
      <c r="C1569" s="125">
        <v>223</v>
      </c>
      <c r="D1569" s="125" t="s">
        <v>5377</v>
      </c>
      <c r="E1569" s="125" t="s">
        <v>5364</v>
      </c>
      <c r="F1569" s="125" t="s">
        <v>5365</v>
      </c>
      <c r="G1569" s="125" t="s">
        <v>5297</v>
      </c>
      <c r="H1569" s="125" t="s">
        <v>5924</v>
      </c>
      <c r="I1569" s="125" t="s">
        <v>2263</v>
      </c>
    </row>
    <row r="1570" spans="1:9" x14ac:dyDescent="0.25">
      <c r="A1570" s="125" t="s">
        <v>1620</v>
      </c>
      <c r="B1570" s="125" t="s">
        <v>5376</v>
      </c>
      <c r="C1570" s="125">
        <v>223</v>
      </c>
      <c r="D1570" s="125" t="s">
        <v>5377</v>
      </c>
      <c r="E1570" s="125" t="s">
        <v>5364</v>
      </c>
      <c r="F1570" s="125" t="s">
        <v>5365</v>
      </c>
      <c r="G1570" s="125" t="s">
        <v>5297</v>
      </c>
      <c r="H1570" s="125" t="s">
        <v>5924</v>
      </c>
      <c r="I1570" s="125" t="s">
        <v>2263</v>
      </c>
    </row>
    <row r="1571" spans="1:9" x14ac:dyDescent="0.25">
      <c r="A1571" s="125" t="s">
        <v>1987</v>
      </c>
      <c r="B1571" s="125" t="s">
        <v>5376</v>
      </c>
      <c r="C1571" s="125">
        <v>223</v>
      </c>
      <c r="D1571" s="125" t="s">
        <v>5377</v>
      </c>
      <c r="E1571" s="125" t="s">
        <v>5364</v>
      </c>
      <c r="F1571" s="125" t="s">
        <v>5365</v>
      </c>
      <c r="G1571" s="125" t="s">
        <v>5297</v>
      </c>
      <c r="H1571" s="125" t="s">
        <v>1421</v>
      </c>
      <c r="I1571" s="125" t="s">
        <v>2263</v>
      </c>
    </row>
    <row r="1572" spans="1:9" x14ac:dyDescent="0.25">
      <c r="A1572" s="125" t="s">
        <v>1422</v>
      </c>
      <c r="B1572" s="125" t="s">
        <v>5376</v>
      </c>
      <c r="C1572" s="125">
        <v>223</v>
      </c>
      <c r="D1572" s="125" t="s">
        <v>5377</v>
      </c>
      <c r="E1572" s="125" t="s">
        <v>5364</v>
      </c>
      <c r="F1572" s="125" t="s">
        <v>5365</v>
      </c>
      <c r="G1572" s="125" t="s">
        <v>5297</v>
      </c>
      <c r="H1572" s="125" t="s">
        <v>1421</v>
      </c>
      <c r="I1572" s="125" t="s">
        <v>2263</v>
      </c>
    </row>
    <row r="1573" spans="1:9" x14ac:dyDescent="0.25">
      <c r="A1573" s="125" t="s">
        <v>1724</v>
      </c>
      <c r="B1573" s="125" t="s">
        <v>5376</v>
      </c>
      <c r="C1573" s="125">
        <v>223</v>
      </c>
      <c r="D1573" s="125" t="s">
        <v>5377</v>
      </c>
      <c r="E1573" s="125" t="s">
        <v>5364</v>
      </c>
      <c r="F1573" s="125" t="s">
        <v>5365</v>
      </c>
      <c r="G1573" s="125" t="s">
        <v>5297</v>
      </c>
      <c r="H1573" s="125" t="s">
        <v>1421</v>
      </c>
      <c r="I1573" s="125" t="s">
        <v>2263</v>
      </c>
    </row>
    <row r="1574" spans="1:9" x14ac:dyDescent="0.25">
      <c r="A1574" s="125" t="s">
        <v>1171</v>
      </c>
      <c r="B1574" s="125" t="s">
        <v>5376</v>
      </c>
      <c r="C1574" s="125">
        <v>223</v>
      </c>
      <c r="D1574" s="125" t="s">
        <v>5377</v>
      </c>
      <c r="E1574" s="125" t="s">
        <v>5364</v>
      </c>
      <c r="F1574" s="125" t="s">
        <v>5365</v>
      </c>
      <c r="G1574" s="125" t="s">
        <v>5297</v>
      </c>
      <c r="H1574" s="125" t="s">
        <v>371</v>
      </c>
      <c r="I1574" s="125" t="s">
        <v>371</v>
      </c>
    </row>
    <row r="1575" spans="1:9" x14ac:dyDescent="0.25">
      <c r="A1575" s="125" t="s">
        <v>2858</v>
      </c>
      <c r="B1575" s="125" t="s">
        <v>5376</v>
      </c>
      <c r="C1575" s="125">
        <v>223</v>
      </c>
      <c r="D1575" s="125" t="s">
        <v>5377</v>
      </c>
      <c r="E1575" s="125" t="s">
        <v>5364</v>
      </c>
      <c r="F1575" s="125" t="s">
        <v>5365</v>
      </c>
      <c r="G1575" s="125" t="s">
        <v>5297</v>
      </c>
      <c r="H1575" s="125" t="s">
        <v>5925</v>
      </c>
      <c r="I1575" s="125" t="s">
        <v>2263</v>
      </c>
    </row>
    <row r="1576" spans="1:9" x14ac:dyDescent="0.25">
      <c r="A1576" s="125" t="s">
        <v>1725</v>
      </c>
      <c r="B1576" s="125" t="s">
        <v>5376</v>
      </c>
      <c r="C1576" s="125">
        <v>223</v>
      </c>
      <c r="D1576" s="125" t="s">
        <v>5377</v>
      </c>
      <c r="E1576" s="125" t="s">
        <v>5364</v>
      </c>
      <c r="F1576" s="125" t="s">
        <v>5365</v>
      </c>
      <c r="G1576" s="125" t="s">
        <v>5297</v>
      </c>
      <c r="H1576" s="125" t="s">
        <v>5925</v>
      </c>
      <c r="I1576" s="125" t="s">
        <v>2263</v>
      </c>
    </row>
    <row r="1577" spans="1:9" x14ac:dyDescent="0.25">
      <c r="A1577" s="125" t="s">
        <v>1077</v>
      </c>
      <c r="B1577" s="125" t="s">
        <v>5376</v>
      </c>
      <c r="C1577" s="125">
        <v>223</v>
      </c>
      <c r="D1577" s="125" t="s">
        <v>5377</v>
      </c>
      <c r="E1577" s="125" t="s">
        <v>5364</v>
      </c>
      <c r="F1577" s="125" t="s">
        <v>5365</v>
      </c>
      <c r="G1577" s="125" t="s">
        <v>5297</v>
      </c>
      <c r="H1577" s="125" t="s">
        <v>5923</v>
      </c>
      <c r="I1577" s="125" t="s">
        <v>2263</v>
      </c>
    </row>
    <row r="1578" spans="1:9" x14ac:dyDescent="0.25">
      <c r="A1578" s="125" t="s">
        <v>1723</v>
      </c>
      <c r="B1578" s="125" t="s">
        <v>5376</v>
      </c>
      <c r="C1578" s="125">
        <v>223</v>
      </c>
      <c r="D1578" s="125" t="s">
        <v>5377</v>
      </c>
      <c r="E1578" s="125" t="s">
        <v>5364</v>
      </c>
      <c r="F1578" s="125" t="s">
        <v>5365</v>
      </c>
      <c r="G1578" s="125" t="s">
        <v>5297</v>
      </c>
      <c r="H1578" s="125" t="s">
        <v>5925</v>
      </c>
      <c r="I1578" s="125" t="s">
        <v>2263</v>
      </c>
    </row>
    <row r="1579" spans="1:9" x14ac:dyDescent="0.25">
      <c r="A1579" s="125" t="s">
        <v>1412</v>
      </c>
      <c r="B1579" s="125" t="s">
        <v>5376</v>
      </c>
      <c r="C1579" s="125">
        <v>223</v>
      </c>
      <c r="D1579" s="125" t="s">
        <v>5377</v>
      </c>
      <c r="E1579" s="125" t="s">
        <v>5364</v>
      </c>
      <c r="F1579" s="125" t="s">
        <v>5365</v>
      </c>
      <c r="G1579" s="125" t="s">
        <v>5297</v>
      </c>
      <c r="H1579" s="125" t="s">
        <v>5923</v>
      </c>
      <c r="I1579" s="125" t="s">
        <v>2263</v>
      </c>
    </row>
    <row r="1580" spans="1:9" x14ac:dyDescent="0.25">
      <c r="A1580" s="125" t="s">
        <v>1603</v>
      </c>
      <c r="B1580" s="125" t="s">
        <v>5376</v>
      </c>
      <c r="C1580" s="125">
        <v>223</v>
      </c>
      <c r="D1580" s="125" t="s">
        <v>5377</v>
      </c>
      <c r="E1580" s="125" t="s">
        <v>5364</v>
      </c>
      <c r="F1580" s="125" t="s">
        <v>5365</v>
      </c>
      <c r="G1580" s="125" t="s">
        <v>5297</v>
      </c>
      <c r="H1580" s="125" t="s">
        <v>5923</v>
      </c>
      <c r="I1580" s="125" t="s">
        <v>2263</v>
      </c>
    </row>
    <row r="1581" spans="1:9" x14ac:dyDescent="0.25">
      <c r="A1581" s="125" t="s">
        <v>2772</v>
      </c>
      <c r="B1581" s="125" t="s">
        <v>5376</v>
      </c>
      <c r="C1581" s="125">
        <v>223</v>
      </c>
      <c r="D1581" s="125" t="s">
        <v>5377</v>
      </c>
      <c r="E1581" s="125" t="s">
        <v>5364</v>
      </c>
      <c r="F1581" s="125" t="s">
        <v>5365</v>
      </c>
      <c r="G1581" s="125" t="s">
        <v>5297</v>
      </c>
      <c r="H1581" s="125" t="s">
        <v>5923</v>
      </c>
      <c r="I1581" s="125" t="s">
        <v>2263</v>
      </c>
    </row>
    <row r="1582" spans="1:9" x14ac:dyDescent="0.25">
      <c r="A1582" s="125" t="s">
        <v>3433</v>
      </c>
      <c r="B1582" s="125" t="s">
        <v>5376</v>
      </c>
      <c r="C1582" s="125">
        <v>223</v>
      </c>
      <c r="D1582" s="125" t="s">
        <v>5377</v>
      </c>
      <c r="E1582" s="125" t="s">
        <v>5364</v>
      </c>
      <c r="F1582" s="125" t="s">
        <v>5365</v>
      </c>
      <c r="G1582" s="125" t="s">
        <v>5297</v>
      </c>
      <c r="H1582" s="125" t="s">
        <v>5925</v>
      </c>
      <c r="I1582" s="125" t="s">
        <v>2263</v>
      </c>
    </row>
    <row r="1583" spans="1:9" x14ac:dyDescent="0.25">
      <c r="A1583" s="125" t="s">
        <v>2667</v>
      </c>
      <c r="B1583" s="125" t="s">
        <v>5376</v>
      </c>
      <c r="C1583" s="125">
        <v>223</v>
      </c>
      <c r="D1583" s="125" t="s">
        <v>5377</v>
      </c>
      <c r="E1583" s="125" t="s">
        <v>5364</v>
      </c>
      <c r="F1583" s="125" t="s">
        <v>5365</v>
      </c>
      <c r="G1583" s="125" t="s">
        <v>5297</v>
      </c>
      <c r="H1583" s="125" t="s">
        <v>5923</v>
      </c>
      <c r="I1583" s="125" t="s">
        <v>2263</v>
      </c>
    </row>
    <row r="1584" spans="1:9" x14ac:dyDescent="0.25">
      <c r="A1584" s="125" t="s">
        <v>1670</v>
      </c>
      <c r="B1584" s="125" t="s">
        <v>5376</v>
      </c>
      <c r="C1584" s="125">
        <v>223</v>
      </c>
      <c r="D1584" s="125" t="s">
        <v>5377</v>
      </c>
      <c r="E1584" s="125" t="s">
        <v>5364</v>
      </c>
      <c r="F1584" s="125" t="s">
        <v>5365</v>
      </c>
      <c r="G1584" s="125" t="s">
        <v>5297</v>
      </c>
      <c r="H1584" s="125" t="s">
        <v>5923</v>
      </c>
      <c r="I1584" s="125" t="s">
        <v>2263</v>
      </c>
    </row>
    <row r="1585" spans="1:9" x14ac:dyDescent="0.25">
      <c r="A1585" s="125" t="s">
        <v>1097</v>
      </c>
      <c r="B1585" s="125" t="s">
        <v>5376</v>
      </c>
      <c r="C1585" s="125">
        <v>223</v>
      </c>
      <c r="D1585" s="125" t="s">
        <v>5377</v>
      </c>
      <c r="E1585" s="125" t="s">
        <v>5364</v>
      </c>
      <c r="F1585" s="125" t="s">
        <v>5365</v>
      </c>
      <c r="G1585" s="125" t="s">
        <v>5297</v>
      </c>
      <c r="H1585" s="125" t="s">
        <v>5924</v>
      </c>
      <c r="I1585" s="125" t="s">
        <v>2263</v>
      </c>
    </row>
    <row r="1586" spans="1:9" x14ac:dyDescent="0.25">
      <c r="A1586" s="125" t="s">
        <v>1876</v>
      </c>
      <c r="B1586" s="125" t="s">
        <v>5293</v>
      </c>
      <c r="C1586" s="125">
        <v>228</v>
      </c>
      <c r="D1586" s="125" t="s">
        <v>5294</v>
      </c>
      <c r="E1586" s="125" t="s">
        <v>5295</v>
      </c>
      <c r="F1586" s="125" t="s">
        <v>5296</v>
      </c>
      <c r="G1586" s="125" t="s">
        <v>5297</v>
      </c>
      <c r="H1586" s="125" t="s">
        <v>1293</v>
      </c>
      <c r="I1586" s="125" t="s">
        <v>5718</v>
      </c>
    </row>
    <row r="1587" spans="1:9" x14ac:dyDescent="0.25">
      <c r="A1587" s="125" t="s">
        <v>5926</v>
      </c>
      <c r="B1587" s="125" t="s">
        <v>5293</v>
      </c>
      <c r="C1587" s="125">
        <v>228</v>
      </c>
      <c r="D1587" s="125" t="s">
        <v>5294</v>
      </c>
      <c r="E1587" s="125" t="s">
        <v>5295</v>
      </c>
      <c r="F1587" s="125" t="s">
        <v>5296</v>
      </c>
      <c r="G1587" s="125" t="s">
        <v>5297</v>
      </c>
      <c r="H1587" s="125" t="s">
        <v>1293</v>
      </c>
      <c r="I1587" s="125" t="s">
        <v>5718</v>
      </c>
    </row>
    <row r="1588" spans="1:9" x14ac:dyDescent="0.25">
      <c r="A1588" s="125" t="s">
        <v>1929</v>
      </c>
      <c r="B1588" s="125" t="s">
        <v>5293</v>
      </c>
      <c r="C1588" s="125">
        <v>228</v>
      </c>
      <c r="D1588" s="125" t="s">
        <v>5294</v>
      </c>
      <c r="E1588" s="125" t="s">
        <v>5295</v>
      </c>
      <c r="F1588" s="125" t="s">
        <v>5296</v>
      </c>
      <c r="G1588" s="125" t="s">
        <v>5297</v>
      </c>
      <c r="H1588" s="125" t="s">
        <v>1293</v>
      </c>
      <c r="I1588" s="125" t="s">
        <v>5718</v>
      </c>
    </row>
    <row r="1589" spans="1:9" x14ac:dyDescent="0.25">
      <c r="A1589" s="125" t="s">
        <v>2837</v>
      </c>
      <c r="B1589" s="125" t="s">
        <v>5293</v>
      </c>
      <c r="C1589" s="125">
        <v>228</v>
      </c>
      <c r="D1589" s="125" t="s">
        <v>5294</v>
      </c>
      <c r="E1589" s="125" t="s">
        <v>5295</v>
      </c>
      <c r="F1589" s="125" t="s">
        <v>5296</v>
      </c>
      <c r="G1589" s="125" t="s">
        <v>5297</v>
      </c>
      <c r="H1589" s="125" t="s">
        <v>371</v>
      </c>
      <c r="I1589" s="125" t="s">
        <v>371</v>
      </c>
    </row>
    <row r="1590" spans="1:9" x14ac:dyDescent="0.25">
      <c r="A1590" s="125" t="s">
        <v>1294</v>
      </c>
      <c r="B1590" s="125" t="s">
        <v>5293</v>
      </c>
      <c r="C1590" s="125">
        <v>228</v>
      </c>
      <c r="D1590" s="125" t="s">
        <v>5294</v>
      </c>
      <c r="E1590" s="125" t="s">
        <v>5295</v>
      </c>
      <c r="F1590" s="125" t="s">
        <v>5296</v>
      </c>
      <c r="G1590" s="125" t="s">
        <v>5297</v>
      </c>
      <c r="H1590" s="125" t="s">
        <v>1293</v>
      </c>
      <c r="I1590" s="125" t="s">
        <v>5718</v>
      </c>
    </row>
    <row r="1591" spans="1:9" x14ac:dyDescent="0.25">
      <c r="A1591" s="125" t="s">
        <v>3274</v>
      </c>
      <c r="B1591" s="125" t="s">
        <v>5293</v>
      </c>
      <c r="C1591" s="125">
        <v>228</v>
      </c>
      <c r="D1591" s="125" t="s">
        <v>5294</v>
      </c>
      <c r="E1591" s="125" t="s">
        <v>5295</v>
      </c>
      <c r="F1591" s="125" t="s">
        <v>5296</v>
      </c>
      <c r="G1591" s="125" t="s">
        <v>5297</v>
      </c>
      <c r="H1591" s="125" t="s">
        <v>1293</v>
      </c>
      <c r="I1591" s="125" t="s">
        <v>5718</v>
      </c>
    </row>
    <row r="1592" spans="1:9" x14ac:dyDescent="0.25">
      <c r="A1592" s="125" t="s">
        <v>2493</v>
      </c>
      <c r="B1592" s="125" t="s">
        <v>5293</v>
      </c>
      <c r="C1592" s="125">
        <v>228</v>
      </c>
      <c r="D1592" s="125" t="s">
        <v>5294</v>
      </c>
      <c r="E1592" s="125" t="s">
        <v>5295</v>
      </c>
      <c r="F1592" s="125" t="s">
        <v>5296</v>
      </c>
      <c r="G1592" s="125" t="s">
        <v>5297</v>
      </c>
      <c r="H1592" s="125" t="s">
        <v>1293</v>
      </c>
      <c r="I1592" s="125" t="s">
        <v>5718</v>
      </c>
    </row>
    <row r="1593" spans="1:9" x14ac:dyDescent="0.25">
      <c r="A1593" s="125" t="s">
        <v>2221</v>
      </c>
      <c r="B1593" s="125" t="s">
        <v>5293</v>
      </c>
      <c r="C1593" s="125">
        <v>228</v>
      </c>
      <c r="D1593" s="125" t="s">
        <v>5294</v>
      </c>
      <c r="E1593" s="125" t="s">
        <v>5295</v>
      </c>
      <c r="F1593" s="125" t="s">
        <v>5927</v>
      </c>
      <c r="G1593" s="125" t="s">
        <v>5297</v>
      </c>
      <c r="H1593" s="125" t="s">
        <v>1293</v>
      </c>
      <c r="I1593" s="125" t="s">
        <v>5718</v>
      </c>
    </row>
    <row r="1594" spans="1:9" x14ac:dyDescent="0.25">
      <c r="A1594" s="125" t="s">
        <v>1740</v>
      </c>
      <c r="B1594" s="125" t="s">
        <v>5293</v>
      </c>
      <c r="C1594" s="125">
        <v>228</v>
      </c>
      <c r="D1594" s="125" t="s">
        <v>5294</v>
      </c>
      <c r="E1594" s="125" t="s">
        <v>5295</v>
      </c>
      <c r="F1594" s="125" t="s">
        <v>5296</v>
      </c>
      <c r="G1594" s="125" t="s">
        <v>5297</v>
      </c>
      <c r="H1594" s="125" t="s">
        <v>5910</v>
      </c>
      <c r="I1594" s="125" t="s">
        <v>3468</v>
      </c>
    </row>
    <row r="1595" spans="1:9" x14ac:dyDescent="0.25">
      <c r="A1595" s="125" t="s">
        <v>1753</v>
      </c>
      <c r="B1595" s="125" t="s">
        <v>5293</v>
      </c>
      <c r="C1595" s="125">
        <v>228</v>
      </c>
      <c r="D1595" s="125" t="s">
        <v>5294</v>
      </c>
      <c r="E1595" s="125" t="s">
        <v>5295</v>
      </c>
      <c r="F1595" s="125" t="s">
        <v>5296</v>
      </c>
      <c r="G1595" s="125" t="s">
        <v>5297</v>
      </c>
      <c r="H1595" s="125" t="s">
        <v>5718</v>
      </c>
      <c r="I1595" s="125" t="s">
        <v>5718</v>
      </c>
    </row>
    <row r="1596" spans="1:9" x14ac:dyDescent="0.25">
      <c r="A1596" s="125" t="s">
        <v>1928</v>
      </c>
      <c r="B1596" s="125" t="s">
        <v>5716</v>
      </c>
      <c r="C1596" s="125">
        <v>229</v>
      </c>
      <c r="D1596" s="125" t="s">
        <v>5717</v>
      </c>
      <c r="E1596" s="125" t="s">
        <v>5295</v>
      </c>
      <c r="F1596" s="125" t="s">
        <v>5296</v>
      </c>
      <c r="G1596" s="125" t="s">
        <v>5297</v>
      </c>
      <c r="H1596" s="125" t="s">
        <v>5928</v>
      </c>
      <c r="I1596" s="125" t="s">
        <v>5929</v>
      </c>
    </row>
    <row r="1597" spans="1:9" x14ac:dyDescent="0.25">
      <c r="A1597" s="125" t="s">
        <v>1925</v>
      </c>
      <c r="B1597" s="125" t="s">
        <v>5293</v>
      </c>
      <c r="C1597" s="125">
        <v>228</v>
      </c>
      <c r="D1597" s="125" t="s">
        <v>5294</v>
      </c>
      <c r="E1597" s="125" t="s">
        <v>5295</v>
      </c>
      <c r="F1597" s="125" t="s">
        <v>5296</v>
      </c>
      <c r="G1597" s="125" t="s">
        <v>5297</v>
      </c>
      <c r="H1597" s="125" t="s">
        <v>1293</v>
      </c>
      <c r="I1597" s="125" t="s">
        <v>5718</v>
      </c>
    </row>
    <row r="1598" spans="1:9" x14ac:dyDescent="0.25">
      <c r="A1598" s="125" t="s">
        <v>1930</v>
      </c>
      <c r="B1598" s="125" t="s">
        <v>5293</v>
      </c>
      <c r="C1598" s="125">
        <v>228</v>
      </c>
      <c r="D1598" s="125" t="s">
        <v>5294</v>
      </c>
      <c r="E1598" s="125" t="s">
        <v>5295</v>
      </c>
      <c r="F1598" s="125" t="s">
        <v>5296</v>
      </c>
      <c r="G1598" s="125" t="s">
        <v>5297</v>
      </c>
      <c r="H1598" s="125" t="s">
        <v>1293</v>
      </c>
      <c r="I1598" s="125" t="s">
        <v>5718</v>
      </c>
    </row>
    <row r="1599" spans="1:9" x14ac:dyDescent="0.25">
      <c r="A1599" s="125" t="s">
        <v>5930</v>
      </c>
      <c r="B1599" s="125" t="s">
        <v>5293</v>
      </c>
      <c r="C1599" s="125">
        <v>228</v>
      </c>
      <c r="D1599" s="125" t="s">
        <v>5294</v>
      </c>
      <c r="E1599" s="125" t="s">
        <v>5295</v>
      </c>
      <c r="F1599" s="125" t="s">
        <v>5296</v>
      </c>
      <c r="G1599" s="125" t="s">
        <v>5297</v>
      </c>
      <c r="H1599" s="125" t="s">
        <v>1293</v>
      </c>
      <c r="I1599" s="125" t="s">
        <v>5718</v>
      </c>
    </row>
    <row r="1600" spans="1:9" x14ac:dyDescent="0.25">
      <c r="A1600" s="125" t="s">
        <v>1927</v>
      </c>
      <c r="B1600" s="125" t="s">
        <v>5293</v>
      </c>
      <c r="C1600" s="125">
        <v>228</v>
      </c>
      <c r="D1600" s="125" t="s">
        <v>5294</v>
      </c>
      <c r="E1600" s="125" t="s">
        <v>5295</v>
      </c>
      <c r="F1600" s="125" t="s">
        <v>5296</v>
      </c>
      <c r="G1600" s="125" t="s">
        <v>5297</v>
      </c>
      <c r="H1600" s="125" t="s">
        <v>1383</v>
      </c>
      <c r="I1600" s="125" t="s">
        <v>3468</v>
      </c>
    </row>
    <row r="1601" spans="1:9" x14ac:dyDescent="0.25">
      <c r="A1601" s="125" t="s">
        <v>1384</v>
      </c>
      <c r="B1601" s="125" t="s">
        <v>5293</v>
      </c>
      <c r="C1601" s="125">
        <v>228</v>
      </c>
      <c r="D1601" s="125" t="s">
        <v>5294</v>
      </c>
      <c r="E1601" s="125" t="s">
        <v>5295</v>
      </c>
      <c r="F1601" s="125" t="s">
        <v>5296</v>
      </c>
      <c r="G1601" s="125" t="s">
        <v>5297</v>
      </c>
      <c r="H1601" s="125" t="s">
        <v>1383</v>
      </c>
      <c r="I1601" s="125" t="s">
        <v>3468</v>
      </c>
    </row>
    <row r="1602" spans="1:9" x14ac:dyDescent="0.25">
      <c r="A1602" s="125" t="s">
        <v>1759</v>
      </c>
      <c r="B1602" s="125" t="s">
        <v>5293</v>
      </c>
      <c r="C1602" s="125">
        <v>228</v>
      </c>
      <c r="D1602" s="125" t="s">
        <v>5294</v>
      </c>
      <c r="E1602" s="125" t="s">
        <v>5295</v>
      </c>
      <c r="F1602" s="125" t="s">
        <v>5296</v>
      </c>
      <c r="G1602" s="125" t="s">
        <v>5297</v>
      </c>
      <c r="H1602" s="125" t="s">
        <v>1383</v>
      </c>
      <c r="I1602" s="125" t="s">
        <v>3468</v>
      </c>
    </row>
    <row r="1603" spans="1:9" x14ac:dyDescent="0.25">
      <c r="A1603" s="125" t="s">
        <v>2891</v>
      </c>
      <c r="B1603" s="125" t="s">
        <v>5293</v>
      </c>
      <c r="C1603" s="125">
        <v>228</v>
      </c>
      <c r="D1603" s="125" t="s">
        <v>5294</v>
      </c>
      <c r="E1603" s="125" t="s">
        <v>5295</v>
      </c>
      <c r="F1603" s="125" t="s">
        <v>5296</v>
      </c>
      <c r="G1603" s="125" t="s">
        <v>5297</v>
      </c>
      <c r="H1603" s="125" t="s">
        <v>1383</v>
      </c>
      <c r="I1603" s="125" t="s">
        <v>3468</v>
      </c>
    </row>
    <row r="1604" spans="1:9" x14ac:dyDescent="0.25">
      <c r="A1604" s="125" t="s">
        <v>1461</v>
      </c>
      <c r="B1604" s="125" t="s">
        <v>5293</v>
      </c>
      <c r="C1604" s="125">
        <v>228</v>
      </c>
      <c r="D1604" s="125" t="s">
        <v>5294</v>
      </c>
      <c r="E1604" s="125" t="s">
        <v>5295</v>
      </c>
      <c r="F1604" s="125" t="s">
        <v>5296</v>
      </c>
      <c r="G1604" s="125" t="s">
        <v>5297</v>
      </c>
      <c r="H1604" s="125" t="s">
        <v>1383</v>
      </c>
      <c r="I1604" s="125" t="s">
        <v>3468</v>
      </c>
    </row>
    <row r="1605" spans="1:9" x14ac:dyDescent="0.25">
      <c r="A1605" s="125" t="s">
        <v>1538</v>
      </c>
      <c r="B1605" s="125" t="s">
        <v>5293</v>
      </c>
      <c r="C1605" s="125">
        <v>228</v>
      </c>
      <c r="D1605" s="125" t="s">
        <v>5294</v>
      </c>
      <c r="E1605" s="125" t="s">
        <v>5295</v>
      </c>
      <c r="F1605" s="125" t="s">
        <v>5296</v>
      </c>
      <c r="G1605" s="125" t="s">
        <v>5297</v>
      </c>
      <c r="H1605" s="125" t="s">
        <v>5910</v>
      </c>
      <c r="I1605" s="125" t="s">
        <v>3468</v>
      </c>
    </row>
    <row r="1606" spans="1:9" x14ac:dyDescent="0.25">
      <c r="A1606" s="125" t="s">
        <v>2993</v>
      </c>
      <c r="B1606" s="125" t="s">
        <v>5293</v>
      </c>
      <c r="C1606" s="125">
        <v>228</v>
      </c>
      <c r="D1606" s="125" t="s">
        <v>5294</v>
      </c>
      <c r="E1606" s="125" t="s">
        <v>5295</v>
      </c>
      <c r="F1606" s="125" t="s">
        <v>5927</v>
      </c>
      <c r="G1606" s="125" t="s">
        <v>5297</v>
      </c>
      <c r="H1606" s="125" t="s">
        <v>1293</v>
      </c>
      <c r="I1606" s="125" t="s">
        <v>5718</v>
      </c>
    </row>
    <row r="1607" spans="1:9" x14ac:dyDescent="0.25">
      <c r="A1607" s="125" t="s">
        <v>3275</v>
      </c>
      <c r="B1607" s="125" t="s">
        <v>5293</v>
      </c>
      <c r="C1607" s="125">
        <v>228</v>
      </c>
      <c r="D1607" s="125" t="s">
        <v>5294</v>
      </c>
      <c r="E1607" s="125" t="s">
        <v>5295</v>
      </c>
      <c r="F1607" s="125" t="s">
        <v>5296</v>
      </c>
      <c r="G1607" s="125" t="s">
        <v>5297</v>
      </c>
      <c r="H1607" s="125" t="s">
        <v>1293</v>
      </c>
      <c r="I1607" s="125" t="s">
        <v>5718</v>
      </c>
    </row>
    <row r="1608" spans="1:9" x14ac:dyDescent="0.25">
      <c r="A1608" s="125" t="s">
        <v>2824</v>
      </c>
      <c r="B1608" s="125" t="s">
        <v>5293</v>
      </c>
      <c r="C1608" s="125">
        <v>228</v>
      </c>
      <c r="D1608" s="125" t="s">
        <v>5294</v>
      </c>
      <c r="E1608" s="125" t="s">
        <v>5295</v>
      </c>
      <c r="F1608" s="125" t="s">
        <v>5296</v>
      </c>
      <c r="G1608" s="125" t="s">
        <v>5297</v>
      </c>
      <c r="H1608" s="125" t="s">
        <v>1293</v>
      </c>
      <c r="I1608" s="125" t="s">
        <v>5718</v>
      </c>
    </row>
    <row r="1609" spans="1:9" x14ac:dyDescent="0.25">
      <c r="A1609" s="125" t="s">
        <v>5931</v>
      </c>
      <c r="B1609" s="125" t="s">
        <v>5293</v>
      </c>
      <c r="C1609" s="125">
        <v>228</v>
      </c>
      <c r="D1609" s="125" t="s">
        <v>5294</v>
      </c>
      <c r="E1609" s="125" t="s">
        <v>5295</v>
      </c>
      <c r="F1609" s="125" t="s">
        <v>5296</v>
      </c>
      <c r="G1609" s="125" t="s">
        <v>5297</v>
      </c>
      <c r="H1609" s="125" t="s">
        <v>1293</v>
      </c>
      <c r="I1609" s="125" t="s">
        <v>5718</v>
      </c>
    </row>
    <row r="1610" spans="1:9" x14ac:dyDescent="0.25">
      <c r="A1610" s="125" t="s">
        <v>5932</v>
      </c>
      <c r="B1610" s="125" t="s">
        <v>5293</v>
      </c>
      <c r="C1610" s="125">
        <v>228</v>
      </c>
      <c r="D1610" s="125" t="s">
        <v>5294</v>
      </c>
      <c r="E1610" s="125" t="s">
        <v>5295</v>
      </c>
      <c r="F1610" s="125" t="s">
        <v>5296</v>
      </c>
      <c r="G1610" s="125" t="s">
        <v>5297</v>
      </c>
      <c r="H1610" s="125" t="s">
        <v>1293</v>
      </c>
      <c r="I1610" s="125" t="s">
        <v>5718</v>
      </c>
    </row>
    <row r="1611" spans="1:9" x14ac:dyDescent="0.25">
      <c r="A1611" s="125" t="s">
        <v>5933</v>
      </c>
      <c r="B1611" s="125" t="s">
        <v>5293</v>
      </c>
      <c r="C1611" s="125">
        <v>228</v>
      </c>
      <c r="D1611" s="125" t="s">
        <v>5294</v>
      </c>
      <c r="E1611" s="125" t="s">
        <v>5295</v>
      </c>
      <c r="F1611" s="125" t="s">
        <v>5296</v>
      </c>
      <c r="G1611" s="125" t="s">
        <v>5297</v>
      </c>
      <c r="H1611" s="125" t="s">
        <v>1293</v>
      </c>
      <c r="I1611" s="125" t="s">
        <v>5718</v>
      </c>
    </row>
    <row r="1612" spans="1:9" x14ac:dyDescent="0.25">
      <c r="A1612" s="125" t="s">
        <v>2706</v>
      </c>
      <c r="B1612" s="125" t="s">
        <v>5663</v>
      </c>
      <c r="C1612" s="125">
        <v>712</v>
      </c>
      <c r="D1612" s="140" t="s">
        <v>5664</v>
      </c>
      <c r="E1612" s="125" t="s">
        <v>5665</v>
      </c>
      <c r="F1612" s="140" t="s">
        <v>5666</v>
      </c>
      <c r="G1612" s="125" t="s">
        <v>5270</v>
      </c>
      <c r="H1612" s="125" t="s">
        <v>5680</v>
      </c>
      <c r="I1612" s="125" t="s">
        <v>5668</v>
      </c>
    </row>
    <row r="1613" spans="1:9" x14ac:dyDescent="0.25">
      <c r="A1613" s="125" t="s">
        <v>1509</v>
      </c>
      <c r="B1613" s="125" t="s">
        <v>5663</v>
      </c>
      <c r="C1613" s="125">
        <v>712</v>
      </c>
      <c r="D1613" s="140" t="s">
        <v>5664</v>
      </c>
      <c r="E1613" s="125" t="s">
        <v>5665</v>
      </c>
      <c r="F1613" s="140" t="s">
        <v>5666</v>
      </c>
      <c r="G1613" s="125" t="s">
        <v>5270</v>
      </c>
      <c r="H1613" s="125" t="s">
        <v>5682</v>
      </c>
      <c r="I1613" s="125" t="s">
        <v>5668</v>
      </c>
    </row>
    <row r="1614" spans="1:9" x14ac:dyDescent="0.25">
      <c r="A1614" s="125" t="s">
        <v>3365</v>
      </c>
      <c r="B1614" s="125" t="s">
        <v>5605</v>
      </c>
      <c r="C1614" s="125">
        <v>710</v>
      </c>
      <c r="D1614" s="125" t="s">
        <v>5606</v>
      </c>
      <c r="E1614" s="125" t="s">
        <v>5465</v>
      </c>
      <c r="F1614" s="125" t="s">
        <v>5466</v>
      </c>
      <c r="G1614" s="125" t="s">
        <v>5270</v>
      </c>
      <c r="H1614" s="125" t="s">
        <v>5682</v>
      </c>
      <c r="I1614" s="125" t="s">
        <v>5668</v>
      </c>
    </row>
    <row r="1615" spans="1:9" x14ac:dyDescent="0.25">
      <c r="A1615" s="125" t="s">
        <v>3559</v>
      </c>
      <c r="B1615" s="125" t="s">
        <v>5605</v>
      </c>
      <c r="C1615" s="125">
        <v>710</v>
      </c>
      <c r="D1615" s="125" t="s">
        <v>5606</v>
      </c>
      <c r="E1615" s="125" t="s">
        <v>5465</v>
      </c>
      <c r="F1615" s="125" t="s">
        <v>5466</v>
      </c>
      <c r="G1615" s="125" t="s">
        <v>5270</v>
      </c>
      <c r="H1615" s="125" t="s">
        <v>5682</v>
      </c>
      <c r="I1615" s="125" t="s">
        <v>5668</v>
      </c>
    </row>
    <row r="1616" spans="1:9" x14ac:dyDescent="0.25">
      <c r="A1616" s="125" t="s">
        <v>1506</v>
      </c>
      <c r="B1616" s="125" t="s">
        <v>5605</v>
      </c>
      <c r="C1616" s="125">
        <v>710</v>
      </c>
      <c r="D1616" s="125" t="s">
        <v>5606</v>
      </c>
      <c r="E1616" s="125" t="s">
        <v>5465</v>
      </c>
      <c r="F1616" s="125" t="s">
        <v>5466</v>
      </c>
      <c r="G1616" s="125" t="s">
        <v>5270</v>
      </c>
      <c r="H1616" s="125" t="s">
        <v>5680</v>
      </c>
      <c r="I1616" s="125" t="s">
        <v>5668</v>
      </c>
    </row>
    <row r="1617" spans="1:9" x14ac:dyDescent="0.25">
      <c r="A1617" s="125" t="s">
        <v>1179</v>
      </c>
      <c r="B1617" s="125" t="s">
        <v>5663</v>
      </c>
      <c r="C1617" s="125">
        <v>712</v>
      </c>
      <c r="D1617" s="140" t="s">
        <v>5664</v>
      </c>
      <c r="E1617" s="125" t="s">
        <v>5665</v>
      </c>
      <c r="F1617" s="140" t="s">
        <v>5666</v>
      </c>
      <c r="G1617" s="125" t="s">
        <v>5270</v>
      </c>
      <c r="H1617" s="125" t="s">
        <v>5682</v>
      </c>
      <c r="I1617" s="125" t="s">
        <v>5668</v>
      </c>
    </row>
    <row r="1618" spans="1:9" x14ac:dyDescent="0.25">
      <c r="A1618" s="125" t="s">
        <v>1507</v>
      </c>
      <c r="B1618" s="125" t="s">
        <v>5663</v>
      </c>
      <c r="C1618" s="125">
        <v>712</v>
      </c>
      <c r="D1618" s="140" t="s">
        <v>5664</v>
      </c>
      <c r="E1618" s="125" t="s">
        <v>5665</v>
      </c>
      <c r="F1618" s="140" t="s">
        <v>5666</v>
      </c>
      <c r="G1618" s="125" t="s">
        <v>5270</v>
      </c>
      <c r="H1618" s="125" t="s">
        <v>5680</v>
      </c>
      <c r="I1618" s="125" t="s">
        <v>5668</v>
      </c>
    </row>
    <row r="1619" spans="1:9" x14ac:dyDescent="0.25">
      <c r="A1619" s="125" t="s">
        <v>1971</v>
      </c>
      <c r="B1619" s="125" t="s">
        <v>5663</v>
      </c>
      <c r="C1619" s="125">
        <v>712</v>
      </c>
      <c r="D1619" s="140" t="s">
        <v>5664</v>
      </c>
      <c r="E1619" s="125" t="s">
        <v>5665</v>
      </c>
      <c r="F1619" s="140" t="s">
        <v>5666</v>
      </c>
      <c r="G1619" s="125" t="s">
        <v>5270</v>
      </c>
      <c r="H1619" s="125" t="s">
        <v>5680</v>
      </c>
      <c r="I1619" s="125" t="s">
        <v>5668</v>
      </c>
    </row>
    <row r="1620" spans="1:9" x14ac:dyDescent="0.25">
      <c r="A1620" s="125" t="s">
        <v>1504</v>
      </c>
      <c r="B1620" s="125" t="s">
        <v>5605</v>
      </c>
      <c r="C1620" s="125">
        <v>710</v>
      </c>
      <c r="D1620" s="125" t="s">
        <v>5606</v>
      </c>
      <c r="E1620" s="125" t="s">
        <v>5465</v>
      </c>
      <c r="F1620" s="125" t="s">
        <v>5466</v>
      </c>
      <c r="G1620" s="125" t="s">
        <v>5270</v>
      </c>
      <c r="H1620" s="125" t="s">
        <v>5680</v>
      </c>
      <c r="I1620" s="125" t="s">
        <v>5668</v>
      </c>
    </row>
    <row r="1621" spans="1:9" x14ac:dyDescent="0.25">
      <c r="A1621" s="125" t="s">
        <v>5934</v>
      </c>
      <c r="B1621" s="125" t="s">
        <v>5605</v>
      </c>
      <c r="C1621" s="125">
        <v>710</v>
      </c>
      <c r="D1621" s="125" t="s">
        <v>5606</v>
      </c>
      <c r="E1621" s="125" t="s">
        <v>5465</v>
      </c>
      <c r="F1621" s="125" t="s">
        <v>5466</v>
      </c>
      <c r="G1621" s="125" t="s">
        <v>5270</v>
      </c>
      <c r="H1621" s="125" t="s">
        <v>5680</v>
      </c>
      <c r="I1621" s="125" t="s">
        <v>5668</v>
      </c>
    </row>
    <row r="1622" spans="1:9" x14ac:dyDescent="0.25">
      <c r="A1622" s="125" t="s">
        <v>1503</v>
      </c>
      <c r="B1622" s="125" t="s">
        <v>5605</v>
      </c>
      <c r="C1622" s="125">
        <v>710</v>
      </c>
      <c r="D1622" s="125" t="s">
        <v>5606</v>
      </c>
      <c r="E1622" s="125" t="s">
        <v>5465</v>
      </c>
      <c r="F1622" s="125" t="s">
        <v>5466</v>
      </c>
      <c r="G1622" s="125" t="s">
        <v>5270</v>
      </c>
      <c r="H1622" s="125" t="s">
        <v>5682</v>
      </c>
      <c r="I1622" s="125" t="s">
        <v>5668</v>
      </c>
    </row>
    <row r="1623" spans="1:9" x14ac:dyDescent="0.25">
      <c r="A1623" s="125" t="s">
        <v>3535</v>
      </c>
      <c r="B1623" s="125" t="s">
        <v>5605</v>
      </c>
      <c r="C1623" s="125">
        <v>710</v>
      </c>
      <c r="D1623" s="125" t="s">
        <v>5606</v>
      </c>
      <c r="E1623" s="125" t="s">
        <v>5465</v>
      </c>
      <c r="F1623" s="125" t="s">
        <v>5466</v>
      </c>
      <c r="G1623" s="125" t="s">
        <v>5270</v>
      </c>
      <c r="H1623" s="125" t="s">
        <v>5682</v>
      </c>
      <c r="I1623" s="125" t="s">
        <v>5668</v>
      </c>
    </row>
    <row r="1624" spans="1:9" x14ac:dyDescent="0.25">
      <c r="A1624" s="125" t="s">
        <v>1122</v>
      </c>
      <c r="B1624" s="125" t="s">
        <v>5578</v>
      </c>
      <c r="C1624" s="125">
        <v>224</v>
      </c>
      <c r="D1624" s="125" t="s">
        <v>5579</v>
      </c>
      <c r="E1624" s="125" t="s">
        <v>5364</v>
      </c>
      <c r="F1624" s="125" t="s">
        <v>5365</v>
      </c>
      <c r="G1624" s="125" t="s">
        <v>5297</v>
      </c>
      <c r="H1624" s="125" t="s">
        <v>3409</v>
      </c>
      <c r="I1624" s="125" t="s">
        <v>5581</v>
      </c>
    </row>
    <row r="1625" spans="1:9" x14ac:dyDescent="0.25">
      <c r="A1625" s="125" t="s">
        <v>2902</v>
      </c>
      <c r="B1625" s="125" t="s">
        <v>5578</v>
      </c>
      <c r="C1625" s="125">
        <v>224</v>
      </c>
      <c r="D1625" s="125" t="s">
        <v>5579</v>
      </c>
      <c r="E1625" s="125" t="s">
        <v>5364</v>
      </c>
      <c r="F1625" s="125" t="s">
        <v>5365</v>
      </c>
      <c r="G1625" s="125" t="s">
        <v>5297</v>
      </c>
      <c r="H1625" s="125" t="s">
        <v>1252</v>
      </c>
      <c r="I1625" s="125" t="s">
        <v>5375</v>
      </c>
    </row>
    <row r="1626" spans="1:9" x14ac:dyDescent="0.25">
      <c r="A1626" s="125" t="s">
        <v>5935</v>
      </c>
      <c r="B1626" s="125" t="s">
        <v>5578</v>
      </c>
      <c r="C1626" s="125">
        <v>224</v>
      </c>
      <c r="D1626" s="125" t="s">
        <v>5579</v>
      </c>
      <c r="E1626" s="125" t="s">
        <v>5364</v>
      </c>
      <c r="F1626" s="125" t="s">
        <v>5365</v>
      </c>
      <c r="G1626" s="125" t="s">
        <v>5297</v>
      </c>
      <c r="H1626" s="125" t="s">
        <v>1207</v>
      </c>
      <c r="I1626" s="125" t="s">
        <v>5375</v>
      </c>
    </row>
    <row r="1627" spans="1:9" x14ac:dyDescent="0.25">
      <c r="A1627" s="125" t="s">
        <v>5936</v>
      </c>
      <c r="B1627" s="125" t="s">
        <v>5578</v>
      </c>
      <c r="C1627" s="125">
        <v>224</v>
      </c>
      <c r="D1627" s="125" t="s">
        <v>5579</v>
      </c>
      <c r="E1627" s="125" t="s">
        <v>5364</v>
      </c>
      <c r="F1627" s="125" t="s">
        <v>5365</v>
      </c>
      <c r="G1627" s="125" t="s">
        <v>5297</v>
      </c>
      <c r="H1627" s="125" t="s">
        <v>1252</v>
      </c>
      <c r="I1627" s="125" t="s">
        <v>5375</v>
      </c>
    </row>
    <row r="1628" spans="1:9" x14ac:dyDescent="0.25">
      <c r="A1628" s="125" t="s">
        <v>3245</v>
      </c>
      <c r="B1628" s="125" t="s">
        <v>5578</v>
      </c>
      <c r="C1628" s="125">
        <v>224</v>
      </c>
      <c r="D1628" s="125" t="s">
        <v>5579</v>
      </c>
      <c r="E1628" s="125" t="s">
        <v>5364</v>
      </c>
      <c r="F1628" s="125" t="s">
        <v>5365</v>
      </c>
      <c r="G1628" s="125" t="s">
        <v>5297</v>
      </c>
      <c r="H1628" s="125" t="s">
        <v>1207</v>
      </c>
      <c r="I1628" s="125" t="s">
        <v>5375</v>
      </c>
    </row>
    <row r="1629" spans="1:9" x14ac:dyDescent="0.25">
      <c r="A1629" s="125" t="s">
        <v>3159</v>
      </c>
      <c r="B1629" s="125" t="s">
        <v>5578</v>
      </c>
      <c r="C1629" s="125">
        <v>224</v>
      </c>
      <c r="D1629" s="125" t="s">
        <v>5579</v>
      </c>
      <c r="E1629" s="125" t="s">
        <v>5364</v>
      </c>
      <c r="F1629" s="125" t="s">
        <v>5365</v>
      </c>
      <c r="G1629" s="125" t="s">
        <v>5297</v>
      </c>
      <c r="H1629" s="125" t="s">
        <v>1207</v>
      </c>
      <c r="I1629" s="125" t="s">
        <v>5375</v>
      </c>
    </row>
    <row r="1630" spans="1:9" x14ac:dyDescent="0.25">
      <c r="A1630" s="125" t="s">
        <v>2406</v>
      </c>
      <c r="B1630" s="125" t="s">
        <v>5578</v>
      </c>
      <c r="C1630" s="125">
        <v>224</v>
      </c>
      <c r="D1630" s="125" t="s">
        <v>5579</v>
      </c>
      <c r="E1630" s="125" t="s">
        <v>5364</v>
      </c>
      <c r="F1630" s="125" t="s">
        <v>5365</v>
      </c>
      <c r="G1630" s="125" t="s">
        <v>5297</v>
      </c>
      <c r="H1630" s="125" t="s">
        <v>5937</v>
      </c>
      <c r="I1630" s="125" t="s">
        <v>5581</v>
      </c>
    </row>
    <row r="1631" spans="1:9" x14ac:dyDescent="0.25">
      <c r="A1631" s="125" t="s">
        <v>1151</v>
      </c>
      <c r="B1631" s="125" t="s">
        <v>5578</v>
      </c>
      <c r="C1631" s="125">
        <v>224</v>
      </c>
      <c r="D1631" s="125" t="s">
        <v>5579</v>
      </c>
      <c r="E1631" s="125" t="s">
        <v>5364</v>
      </c>
      <c r="F1631" s="125" t="s">
        <v>5365</v>
      </c>
      <c r="G1631" s="125" t="s">
        <v>5297</v>
      </c>
      <c r="H1631" s="125" t="s">
        <v>5587</v>
      </c>
      <c r="I1631" s="125" t="s">
        <v>5581</v>
      </c>
    </row>
    <row r="1632" spans="1:9" x14ac:dyDescent="0.25">
      <c r="A1632" s="125" t="s">
        <v>3515</v>
      </c>
      <c r="B1632" s="125" t="s">
        <v>5578</v>
      </c>
      <c r="C1632" s="125">
        <v>224</v>
      </c>
      <c r="D1632" s="125" t="s">
        <v>5579</v>
      </c>
      <c r="E1632" s="125" t="s">
        <v>5364</v>
      </c>
      <c r="F1632" s="125" t="s">
        <v>5365</v>
      </c>
      <c r="G1632" s="125" t="s">
        <v>5297</v>
      </c>
      <c r="H1632" s="125" t="s">
        <v>5937</v>
      </c>
      <c r="I1632" s="125" t="s">
        <v>5581</v>
      </c>
    </row>
    <row r="1633" spans="1:9" x14ac:dyDescent="0.25">
      <c r="A1633" s="125" t="s">
        <v>5938</v>
      </c>
      <c r="B1633" s="125" t="s">
        <v>5578</v>
      </c>
      <c r="C1633" s="125">
        <v>224</v>
      </c>
      <c r="D1633" s="125" t="s">
        <v>5579</v>
      </c>
      <c r="E1633" s="125" t="s">
        <v>5364</v>
      </c>
      <c r="F1633" s="125" t="s">
        <v>5365</v>
      </c>
      <c r="G1633" s="125" t="s">
        <v>5297</v>
      </c>
      <c r="H1633" s="125" t="s">
        <v>1207</v>
      </c>
      <c r="I1633" s="125" t="s">
        <v>5375</v>
      </c>
    </row>
    <row r="1634" spans="1:9" x14ac:dyDescent="0.25">
      <c r="A1634" s="125" t="s">
        <v>2850</v>
      </c>
      <c r="B1634" s="125" t="s">
        <v>5578</v>
      </c>
      <c r="C1634" s="125">
        <v>224</v>
      </c>
      <c r="D1634" s="125" t="s">
        <v>5579</v>
      </c>
      <c r="E1634" s="125" t="s">
        <v>5364</v>
      </c>
      <c r="F1634" s="125" t="s">
        <v>5365</v>
      </c>
      <c r="G1634" s="125" t="s">
        <v>5297</v>
      </c>
      <c r="H1634" s="125" t="s">
        <v>3409</v>
      </c>
      <c r="I1634" s="125" t="s">
        <v>5581</v>
      </c>
    </row>
    <row r="1635" spans="1:9" x14ac:dyDescent="0.25">
      <c r="A1635" s="125" t="s">
        <v>5939</v>
      </c>
      <c r="B1635" s="125" t="s">
        <v>5578</v>
      </c>
      <c r="C1635" s="125">
        <v>224</v>
      </c>
      <c r="D1635" s="125" t="s">
        <v>5579</v>
      </c>
      <c r="E1635" s="125" t="s">
        <v>5364</v>
      </c>
      <c r="F1635" s="125" t="s">
        <v>5365</v>
      </c>
      <c r="G1635" s="125" t="s">
        <v>5297</v>
      </c>
      <c r="H1635" s="125" t="s">
        <v>3376</v>
      </c>
      <c r="I1635" s="125" t="s">
        <v>5581</v>
      </c>
    </row>
    <row r="1636" spans="1:9" x14ac:dyDescent="0.25">
      <c r="A1636" s="125" t="s">
        <v>3085</v>
      </c>
      <c r="B1636" s="125" t="s">
        <v>5578</v>
      </c>
      <c r="C1636" s="125">
        <v>224</v>
      </c>
      <c r="D1636" s="125" t="s">
        <v>5579</v>
      </c>
      <c r="E1636" s="125" t="s">
        <v>5364</v>
      </c>
      <c r="F1636" s="125" t="s">
        <v>5365</v>
      </c>
      <c r="G1636" s="125" t="s">
        <v>5297</v>
      </c>
      <c r="H1636" s="125" t="s">
        <v>1252</v>
      </c>
      <c r="I1636" s="125" t="s">
        <v>5375</v>
      </c>
    </row>
    <row r="1637" spans="1:9" x14ac:dyDescent="0.25">
      <c r="A1637" s="125" t="s">
        <v>2183</v>
      </c>
      <c r="B1637" s="125" t="s">
        <v>5578</v>
      </c>
      <c r="C1637" s="125">
        <v>224</v>
      </c>
      <c r="D1637" s="125" t="s">
        <v>5579</v>
      </c>
      <c r="E1637" s="125" t="s">
        <v>5364</v>
      </c>
      <c r="F1637" s="125" t="s">
        <v>5365</v>
      </c>
      <c r="G1637" s="125" t="s">
        <v>5297</v>
      </c>
      <c r="H1637" s="125" t="s">
        <v>1252</v>
      </c>
      <c r="I1637" s="125" t="s">
        <v>5375</v>
      </c>
    </row>
    <row r="1638" spans="1:9" x14ac:dyDescent="0.25">
      <c r="A1638" s="125" t="s">
        <v>2947</v>
      </c>
      <c r="B1638" s="125" t="s">
        <v>5578</v>
      </c>
      <c r="C1638" s="125">
        <v>224</v>
      </c>
      <c r="D1638" s="125" t="s">
        <v>5579</v>
      </c>
      <c r="E1638" s="125" t="s">
        <v>5364</v>
      </c>
      <c r="F1638" s="125" t="s">
        <v>5365</v>
      </c>
      <c r="G1638" s="125" t="s">
        <v>5297</v>
      </c>
      <c r="H1638" s="125" t="s">
        <v>1207</v>
      </c>
      <c r="I1638" s="125" t="s">
        <v>5375</v>
      </c>
    </row>
    <row r="1639" spans="1:9" x14ac:dyDescent="0.25">
      <c r="A1639" s="125" t="s">
        <v>3246</v>
      </c>
      <c r="B1639" s="125" t="s">
        <v>5578</v>
      </c>
      <c r="C1639" s="125">
        <v>224</v>
      </c>
      <c r="D1639" s="125" t="s">
        <v>5579</v>
      </c>
      <c r="E1639" s="125" t="s">
        <v>5364</v>
      </c>
      <c r="F1639" s="125" t="s">
        <v>5365</v>
      </c>
      <c r="G1639" s="125" t="s">
        <v>5297</v>
      </c>
      <c r="H1639" s="125" t="s">
        <v>5937</v>
      </c>
      <c r="I1639" s="125" t="s">
        <v>5581</v>
      </c>
    </row>
    <row r="1640" spans="1:9" x14ac:dyDescent="0.25">
      <c r="A1640" s="125" t="s">
        <v>5940</v>
      </c>
      <c r="B1640" s="125" t="s">
        <v>5578</v>
      </c>
      <c r="C1640" s="125">
        <v>224</v>
      </c>
      <c r="D1640" s="125" t="s">
        <v>5579</v>
      </c>
      <c r="E1640" s="125" t="s">
        <v>5364</v>
      </c>
      <c r="F1640" s="125" t="s">
        <v>5365</v>
      </c>
      <c r="G1640" s="125" t="s">
        <v>5297</v>
      </c>
      <c r="H1640" s="125" t="s">
        <v>1252</v>
      </c>
      <c r="I1640" s="125" t="s">
        <v>5375</v>
      </c>
    </row>
    <row r="1641" spans="1:9" x14ac:dyDescent="0.25">
      <c r="A1641" s="125" t="s">
        <v>1726</v>
      </c>
      <c r="B1641" s="125" t="s">
        <v>5578</v>
      </c>
      <c r="C1641" s="125">
        <v>224</v>
      </c>
      <c r="D1641" s="125" t="s">
        <v>5579</v>
      </c>
      <c r="E1641" s="125" t="s">
        <v>5364</v>
      </c>
      <c r="F1641" s="125" t="s">
        <v>5365</v>
      </c>
      <c r="G1641" s="125" t="s">
        <v>5297</v>
      </c>
      <c r="H1641" s="125" t="s">
        <v>3409</v>
      </c>
      <c r="I1641" s="125" t="s">
        <v>5581</v>
      </c>
    </row>
    <row r="1642" spans="1:9" x14ac:dyDescent="0.25">
      <c r="A1642" s="125" t="s">
        <v>3251</v>
      </c>
      <c r="B1642" s="125" t="s">
        <v>5578</v>
      </c>
      <c r="C1642" s="125">
        <v>224</v>
      </c>
      <c r="D1642" s="125" t="s">
        <v>5579</v>
      </c>
      <c r="E1642" s="125" t="s">
        <v>5364</v>
      </c>
      <c r="F1642" s="125" t="s">
        <v>5365</v>
      </c>
      <c r="G1642" s="125" t="s">
        <v>5297</v>
      </c>
      <c r="H1642" s="125" t="s">
        <v>3409</v>
      </c>
      <c r="I1642" s="125" t="s">
        <v>5581</v>
      </c>
    </row>
    <row r="1643" spans="1:9" x14ac:dyDescent="0.25">
      <c r="A1643" s="125" t="s">
        <v>1775</v>
      </c>
      <c r="B1643" s="125" t="s">
        <v>5578</v>
      </c>
      <c r="C1643" s="125">
        <v>224</v>
      </c>
      <c r="D1643" s="125" t="s">
        <v>5579</v>
      </c>
      <c r="E1643" s="125" t="s">
        <v>5364</v>
      </c>
      <c r="F1643" s="125" t="s">
        <v>5365</v>
      </c>
      <c r="G1643" s="125" t="s">
        <v>5297</v>
      </c>
      <c r="H1643" s="125" t="s">
        <v>5937</v>
      </c>
      <c r="I1643" s="125" t="s">
        <v>5581</v>
      </c>
    </row>
    <row r="1644" spans="1:9" x14ac:dyDescent="0.25">
      <c r="A1644" s="125" t="s">
        <v>3023</v>
      </c>
      <c r="B1644" s="125" t="s">
        <v>5578</v>
      </c>
      <c r="C1644" s="125">
        <v>224</v>
      </c>
      <c r="D1644" s="125" t="s">
        <v>5579</v>
      </c>
      <c r="E1644" s="125" t="s">
        <v>5364</v>
      </c>
      <c r="F1644" s="125" t="s">
        <v>5365</v>
      </c>
      <c r="G1644" s="125" t="s">
        <v>5297</v>
      </c>
      <c r="H1644" s="125" t="s">
        <v>3409</v>
      </c>
      <c r="I1644" s="125" t="s">
        <v>5581</v>
      </c>
    </row>
    <row r="1645" spans="1:9" x14ac:dyDescent="0.25">
      <c r="A1645" s="125" t="s">
        <v>1590</v>
      </c>
      <c r="B1645" s="125" t="s">
        <v>5578</v>
      </c>
      <c r="C1645" s="125">
        <v>224</v>
      </c>
      <c r="D1645" s="125" t="s">
        <v>5579</v>
      </c>
      <c r="E1645" s="125" t="s">
        <v>5364</v>
      </c>
      <c r="F1645" s="125" t="s">
        <v>5365</v>
      </c>
      <c r="G1645" s="125" t="s">
        <v>5297</v>
      </c>
      <c r="H1645" s="125" t="s">
        <v>5937</v>
      </c>
      <c r="I1645" s="125" t="s">
        <v>5581</v>
      </c>
    </row>
    <row r="1646" spans="1:9" x14ac:dyDescent="0.25">
      <c r="A1646" s="125" t="s">
        <v>3488</v>
      </c>
      <c r="B1646" s="125" t="s">
        <v>5578</v>
      </c>
      <c r="C1646" s="125">
        <v>224</v>
      </c>
      <c r="D1646" s="125" t="s">
        <v>5579</v>
      </c>
      <c r="E1646" s="125" t="s">
        <v>5364</v>
      </c>
      <c r="F1646" s="125" t="s">
        <v>5365</v>
      </c>
      <c r="G1646" s="125" t="s">
        <v>5297</v>
      </c>
      <c r="H1646" s="125" t="s">
        <v>1207</v>
      </c>
      <c r="I1646" s="125" t="s">
        <v>5375</v>
      </c>
    </row>
    <row r="1647" spans="1:9" x14ac:dyDescent="0.25">
      <c r="A1647" s="125" t="s">
        <v>2388</v>
      </c>
      <c r="B1647" s="125" t="s">
        <v>5556</v>
      </c>
      <c r="C1647" s="125">
        <v>291</v>
      </c>
      <c r="D1647" s="125" t="s">
        <v>5557</v>
      </c>
      <c r="E1647" s="125" t="s">
        <v>5341</v>
      </c>
      <c r="F1647" s="140" t="s">
        <v>5342</v>
      </c>
      <c r="G1647" s="125" t="s">
        <v>5297</v>
      </c>
      <c r="H1647" s="125" t="s">
        <v>1418</v>
      </c>
      <c r="I1647" s="125" t="s">
        <v>3536</v>
      </c>
    </row>
    <row r="1648" spans="1:9" x14ac:dyDescent="0.25">
      <c r="A1648" s="125" t="s">
        <v>1345</v>
      </c>
      <c r="B1648" s="125" t="s">
        <v>5556</v>
      </c>
      <c r="C1648" s="125">
        <v>291</v>
      </c>
      <c r="D1648" s="125" t="s">
        <v>5557</v>
      </c>
      <c r="E1648" s="125" t="s">
        <v>5341</v>
      </c>
      <c r="F1648" s="140" t="s">
        <v>5342</v>
      </c>
      <c r="G1648" s="125" t="s">
        <v>5297</v>
      </c>
      <c r="H1648" s="125" t="s">
        <v>371</v>
      </c>
      <c r="I1648" s="125" t="s">
        <v>371</v>
      </c>
    </row>
    <row r="1649" spans="1:9" x14ac:dyDescent="0.25">
      <c r="A1649" s="125" t="s">
        <v>3030</v>
      </c>
      <c r="B1649" s="125" t="s">
        <v>5556</v>
      </c>
      <c r="C1649" s="125">
        <v>291</v>
      </c>
      <c r="D1649" s="125" t="s">
        <v>5557</v>
      </c>
      <c r="E1649" s="125" t="s">
        <v>5341</v>
      </c>
      <c r="F1649" s="140" t="s">
        <v>5342</v>
      </c>
      <c r="G1649" s="125" t="s">
        <v>5297</v>
      </c>
      <c r="H1649" s="125" t="s">
        <v>1160</v>
      </c>
      <c r="I1649" s="125" t="s">
        <v>3536</v>
      </c>
    </row>
    <row r="1650" spans="1:9" x14ac:dyDescent="0.25">
      <c r="A1650" s="125" t="s">
        <v>1561</v>
      </c>
      <c r="B1650" s="125" t="s">
        <v>5556</v>
      </c>
      <c r="C1650" s="125">
        <v>291</v>
      </c>
      <c r="D1650" s="125" t="s">
        <v>5557</v>
      </c>
      <c r="E1650" s="125" t="s">
        <v>5341</v>
      </c>
      <c r="F1650" s="140" t="s">
        <v>5342</v>
      </c>
      <c r="G1650" s="125" t="s">
        <v>5297</v>
      </c>
      <c r="H1650" s="125" t="s">
        <v>371</v>
      </c>
      <c r="I1650" s="125" t="s">
        <v>371</v>
      </c>
    </row>
    <row r="1651" spans="1:9" x14ac:dyDescent="0.25">
      <c r="A1651" s="125" t="s">
        <v>3265</v>
      </c>
      <c r="B1651" s="125" t="s">
        <v>5556</v>
      </c>
      <c r="C1651" s="125">
        <v>291</v>
      </c>
      <c r="D1651" s="125" t="s">
        <v>5557</v>
      </c>
      <c r="E1651" s="125" t="s">
        <v>5341</v>
      </c>
      <c r="F1651" s="140" t="s">
        <v>5342</v>
      </c>
      <c r="G1651" s="125" t="s">
        <v>5297</v>
      </c>
      <c r="H1651" s="125" t="s">
        <v>1418</v>
      </c>
      <c r="I1651" s="125" t="s">
        <v>3536</v>
      </c>
    </row>
    <row r="1652" spans="1:9" x14ac:dyDescent="0.25">
      <c r="A1652" s="125" t="s">
        <v>2007</v>
      </c>
      <c r="B1652" s="125" t="s">
        <v>5556</v>
      </c>
      <c r="C1652" s="125">
        <v>291</v>
      </c>
      <c r="D1652" s="125" t="s">
        <v>5557</v>
      </c>
      <c r="E1652" s="125" t="s">
        <v>5341</v>
      </c>
      <c r="F1652" s="140" t="s">
        <v>5342</v>
      </c>
      <c r="G1652" s="125" t="s">
        <v>5297</v>
      </c>
      <c r="H1652" s="125" t="s">
        <v>371</v>
      </c>
      <c r="I1652" s="125" t="s">
        <v>371</v>
      </c>
    </row>
    <row r="1653" spans="1:9" x14ac:dyDescent="0.25">
      <c r="A1653" s="125" t="s">
        <v>2583</v>
      </c>
      <c r="B1653" s="125" t="s">
        <v>5556</v>
      </c>
      <c r="C1653" s="125">
        <v>291</v>
      </c>
      <c r="D1653" s="125" t="s">
        <v>5557</v>
      </c>
      <c r="E1653" s="125" t="s">
        <v>5341</v>
      </c>
      <c r="F1653" s="140" t="s">
        <v>5342</v>
      </c>
      <c r="G1653" s="125" t="s">
        <v>5297</v>
      </c>
      <c r="H1653" s="125" t="s">
        <v>5558</v>
      </c>
      <c r="I1653" s="125" t="s">
        <v>5558</v>
      </c>
    </row>
    <row r="1654" spans="1:9" x14ac:dyDescent="0.25">
      <c r="A1654" s="125" t="s">
        <v>2946</v>
      </c>
      <c r="B1654" s="125" t="s">
        <v>5556</v>
      </c>
      <c r="C1654" s="125">
        <v>291</v>
      </c>
      <c r="D1654" s="125" t="s">
        <v>5557</v>
      </c>
      <c r="E1654" s="125" t="s">
        <v>5341</v>
      </c>
      <c r="F1654" s="140" t="s">
        <v>5342</v>
      </c>
      <c r="G1654" s="125" t="s">
        <v>5297</v>
      </c>
      <c r="H1654" s="125" t="s">
        <v>371</v>
      </c>
      <c r="I1654" s="125" t="s">
        <v>371</v>
      </c>
    </row>
    <row r="1655" spans="1:9" x14ac:dyDescent="0.25">
      <c r="A1655" s="125" t="s">
        <v>5941</v>
      </c>
      <c r="B1655" s="125" t="s">
        <v>5556</v>
      </c>
      <c r="C1655" s="125">
        <v>291</v>
      </c>
      <c r="D1655" s="125" t="s">
        <v>5557</v>
      </c>
      <c r="E1655" s="125" t="s">
        <v>5341</v>
      </c>
      <c r="F1655" s="140" t="s">
        <v>5342</v>
      </c>
      <c r="G1655" s="125" t="s">
        <v>5297</v>
      </c>
      <c r="H1655" s="125" t="s">
        <v>371</v>
      </c>
      <c r="I1655" s="125" t="s">
        <v>371</v>
      </c>
    </row>
    <row r="1656" spans="1:9" x14ac:dyDescent="0.25">
      <c r="A1656" s="125" t="s">
        <v>5942</v>
      </c>
      <c r="B1656" s="125" t="s">
        <v>5616</v>
      </c>
      <c r="C1656" s="125">
        <v>744</v>
      </c>
      <c r="D1656" s="125" t="s">
        <v>5617</v>
      </c>
      <c r="E1656" s="125" t="s">
        <v>5465</v>
      </c>
      <c r="F1656" s="125" t="s">
        <v>5466</v>
      </c>
      <c r="G1656" s="125" t="s">
        <v>5270</v>
      </c>
      <c r="H1656" s="125" t="s">
        <v>5869</v>
      </c>
      <c r="I1656" s="125" t="s">
        <v>5869</v>
      </c>
    </row>
    <row r="1657" spans="1:9" x14ac:dyDescent="0.25">
      <c r="A1657" s="125" t="s">
        <v>1238</v>
      </c>
      <c r="B1657" s="125" t="s">
        <v>5556</v>
      </c>
      <c r="C1657" s="125">
        <v>291</v>
      </c>
      <c r="D1657" s="125" t="s">
        <v>5557</v>
      </c>
      <c r="E1657" s="125" t="s">
        <v>5341</v>
      </c>
      <c r="F1657" s="140" t="s">
        <v>5342</v>
      </c>
      <c r="G1657" s="125" t="s">
        <v>5297</v>
      </c>
      <c r="H1657" s="125" t="s">
        <v>1418</v>
      </c>
      <c r="I1657" s="125" t="s">
        <v>3536</v>
      </c>
    </row>
    <row r="1658" spans="1:9" x14ac:dyDescent="0.25">
      <c r="A1658" s="125" t="s">
        <v>2691</v>
      </c>
      <c r="B1658" s="125" t="s">
        <v>5556</v>
      </c>
      <c r="C1658" s="125">
        <v>291</v>
      </c>
      <c r="D1658" s="125" t="s">
        <v>5557</v>
      </c>
      <c r="E1658" s="125" t="s">
        <v>5341</v>
      </c>
      <c r="F1658" s="140" t="s">
        <v>5342</v>
      </c>
      <c r="G1658" s="125" t="s">
        <v>5297</v>
      </c>
      <c r="H1658" s="125" t="s">
        <v>5869</v>
      </c>
      <c r="I1658" s="125" t="s">
        <v>5869</v>
      </c>
    </row>
    <row r="1659" spans="1:9" x14ac:dyDescent="0.25">
      <c r="A1659" s="125" t="s">
        <v>1438</v>
      </c>
      <c r="B1659" s="125" t="s">
        <v>5556</v>
      </c>
      <c r="C1659" s="125">
        <v>291</v>
      </c>
      <c r="D1659" s="125" t="s">
        <v>5557</v>
      </c>
      <c r="E1659" s="125" t="s">
        <v>5341</v>
      </c>
      <c r="F1659" s="140" t="s">
        <v>5342</v>
      </c>
      <c r="G1659" s="125" t="s">
        <v>5297</v>
      </c>
      <c r="H1659" s="125" t="s">
        <v>371</v>
      </c>
      <c r="I1659" s="125" t="s">
        <v>371</v>
      </c>
    </row>
    <row r="1660" spans="1:9" x14ac:dyDescent="0.25">
      <c r="A1660" s="125" t="s">
        <v>2554</v>
      </c>
      <c r="B1660" s="125" t="s">
        <v>5556</v>
      </c>
      <c r="C1660" s="125">
        <v>291</v>
      </c>
      <c r="D1660" s="125" t="s">
        <v>5557</v>
      </c>
      <c r="E1660" s="125" t="s">
        <v>5341</v>
      </c>
      <c r="F1660" s="140" t="s">
        <v>5342</v>
      </c>
      <c r="G1660" s="125" t="s">
        <v>5297</v>
      </c>
      <c r="H1660" s="125" t="s">
        <v>5869</v>
      </c>
      <c r="I1660" s="125" t="s">
        <v>5869</v>
      </c>
    </row>
    <row r="1661" spans="1:9" x14ac:dyDescent="0.25">
      <c r="A1661" s="125" t="s">
        <v>1840</v>
      </c>
      <c r="B1661" s="125" t="s">
        <v>5556</v>
      </c>
      <c r="C1661" s="125">
        <v>291</v>
      </c>
      <c r="D1661" s="125" t="s">
        <v>5557</v>
      </c>
      <c r="E1661" s="125" t="s">
        <v>5341</v>
      </c>
      <c r="F1661" s="140" t="s">
        <v>5342</v>
      </c>
      <c r="G1661" s="125" t="s">
        <v>5297</v>
      </c>
      <c r="H1661" s="125" t="s">
        <v>5869</v>
      </c>
      <c r="I1661" s="125" t="s">
        <v>5869</v>
      </c>
    </row>
    <row r="1662" spans="1:9" x14ac:dyDescent="0.25">
      <c r="A1662" s="125" t="s">
        <v>2267</v>
      </c>
      <c r="B1662" s="125" t="s">
        <v>5556</v>
      </c>
      <c r="C1662" s="125">
        <v>291</v>
      </c>
      <c r="D1662" s="125" t="s">
        <v>5557</v>
      </c>
      <c r="E1662" s="125" t="s">
        <v>5341</v>
      </c>
      <c r="F1662" s="140" t="s">
        <v>5342</v>
      </c>
      <c r="G1662" s="125" t="s">
        <v>5297</v>
      </c>
      <c r="H1662" s="125" t="s">
        <v>5869</v>
      </c>
      <c r="I1662" s="125" t="s">
        <v>5869</v>
      </c>
    </row>
    <row r="1663" spans="1:9" x14ac:dyDescent="0.25">
      <c r="A1663" s="125" t="s">
        <v>1300</v>
      </c>
      <c r="B1663" s="125" t="s">
        <v>5556</v>
      </c>
      <c r="C1663" s="125">
        <v>291</v>
      </c>
      <c r="D1663" s="125" t="s">
        <v>5557</v>
      </c>
      <c r="E1663" s="125" t="s">
        <v>5341</v>
      </c>
      <c r="F1663" s="140" t="s">
        <v>5342</v>
      </c>
      <c r="G1663" s="125" t="s">
        <v>5297</v>
      </c>
      <c r="H1663" s="125" t="s">
        <v>5869</v>
      </c>
      <c r="I1663" s="125" t="s">
        <v>5869</v>
      </c>
    </row>
    <row r="1664" spans="1:9" x14ac:dyDescent="0.25">
      <c r="A1664" s="125" t="s">
        <v>2323</v>
      </c>
      <c r="B1664" s="125" t="s">
        <v>5556</v>
      </c>
      <c r="C1664" s="125">
        <v>291</v>
      </c>
      <c r="D1664" s="125" t="s">
        <v>5557</v>
      </c>
      <c r="E1664" s="125" t="s">
        <v>5341</v>
      </c>
      <c r="F1664" s="140" t="s">
        <v>5342</v>
      </c>
      <c r="G1664" s="125" t="s">
        <v>5297</v>
      </c>
      <c r="H1664" s="125" t="s">
        <v>371</v>
      </c>
      <c r="I1664" s="125" t="s">
        <v>371</v>
      </c>
    </row>
    <row r="1665" spans="1:9" x14ac:dyDescent="0.25">
      <c r="A1665" s="125" t="s">
        <v>2963</v>
      </c>
      <c r="B1665" s="125" t="s">
        <v>5556</v>
      </c>
      <c r="C1665" s="125">
        <v>291</v>
      </c>
      <c r="D1665" s="125" t="s">
        <v>5557</v>
      </c>
      <c r="E1665" s="125" t="s">
        <v>5341</v>
      </c>
      <c r="F1665" s="140" t="s">
        <v>5342</v>
      </c>
      <c r="G1665" s="125" t="s">
        <v>5297</v>
      </c>
      <c r="H1665" s="125" t="s">
        <v>371</v>
      </c>
      <c r="I1665" s="125" t="s">
        <v>371</v>
      </c>
    </row>
    <row r="1666" spans="1:9" x14ac:dyDescent="0.25">
      <c r="A1666" s="125" t="s">
        <v>2776</v>
      </c>
      <c r="B1666" s="125" t="s">
        <v>5556</v>
      </c>
      <c r="C1666" s="125">
        <v>291</v>
      </c>
      <c r="D1666" s="125" t="s">
        <v>5557</v>
      </c>
      <c r="E1666" s="125" t="s">
        <v>5341</v>
      </c>
      <c r="F1666" s="140" t="s">
        <v>5342</v>
      </c>
      <c r="G1666" s="125" t="s">
        <v>5297</v>
      </c>
      <c r="H1666" s="125" t="s">
        <v>5943</v>
      </c>
      <c r="I1666" s="125" t="s">
        <v>3536</v>
      </c>
    </row>
    <row r="1667" spans="1:9" x14ac:dyDescent="0.25">
      <c r="A1667" s="125" t="s">
        <v>1432</v>
      </c>
      <c r="B1667" s="125" t="s">
        <v>5556</v>
      </c>
      <c r="C1667" s="125">
        <v>291</v>
      </c>
      <c r="D1667" s="125" t="s">
        <v>5557</v>
      </c>
      <c r="E1667" s="125" t="s">
        <v>5341</v>
      </c>
      <c r="F1667" s="140" t="s">
        <v>5342</v>
      </c>
      <c r="G1667" s="125" t="s">
        <v>5297</v>
      </c>
      <c r="H1667" s="125" t="s">
        <v>5943</v>
      </c>
      <c r="I1667" s="125" t="s">
        <v>3536</v>
      </c>
    </row>
    <row r="1668" spans="1:9" x14ac:dyDescent="0.25">
      <c r="A1668" s="125" t="s">
        <v>1607</v>
      </c>
      <c r="B1668" s="125" t="s">
        <v>5556</v>
      </c>
      <c r="C1668" s="125">
        <v>291</v>
      </c>
      <c r="D1668" s="125" t="s">
        <v>5557</v>
      </c>
      <c r="E1668" s="125" t="s">
        <v>5341</v>
      </c>
      <c r="F1668" s="140" t="s">
        <v>5342</v>
      </c>
      <c r="G1668" s="125" t="s">
        <v>5297</v>
      </c>
      <c r="H1668" s="125" t="s">
        <v>1418</v>
      </c>
      <c r="I1668" s="125" t="s">
        <v>3536</v>
      </c>
    </row>
    <row r="1669" spans="1:9" x14ac:dyDescent="0.25">
      <c r="A1669" s="125" t="s">
        <v>2886</v>
      </c>
      <c r="B1669" s="125" t="s">
        <v>5556</v>
      </c>
      <c r="C1669" s="125">
        <v>291</v>
      </c>
      <c r="D1669" s="125" t="s">
        <v>5557</v>
      </c>
      <c r="E1669" s="125" t="s">
        <v>5341</v>
      </c>
      <c r="F1669" s="140" t="s">
        <v>5342</v>
      </c>
      <c r="G1669" s="125" t="s">
        <v>5297</v>
      </c>
      <c r="H1669" s="125" t="s">
        <v>5943</v>
      </c>
      <c r="I1669" s="125" t="s">
        <v>3536</v>
      </c>
    </row>
    <row r="1670" spans="1:9" x14ac:dyDescent="0.25">
      <c r="A1670" s="125" t="s">
        <v>3272</v>
      </c>
      <c r="B1670" s="125" t="s">
        <v>5556</v>
      </c>
      <c r="C1670" s="125">
        <v>291</v>
      </c>
      <c r="D1670" s="125" t="s">
        <v>5557</v>
      </c>
      <c r="E1670" s="125" t="s">
        <v>5341</v>
      </c>
      <c r="F1670" s="140" t="s">
        <v>5342</v>
      </c>
      <c r="G1670" s="125" t="s">
        <v>5297</v>
      </c>
      <c r="H1670" s="125" t="s">
        <v>5944</v>
      </c>
      <c r="I1670" s="125" t="s">
        <v>3536</v>
      </c>
    </row>
    <row r="1671" spans="1:9" x14ac:dyDescent="0.25">
      <c r="A1671" s="125" t="s">
        <v>1134</v>
      </c>
      <c r="B1671" s="125" t="s">
        <v>5556</v>
      </c>
      <c r="C1671" s="125">
        <v>291</v>
      </c>
      <c r="D1671" s="125" t="s">
        <v>5557</v>
      </c>
      <c r="E1671" s="125" t="s">
        <v>5341</v>
      </c>
      <c r="F1671" s="140" t="s">
        <v>5342</v>
      </c>
      <c r="G1671" s="125" t="s">
        <v>5297</v>
      </c>
      <c r="H1671" s="125" t="s">
        <v>5944</v>
      </c>
      <c r="I1671" s="125" t="s">
        <v>3536</v>
      </c>
    </row>
    <row r="1672" spans="1:9" x14ac:dyDescent="0.25">
      <c r="A1672" s="125" t="s">
        <v>1564</v>
      </c>
      <c r="B1672" s="125" t="s">
        <v>5556</v>
      </c>
      <c r="C1672" s="125">
        <v>291</v>
      </c>
      <c r="D1672" s="125" t="s">
        <v>5557</v>
      </c>
      <c r="E1672" s="125" t="s">
        <v>5341</v>
      </c>
      <c r="F1672" s="140" t="s">
        <v>5342</v>
      </c>
      <c r="G1672" s="125" t="s">
        <v>5297</v>
      </c>
      <c r="H1672" s="125" t="s">
        <v>371</v>
      </c>
      <c r="I1672" s="125" t="s">
        <v>371</v>
      </c>
    </row>
    <row r="1673" spans="1:9" x14ac:dyDescent="0.25">
      <c r="A1673" s="125" t="s">
        <v>2446</v>
      </c>
      <c r="B1673" s="125" t="s">
        <v>5556</v>
      </c>
      <c r="C1673" s="125">
        <v>291</v>
      </c>
      <c r="D1673" s="125" t="s">
        <v>5557</v>
      </c>
      <c r="E1673" s="125" t="s">
        <v>5341</v>
      </c>
      <c r="F1673" s="140" t="s">
        <v>5342</v>
      </c>
      <c r="G1673" s="125" t="s">
        <v>5297</v>
      </c>
      <c r="H1673" s="125" t="s">
        <v>5944</v>
      </c>
      <c r="I1673" s="125" t="s">
        <v>3536</v>
      </c>
    </row>
    <row r="1674" spans="1:9" x14ac:dyDescent="0.25">
      <c r="A1674" s="125" t="s">
        <v>5945</v>
      </c>
      <c r="B1674" s="125" t="s">
        <v>5556</v>
      </c>
      <c r="C1674" s="125">
        <v>291</v>
      </c>
      <c r="D1674" s="125" t="s">
        <v>5557</v>
      </c>
      <c r="E1674" s="125" t="s">
        <v>5341</v>
      </c>
      <c r="F1674" s="140" t="s">
        <v>5342</v>
      </c>
      <c r="G1674" s="125" t="s">
        <v>5297</v>
      </c>
      <c r="H1674" s="125" t="s">
        <v>5944</v>
      </c>
      <c r="I1674" s="125" t="s">
        <v>3536</v>
      </c>
    </row>
    <row r="1675" spans="1:9" x14ac:dyDescent="0.25">
      <c r="A1675" s="125" t="s">
        <v>1331</v>
      </c>
      <c r="B1675" s="125" t="s">
        <v>5556</v>
      </c>
      <c r="C1675" s="125">
        <v>291</v>
      </c>
      <c r="D1675" s="125" t="s">
        <v>5557</v>
      </c>
      <c r="E1675" s="125" t="s">
        <v>5341</v>
      </c>
      <c r="F1675" s="140" t="s">
        <v>5342</v>
      </c>
      <c r="G1675" s="125" t="s">
        <v>5297</v>
      </c>
      <c r="H1675" s="125" t="s">
        <v>371</v>
      </c>
      <c r="I1675" s="125" t="s">
        <v>371</v>
      </c>
    </row>
    <row r="1676" spans="1:9" x14ac:dyDescent="0.25">
      <c r="A1676" s="125" t="s">
        <v>3226</v>
      </c>
      <c r="B1676" s="125" t="s">
        <v>5556</v>
      </c>
      <c r="C1676" s="125">
        <v>291</v>
      </c>
      <c r="D1676" s="125" t="s">
        <v>5557</v>
      </c>
      <c r="E1676" s="125" t="s">
        <v>5341</v>
      </c>
      <c r="F1676" s="140" t="s">
        <v>5342</v>
      </c>
      <c r="G1676" s="125" t="s">
        <v>5297</v>
      </c>
      <c r="H1676" s="125" t="s">
        <v>371</v>
      </c>
      <c r="I1676" s="125" t="s">
        <v>371</v>
      </c>
    </row>
    <row r="1677" spans="1:9" x14ac:dyDescent="0.25">
      <c r="A1677" s="125" t="s">
        <v>1557</v>
      </c>
      <c r="B1677" s="125" t="s">
        <v>5556</v>
      </c>
      <c r="C1677" s="125">
        <v>291</v>
      </c>
      <c r="D1677" s="125" t="s">
        <v>5557</v>
      </c>
      <c r="E1677" s="125" t="s">
        <v>5341</v>
      </c>
      <c r="F1677" s="140" t="s">
        <v>5342</v>
      </c>
      <c r="G1677" s="125" t="s">
        <v>5297</v>
      </c>
      <c r="H1677" s="125" t="s">
        <v>1109</v>
      </c>
      <c r="I1677" s="125" t="s">
        <v>3536</v>
      </c>
    </row>
    <row r="1678" spans="1:9" x14ac:dyDescent="0.25">
      <c r="A1678" s="125" t="s">
        <v>1783</v>
      </c>
      <c r="B1678" s="125" t="s">
        <v>5556</v>
      </c>
      <c r="C1678" s="125">
        <v>291</v>
      </c>
      <c r="D1678" s="125" t="s">
        <v>5557</v>
      </c>
      <c r="E1678" s="125" t="s">
        <v>5341</v>
      </c>
      <c r="F1678" s="140" t="s">
        <v>5342</v>
      </c>
      <c r="G1678" s="125" t="s">
        <v>5297</v>
      </c>
      <c r="H1678" s="125" t="s">
        <v>371</v>
      </c>
      <c r="I1678" s="125" t="s">
        <v>371</v>
      </c>
    </row>
    <row r="1679" spans="1:9" x14ac:dyDescent="0.25">
      <c r="A1679" s="125" t="s">
        <v>2867</v>
      </c>
      <c r="B1679" s="125" t="s">
        <v>5556</v>
      </c>
      <c r="C1679" s="125">
        <v>291</v>
      </c>
      <c r="D1679" s="125" t="s">
        <v>5557</v>
      </c>
      <c r="E1679" s="125" t="s">
        <v>5341</v>
      </c>
      <c r="F1679" s="140" t="s">
        <v>5342</v>
      </c>
      <c r="G1679" s="125" t="s">
        <v>5297</v>
      </c>
      <c r="H1679" s="125" t="s">
        <v>1418</v>
      </c>
      <c r="I1679" s="125" t="s">
        <v>3536</v>
      </c>
    </row>
    <row r="1680" spans="1:9" x14ac:dyDescent="0.25">
      <c r="A1680" s="125" t="s">
        <v>1334</v>
      </c>
      <c r="B1680" s="125" t="s">
        <v>5556</v>
      </c>
      <c r="C1680" s="125">
        <v>291</v>
      </c>
      <c r="D1680" s="125" t="s">
        <v>5557</v>
      </c>
      <c r="E1680" s="125" t="s">
        <v>5341</v>
      </c>
      <c r="F1680" s="140" t="s">
        <v>5342</v>
      </c>
      <c r="G1680" s="125" t="s">
        <v>5297</v>
      </c>
      <c r="H1680" s="125" t="s">
        <v>371</v>
      </c>
      <c r="I1680" s="125" t="s">
        <v>371</v>
      </c>
    </row>
    <row r="1681" spans="1:9" x14ac:dyDescent="0.25">
      <c r="A1681" s="125" t="s">
        <v>2395</v>
      </c>
      <c r="B1681" s="125" t="s">
        <v>5556</v>
      </c>
      <c r="C1681" s="125">
        <v>291</v>
      </c>
      <c r="D1681" s="125" t="s">
        <v>5557</v>
      </c>
      <c r="E1681" s="125" t="s">
        <v>5341</v>
      </c>
      <c r="F1681" s="140" t="s">
        <v>5342</v>
      </c>
      <c r="G1681" s="125" t="s">
        <v>5297</v>
      </c>
      <c r="H1681" s="125" t="s">
        <v>371</v>
      </c>
      <c r="I1681" s="125" t="s">
        <v>371</v>
      </c>
    </row>
    <row r="1682" spans="1:9" x14ac:dyDescent="0.25">
      <c r="A1682" s="125" t="s">
        <v>2550</v>
      </c>
      <c r="B1682" s="125" t="s">
        <v>5556</v>
      </c>
      <c r="C1682" s="125">
        <v>291</v>
      </c>
      <c r="D1682" s="125" t="s">
        <v>5557</v>
      </c>
      <c r="E1682" s="125" t="s">
        <v>5341</v>
      </c>
      <c r="F1682" s="140" t="s">
        <v>5342</v>
      </c>
      <c r="G1682" s="125" t="s">
        <v>5297</v>
      </c>
      <c r="H1682" s="125" t="s">
        <v>5869</v>
      </c>
      <c r="I1682" s="125" t="s">
        <v>5869</v>
      </c>
    </row>
    <row r="1683" spans="1:9" x14ac:dyDescent="0.25">
      <c r="A1683" s="125" t="s">
        <v>5946</v>
      </c>
      <c r="B1683" s="125" t="s">
        <v>5556</v>
      </c>
      <c r="C1683" s="125">
        <v>291</v>
      </c>
      <c r="D1683" s="125" t="s">
        <v>5557</v>
      </c>
      <c r="E1683" s="125" t="s">
        <v>5341</v>
      </c>
      <c r="F1683" s="140" t="s">
        <v>5342</v>
      </c>
      <c r="G1683" s="125" t="s">
        <v>5297</v>
      </c>
      <c r="H1683" s="125" t="s">
        <v>5869</v>
      </c>
      <c r="I1683" s="125" t="s">
        <v>5869</v>
      </c>
    </row>
    <row r="1684" spans="1:9" x14ac:dyDescent="0.25">
      <c r="A1684" s="125" t="s">
        <v>5947</v>
      </c>
      <c r="B1684" s="125" t="s">
        <v>5556</v>
      </c>
      <c r="C1684" s="125">
        <v>291</v>
      </c>
      <c r="D1684" s="125" t="s">
        <v>5557</v>
      </c>
      <c r="E1684" s="125" t="s">
        <v>5341</v>
      </c>
      <c r="F1684" s="140" t="s">
        <v>5342</v>
      </c>
      <c r="G1684" s="125" t="s">
        <v>5297</v>
      </c>
      <c r="H1684" s="125" t="s">
        <v>5869</v>
      </c>
      <c r="I1684" s="125" t="s">
        <v>5869</v>
      </c>
    </row>
    <row r="1685" spans="1:9" x14ac:dyDescent="0.25">
      <c r="A1685" s="125" t="s">
        <v>3104</v>
      </c>
      <c r="B1685" s="125" t="s">
        <v>5556</v>
      </c>
      <c r="C1685" s="125">
        <v>291</v>
      </c>
      <c r="D1685" s="125" t="s">
        <v>5557</v>
      </c>
      <c r="E1685" s="125" t="s">
        <v>5341</v>
      </c>
      <c r="F1685" s="140" t="s">
        <v>5342</v>
      </c>
      <c r="G1685" s="125" t="s">
        <v>5297</v>
      </c>
      <c r="H1685" s="125" t="s">
        <v>5869</v>
      </c>
      <c r="I1685" s="125" t="s">
        <v>5869</v>
      </c>
    </row>
    <row r="1686" spans="1:9" x14ac:dyDescent="0.25">
      <c r="A1686" s="125" t="s">
        <v>2507</v>
      </c>
      <c r="B1686" s="125" t="s">
        <v>5556</v>
      </c>
      <c r="C1686" s="125">
        <v>291</v>
      </c>
      <c r="D1686" s="125" t="s">
        <v>5557</v>
      </c>
      <c r="E1686" s="125" t="s">
        <v>5341</v>
      </c>
      <c r="F1686" s="140" t="s">
        <v>5342</v>
      </c>
      <c r="G1686" s="125" t="s">
        <v>5297</v>
      </c>
      <c r="H1686" s="125" t="s">
        <v>5869</v>
      </c>
      <c r="I1686" s="125" t="s">
        <v>5869</v>
      </c>
    </row>
    <row r="1687" spans="1:9" x14ac:dyDescent="0.25">
      <c r="A1687" s="125" t="s">
        <v>3360</v>
      </c>
      <c r="B1687" s="125" t="s">
        <v>5556</v>
      </c>
      <c r="C1687" s="125">
        <v>291</v>
      </c>
      <c r="D1687" s="125" t="s">
        <v>5557</v>
      </c>
      <c r="E1687" s="125" t="s">
        <v>5341</v>
      </c>
      <c r="F1687" s="140" t="s">
        <v>5342</v>
      </c>
      <c r="G1687" s="125" t="s">
        <v>5297</v>
      </c>
      <c r="H1687" s="125" t="s">
        <v>371</v>
      </c>
      <c r="I1687" s="125" t="s">
        <v>371</v>
      </c>
    </row>
    <row r="1688" spans="1:9" x14ac:dyDescent="0.25">
      <c r="A1688" s="125" t="s">
        <v>5948</v>
      </c>
      <c r="B1688" s="125" t="s">
        <v>5556</v>
      </c>
      <c r="C1688" s="125">
        <v>291</v>
      </c>
      <c r="D1688" s="125" t="s">
        <v>5557</v>
      </c>
      <c r="E1688" s="125" t="s">
        <v>5341</v>
      </c>
      <c r="F1688" s="140" t="s">
        <v>5342</v>
      </c>
      <c r="G1688" s="125" t="s">
        <v>5297</v>
      </c>
      <c r="H1688" s="125" t="s">
        <v>371</v>
      </c>
      <c r="I1688" s="125" t="s">
        <v>371</v>
      </c>
    </row>
    <row r="1689" spans="1:9" x14ac:dyDescent="0.25">
      <c r="A1689" s="125" t="s">
        <v>1342</v>
      </c>
      <c r="B1689" s="125" t="s">
        <v>5556</v>
      </c>
      <c r="C1689" s="125">
        <v>291</v>
      </c>
      <c r="D1689" s="125" t="s">
        <v>5557</v>
      </c>
      <c r="E1689" s="125" t="s">
        <v>5341</v>
      </c>
      <c r="F1689" s="140" t="s">
        <v>5342</v>
      </c>
      <c r="G1689" s="125" t="s">
        <v>5297</v>
      </c>
      <c r="H1689" s="125" t="s">
        <v>371</v>
      </c>
      <c r="I1689" s="125" t="s">
        <v>371</v>
      </c>
    </row>
    <row r="1690" spans="1:9" x14ac:dyDescent="0.25">
      <c r="A1690" s="125" t="s">
        <v>1419</v>
      </c>
      <c r="B1690" s="125" t="s">
        <v>5556</v>
      </c>
      <c r="C1690" s="125">
        <v>291</v>
      </c>
      <c r="D1690" s="125" t="s">
        <v>5557</v>
      </c>
      <c r="E1690" s="125" t="s">
        <v>5341</v>
      </c>
      <c r="F1690" s="140" t="s">
        <v>5342</v>
      </c>
      <c r="G1690" s="125" t="s">
        <v>5297</v>
      </c>
      <c r="H1690" s="125" t="s">
        <v>1418</v>
      </c>
      <c r="I1690" s="125" t="s">
        <v>3536</v>
      </c>
    </row>
    <row r="1691" spans="1:9" x14ac:dyDescent="0.25">
      <c r="A1691" s="125" t="s">
        <v>3263</v>
      </c>
      <c r="B1691" s="125" t="s">
        <v>5556</v>
      </c>
      <c r="C1691" s="125">
        <v>291</v>
      </c>
      <c r="D1691" s="125" t="s">
        <v>5557</v>
      </c>
      <c r="E1691" s="125" t="s">
        <v>5341</v>
      </c>
      <c r="F1691" s="140" t="s">
        <v>5342</v>
      </c>
      <c r="G1691" s="125" t="s">
        <v>5297</v>
      </c>
      <c r="H1691" s="125" t="s">
        <v>1418</v>
      </c>
      <c r="I1691" s="125" t="s">
        <v>3536</v>
      </c>
    </row>
    <row r="1692" spans="1:9" x14ac:dyDescent="0.25">
      <c r="A1692" s="125" t="s">
        <v>2617</v>
      </c>
      <c r="B1692" s="125" t="s">
        <v>5556</v>
      </c>
      <c r="C1692" s="125">
        <v>291</v>
      </c>
      <c r="D1692" s="125" t="s">
        <v>5557</v>
      </c>
      <c r="E1692" s="125" t="s">
        <v>5341</v>
      </c>
      <c r="F1692" s="140" t="s">
        <v>5342</v>
      </c>
      <c r="G1692" s="125" t="s">
        <v>5297</v>
      </c>
      <c r="H1692" s="125" t="s">
        <v>5869</v>
      </c>
      <c r="I1692" s="125" t="s">
        <v>5869</v>
      </c>
    </row>
    <row r="1693" spans="1:9" x14ac:dyDescent="0.25">
      <c r="A1693" s="125" t="s">
        <v>2109</v>
      </c>
      <c r="B1693" s="125" t="s">
        <v>5556</v>
      </c>
      <c r="C1693" s="125">
        <v>291</v>
      </c>
      <c r="D1693" s="125" t="s">
        <v>5557</v>
      </c>
      <c r="E1693" s="125" t="s">
        <v>5341</v>
      </c>
      <c r="F1693" s="140" t="s">
        <v>5342</v>
      </c>
      <c r="G1693" s="125" t="s">
        <v>5297</v>
      </c>
      <c r="H1693" s="125" t="s">
        <v>371</v>
      </c>
      <c r="I1693" s="125" t="s">
        <v>371</v>
      </c>
    </row>
    <row r="1694" spans="1:9" x14ac:dyDescent="0.25">
      <c r="A1694" s="125" t="s">
        <v>3271</v>
      </c>
      <c r="B1694" s="125" t="s">
        <v>5556</v>
      </c>
      <c r="C1694" s="125">
        <v>291</v>
      </c>
      <c r="D1694" s="125" t="s">
        <v>5557</v>
      </c>
      <c r="E1694" s="125" t="s">
        <v>5341</v>
      </c>
      <c r="F1694" s="140" t="s">
        <v>5342</v>
      </c>
      <c r="G1694" s="125" t="s">
        <v>5297</v>
      </c>
      <c r="H1694" s="125" t="s">
        <v>371</v>
      </c>
      <c r="I1694" s="125" t="s">
        <v>371</v>
      </c>
    </row>
    <row r="1695" spans="1:9" x14ac:dyDescent="0.25">
      <c r="A1695" s="125" t="s">
        <v>3390</v>
      </c>
      <c r="B1695" s="125" t="s">
        <v>5556</v>
      </c>
      <c r="C1695" s="125">
        <v>291</v>
      </c>
      <c r="D1695" s="125" t="s">
        <v>5557</v>
      </c>
      <c r="E1695" s="125" t="s">
        <v>5341</v>
      </c>
      <c r="F1695" s="140" t="s">
        <v>5342</v>
      </c>
      <c r="G1695" s="125" t="s">
        <v>5297</v>
      </c>
      <c r="H1695" s="125" t="s">
        <v>5869</v>
      </c>
      <c r="I1695" s="125" t="s">
        <v>5869</v>
      </c>
    </row>
    <row r="1696" spans="1:9" x14ac:dyDescent="0.25">
      <c r="A1696" s="125" t="s">
        <v>1792</v>
      </c>
      <c r="B1696" s="125" t="s">
        <v>5556</v>
      </c>
      <c r="C1696" s="125">
        <v>291</v>
      </c>
      <c r="D1696" s="125" t="s">
        <v>5557</v>
      </c>
      <c r="E1696" s="125" t="s">
        <v>5341</v>
      </c>
      <c r="F1696" s="140" t="s">
        <v>5342</v>
      </c>
      <c r="G1696" s="125" t="s">
        <v>5297</v>
      </c>
      <c r="H1696" s="125" t="s">
        <v>5869</v>
      </c>
      <c r="I1696" s="125" t="s">
        <v>5869</v>
      </c>
    </row>
    <row r="1697" spans="1:9" x14ac:dyDescent="0.25">
      <c r="A1697" s="125" t="s">
        <v>1646</v>
      </c>
      <c r="B1697" s="125" t="s">
        <v>5556</v>
      </c>
      <c r="C1697" s="125">
        <v>291</v>
      </c>
      <c r="D1697" s="125" t="s">
        <v>5557</v>
      </c>
      <c r="E1697" s="125" t="s">
        <v>5341</v>
      </c>
      <c r="F1697" s="140" t="s">
        <v>5342</v>
      </c>
      <c r="G1697" s="125" t="s">
        <v>5297</v>
      </c>
      <c r="H1697" s="125" t="s">
        <v>5869</v>
      </c>
      <c r="I1697" s="125" t="s">
        <v>5869</v>
      </c>
    </row>
    <row r="1698" spans="1:9" x14ac:dyDescent="0.25">
      <c r="A1698" s="125" t="s">
        <v>3476</v>
      </c>
      <c r="B1698" s="125" t="s">
        <v>5556</v>
      </c>
      <c r="C1698" s="125">
        <v>291</v>
      </c>
      <c r="D1698" s="125" t="s">
        <v>5557</v>
      </c>
      <c r="E1698" s="125" t="s">
        <v>5341</v>
      </c>
      <c r="F1698" s="140" t="s">
        <v>5342</v>
      </c>
      <c r="G1698" s="125" t="s">
        <v>5297</v>
      </c>
      <c r="H1698" s="125" t="s">
        <v>5869</v>
      </c>
      <c r="I1698" s="125" t="s">
        <v>5869</v>
      </c>
    </row>
    <row r="1699" spans="1:9" x14ac:dyDescent="0.25">
      <c r="A1699" s="125" t="s">
        <v>5949</v>
      </c>
      <c r="B1699" s="125" t="s">
        <v>5556</v>
      </c>
      <c r="C1699" s="125">
        <v>291</v>
      </c>
      <c r="D1699" s="125" t="s">
        <v>5557</v>
      </c>
      <c r="E1699" s="125" t="s">
        <v>5341</v>
      </c>
      <c r="F1699" s="140" t="s">
        <v>5342</v>
      </c>
      <c r="G1699" s="125" t="s">
        <v>5297</v>
      </c>
      <c r="H1699" s="125" t="s">
        <v>5869</v>
      </c>
      <c r="I1699" s="125" t="s">
        <v>5869</v>
      </c>
    </row>
    <row r="1700" spans="1:9" x14ac:dyDescent="0.25">
      <c r="A1700" s="125" t="s">
        <v>5950</v>
      </c>
      <c r="B1700" s="125" t="s">
        <v>5556</v>
      </c>
      <c r="C1700" s="125">
        <v>291</v>
      </c>
      <c r="D1700" s="125" t="s">
        <v>5557</v>
      </c>
      <c r="E1700" s="125" t="s">
        <v>5341</v>
      </c>
      <c r="F1700" s="140" t="s">
        <v>5342</v>
      </c>
      <c r="G1700" s="125" t="s">
        <v>5297</v>
      </c>
      <c r="H1700" s="125" t="s">
        <v>5869</v>
      </c>
      <c r="I1700" s="125" t="s">
        <v>5869</v>
      </c>
    </row>
    <row r="1701" spans="1:9" x14ac:dyDescent="0.25">
      <c r="A1701" s="125" t="s">
        <v>3546</v>
      </c>
      <c r="B1701" s="125" t="s">
        <v>5556</v>
      </c>
      <c r="C1701" s="125">
        <v>291</v>
      </c>
      <c r="D1701" s="125" t="s">
        <v>5557</v>
      </c>
      <c r="E1701" s="125" t="s">
        <v>5341</v>
      </c>
      <c r="F1701" s="140" t="s">
        <v>5342</v>
      </c>
      <c r="G1701" s="125" t="s">
        <v>5297</v>
      </c>
      <c r="H1701" s="125" t="s">
        <v>5943</v>
      </c>
      <c r="I1701" s="125" t="s">
        <v>3536</v>
      </c>
    </row>
    <row r="1702" spans="1:9" x14ac:dyDescent="0.25">
      <c r="A1702" s="125" t="s">
        <v>5951</v>
      </c>
      <c r="B1702" s="125" t="s">
        <v>5556</v>
      </c>
      <c r="C1702" s="125">
        <v>291</v>
      </c>
      <c r="D1702" s="125" t="s">
        <v>5557</v>
      </c>
      <c r="E1702" s="125" t="s">
        <v>5341</v>
      </c>
      <c r="F1702" s="140" t="s">
        <v>5342</v>
      </c>
      <c r="G1702" s="125" t="s">
        <v>5297</v>
      </c>
      <c r="H1702" s="125" t="s">
        <v>5869</v>
      </c>
      <c r="I1702" s="125" t="s">
        <v>5869</v>
      </c>
    </row>
    <row r="1703" spans="1:9" x14ac:dyDescent="0.25">
      <c r="A1703" s="125" t="s">
        <v>2723</v>
      </c>
      <c r="B1703" s="125" t="s">
        <v>5556</v>
      </c>
      <c r="C1703" s="125">
        <v>291</v>
      </c>
      <c r="D1703" s="125" t="s">
        <v>5557</v>
      </c>
      <c r="E1703" s="125" t="s">
        <v>5341</v>
      </c>
      <c r="F1703" s="140" t="s">
        <v>5342</v>
      </c>
      <c r="G1703" s="125" t="s">
        <v>5297</v>
      </c>
      <c r="H1703" s="125" t="s">
        <v>5869</v>
      </c>
      <c r="I1703" s="125" t="s">
        <v>5869</v>
      </c>
    </row>
    <row r="1704" spans="1:9" x14ac:dyDescent="0.25">
      <c r="A1704" s="125" t="s">
        <v>2478</v>
      </c>
      <c r="B1704" s="125" t="s">
        <v>5556</v>
      </c>
      <c r="C1704" s="125">
        <v>291</v>
      </c>
      <c r="D1704" s="125" t="s">
        <v>5557</v>
      </c>
      <c r="E1704" s="125" t="s">
        <v>5341</v>
      </c>
      <c r="F1704" s="140" t="s">
        <v>5342</v>
      </c>
      <c r="G1704" s="125" t="s">
        <v>5297</v>
      </c>
      <c r="H1704" s="125" t="s">
        <v>1160</v>
      </c>
      <c r="I1704" s="125" t="s">
        <v>3536</v>
      </c>
    </row>
    <row r="1705" spans="1:9" x14ac:dyDescent="0.25">
      <c r="A1705" s="125" t="s">
        <v>1161</v>
      </c>
      <c r="B1705" s="125" t="s">
        <v>5556</v>
      </c>
      <c r="C1705" s="125">
        <v>291</v>
      </c>
      <c r="D1705" s="125" t="s">
        <v>5557</v>
      </c>
      <c r="E1705" s="125" t="s">
        <v>5341</v>
      </c>
      <c r="F1705" s="140" t="s">
        <v>5342</v>
      </c>
      <c r="G1705" s="125" t="s">
        <v>5297</v>
      </c>
      <c r="H1705" s="125" t="s">
        <v>1160</v>
      </c>
      <c r="I1705" s="125" t="s">
        <v>3536</v>
      </c>
    </row>
    <row r="1706" spans="1:9" x14ac:dyDescent="0.25">
      <c r="A1706" s="125" t="s">
        <v>5952</v>
      </c>
      <c r="B1706" s="125" t="s">
        <v>5556</v>
      </c>
      <c r="C1706" s="125">
        <v>291</v>
      </c>
      <c r="D1706" s="125" t="s">
        <v>5557</v>
      </c>
      <c r="E1706" s="125" t="s">
        <v>5341</v>
      </c>
      <c r="F1706" s="140" t="s">
        <v>5342</v>
      </c>
      <c r="G1706" s="125" t="s">
        <v>5297</v>
      </c>
      <c r="H1706" s="125" t="s">
        <v>1418</v>
      </c>
      <c r="I1706" s="125" t="s">
        <v>3536</v>
      </c>
    </row>
    <row r="1707" spans="1:9" x14ac:dyDescent="0.25">
      <c r="A1707" s="125" t="s">
        <v>5953</v>
      </c>
      <c r="B1707" s="125" t="s">
        <v>5556</v>
      </c>
      <c r="C1707" s="125">
        <v>291</v>
      </c>
      <c r="D1707" s="125" t="s">
        <v>5557</v>
      </c>
      <c r="E1707" s="125" t="s">
        <v>5341</v>
      </c>
      <c r="F1707" s="140" t="s">
        <v>5342</v>
      </c>
      <c r="G1707" s="125" t="s">
        <v>5297</v>
      </c>
      <c r="H1707" s="125" t="s">
        <v>1418</v>
      </c>
      <c r="I1707" s="125" t="s">
        <v>3536</v>
      </c>
    </row>
    <row r="1708" spans="1:9" x14ac:dyDescent="0.25">
      <c r="A1708" s="125" t="s">
        <v>2360</v>
      </c>
      <c r="B1708" s="125" t="s">
        <v>5878</v>
      </c>
      <c r="C1708" s="125">
        <v>280</v>
      </c>
      <c r="D1708" s="125" t="s">
        <v>5879</v>
      </c>
      <c r="E1708" s="125" t="s">
        <v>5341</v>
      </c>
      <c r="F1708" s="140" t="s">
        <v>5342</v>
      </c>
      <c r="G1708" s="125" t="s">
        <v>5297</v>
      </c>
      <c r="H1708" s="125" t="s">
        <v>1063</v>
      </c>
      <c r="I1708" s="125" t="s">
        <v>5565</v>
      </c>
    </row>
    <row r="1709" spans="1:9" x14ac:dyDescent="0.25">
      <c r="A1709" s="125" t="s">
        <v>1577</v>
      </c>
      <c r="B1709" s="125" t="s">
        <v>5876</v>
      </c>
      <c r="C1709" s="125">
        <v>282</v>
      </c>
      <c r="D1709" s="125" t="s">
        <v>5529</v>
      </c>
      <c r="E1709" s="125" t="s">
        <v>5341</v>
      </c>
      <c r="F1709" s="140" t="s">
        <v>5342</v>
      </c>
      <c r="G1709" s="125" t="s">
        <v>5297</v>
      </c>
      <c r="H1709" s="125" t="s">
        <v>5541</v>
      </c>
      <c r="I1709" s="125" t="s">
        <v>3487</v>
      </c>
    </row>
    <row r="1710" spans="1:9" x14ac:dyDescent="0.25">
      <c r="A1710" s="125" t="s">
        <v>2361</v>
      </c>
      <c r="B1710" s="125" t="s">
        <v>5878</v>
      </c>
      <c r="C1710" s="125">
        <v>280</v>
      </c>
      <c r="D1710" s="125" t="s">
        <v>5879</v>
      </c>
      <c r="E1710" s="125" t="s">
        <v>5341</v>
      </c>
      <c r="F1710" s="140" t="s">
        <v>5342</v>
      </c>
      <c r="G1710" s="125" t="s">
        <v>5297</v>
      </c>
      <c r="H1710" s="125" t="s">
        <v>1063</v>
      </c>
      <c r="I1710" s="125" t="s">
        <v>5565</v>
      </c>
    </row>
    <row r="1711" spans="1:9" x14ac:dyDescent="0.25">
      <c r="A1711" s="125" t="s">
        <v>1173</v>
      </c>
      <c r="B1711" s="125" t="s">
        <v>5878</v>
      </c>
      <c r="C1711" s="125">
        <v>280</v>
      </c>
      <c r="D1711" s="125" t="s">
        <v>5879</v>
      </c>
      <c r="E1711" s="125" t="s">
        <v>5341</v>
      </c>
      <c r="F1711" s="140" t="s">
        <v>5342</v>
      </c>
      <c r="G1711" s="125" t="s">
        <v>5297</v>
      </c>
      <c r="H1711" s="125" t="s">
        <v>5954</v>
      </c>
      <c r="I1711" s="125" t="s">
        <v>5565</v>
      </c>
    </row>
    <row r="1712" spans="1:9" x14ac:dyDescent="0.25">
      <c r="A1712" s="125" t="s">
        <v>2072</v>
      </c>
      <c r="B1712" s="125" t="s">
        <v>5878</v>
      </c>
      <c r="C1712" s="125">
        <v>280</v>
      </c>
      <c r="D1712" s="125" t="s">
        <v>5879</v>
      </c>
      <c r="E1712" s="125" t="s">
        <v>5341</v>
      </c>
      <c r="F1712" s="140" t="s">
        <v>5342</v>
      </c>
      <c r="G1712" s="125" t="s">
        <v>5297</v>
      </c>
      <c r="H1712" s="125" t="s">
        <v>5954</v>
      </c>
      <c r="I1712" s="125" t="s">
        <v>5565</v>
      </c>
    </row>
    <row r="1713" spans="1:9" x14ac:dyDescent="0.25">
      <c r="A1713" s="125" t="s">
        <v>2439</v>
      </c>
      <c r="B1713" s="125" t="s">
        <v>5878</v>
      </c>
      <c r="C1713" s="125">
        <v>280</v>
      </c>
      <c r="D1713" s="125" t="s">
        <v>5879</v>
      </c>
      <c r="E1713" s="125" t="s">
        <v>5341</v>
      </c>
      <c r="F1713" s="140" t="s">
        <v>5342</v>
      </c>
      <c r="G1713" s="125" t="s">
        <v>5297</v>
      </c>
      <c r="H1713" s="125" t="s">
        <v>5955</v>
      </c>
      <c r="I1713" s="125" t="s">
        <v>5565</v>
      </c>
    </row>
    <row r="1714" spans="1:9" x14ac:dyDescent="0.25">
      <c r="A1714" s="125" t="s">
        <v>1400</v>
      </c>
      <c r="B1714" s="125" t="s">
        <v>5878</v>
      </c>
      <c r="C1714" s="125">
        <v>280</v>
      </c>
      <c r="D1714" s="125" t="s">
        <v>5879</v>
      </c>
      <c r="E1714" s="125" t="s">
        <v>5341</v>
      </c>
      <c r="F1714" s="140" t="s">
        <v>5342</v>
      </c>
      <c r="G1714" s="125" t="s">
        <v>5297</v>
      </c>
      <c r="H1714" s="125" t="s">
        <v>5956</v>
      </c>
      <c r="I1714" s="125" t="s">
        <v>5565</v>
      </c>
    </row>
    <row r="1715" spans="1:9" x14ac:dyDescent="0.25">
      <c r="A1715" s="125" t="s">
        <v>1129</v>
      </c>
      <c r="B1715" s="125" t="s">
        <v>5876</v>
      </c>
      <c r="C1715" s="125">
        <v>282</v>
      </c>
      <c r="D1715" s="125" t="s">
        <v>5529</v>
      </c>
      <c r="E1715" s="125" t="s">
        <v>5341</v>
      </c>
      <c r="F1715" s="140" t="s">
        <v>5342</v>
      </c>
      <c r="G1715" s="125" t="s">
        <v>5297</v>
      </c>
      <c r="H1715" s="125" t="s">
        <v>5957</v>
      </c>
      <c r="I1715" s="125" t="s">
        <v>5565</v>
      </c>
    </row>
    <row r="1716" spans="1:9" x14ac:dyDescent="0.25">
      <c r="A1716" s="125" t="s">
        <v>2268</v>
      </c>
      <c r="B1716" s="125" t="s">
        <v>5878</v>
      </c>
      <c r="C1716" s="125">
        <v>280</v>
      </c>
      <c r="D1716" s="125" t="s">
        <v>5879</v>
      </c>
      <c r="E1716" s="125" t="s">
        <v>5341</v>
      </c>
      <c r="F1716" s="140" t="s">
        <v>5342</v>
      </c>
      <c r="G1716" s="125" t="s">
        <v>5297</v>
      </c>
      <c r="H1716" s="125" t="s">
        <v>5956</v>
      </c>
      <c r="I1716" s="125" t="s">
        <v>5565</v>
      </c>
    </row>
    <row r="1717" spans="1:9" x14ac:dyDescent="0.25">
      <c r="A1717" s="125" t="s">
        <v>1576</v>
      </c>
      <c r="B1717" s="125" t="s">
        <v>5878</v>
      </c>
      <c r="C1717" s="125">
        <v>280</v>
      </c>
      <c r="D1717" s="125" t="s">
        <v>5879</v>
      </c>
      <c r="E1717" s="125" t="s">
        <v>5341</v>
      </c>
      <c r="F1717" s="140" t="s">
        <v>5342</v>
      </c>
      <c r="G1717" s="125" t="s">
        <v>5297</v>
      </c>
      <c r="H1717" s="125" t="s">
        <v>1205</v>
      </c>
      <c r="I1717" s="125" t="s">
        <v>5565</v>
      </c>
    </row>
    <row r="1718" spans="1:9" x14ac:dyDescent="0.25">
      <c r="A1718" s="125" t="s">
        <v>1206</v>
      </c>
      <c r="B1718" s="125" t="s">
        <v>5878</v>
      </c>
      <c r="C1718" s="125">
        <v>280</v>
      </c>
      <c r="D1718" s="125" t="s">
        <v>5879</v>
      </c>
      <c r="E1718" s="125" t="s">
        <v>5341</v>
      </c>
      <c r="F1718" s="140" t="s">
        <v>5342</v>
      </c>
      <c r="G1718" s="125" t="s">
        <v>5297</v>
      </c>
      <c r="H1718" s="125" t="s">
        <v>1205</v>
      </c>
      <c r="I1718" s="125" t="s">
        <v>5565</v>
      </c>
    </row>
    <row r="1719" spans="1:9" x14ac:dyDescent="0.25">
      <c r="A1719" s="125" t="s">
        <v>1860</v>
      </c>
      <c r="B1719" s="125" t="s">
        <v>5878</v>
      </c>
      <c r="C1719" s="125">
        <v>280</v>
      </c>
      <c r="D1719" s="125" t="s">
        <v>5879</v>
      </c>
      <c r="E1719" s="125" t="s">
        <v>5341</v>
      </c>
      <c r="F1719" s="140" t="s">
        <v>5342</v>
      </c>
      <c r="G1719" s="125" t="s">
        <v>5297</v>
      </c>
      <c r="H1719" s="125" t="s">
        <v>1063</v>
      </c>
      <c r="I1719" s="125" t="s">
        <v>5565</v>
      </c>
    </row>
    <row r="1720" spans="1:9" x14ac:dyDescent="0.25">
      <c r="A1720" s="125" t="s">
        <v>2926</v>
      </c>
      <c r="B1720" s="125" t="s">
        <v>5878</v>
      </c>
      <c r="C1720" s="125">
        <v>280</v>
      </c>
      <c r="D1720" s="125" t="s">
        <v>5879</v>
      </c>
      <c r="E1720" s="125" t="s">
        <v>5341</v>
      </c>
      <c r="F1720" s="140" t="s">
        <v>5342</v>
      </c>
      <c r="G1720" s="125" t="s">
        <v>5297</v>
      </c>
      <c r="H1720" s="125" t="s">
        <v>5564</v>
      </c>
      <c r="I1720" s="125" t="s">
        <v>5565</v>
      </c>
    </row>
    <row r="1721" spans="1:9" x14ac:dyDescent="0.25">
      <c r="A1721" s="125" t="s">
        <v>1471</v>
      </c>
      <c r="B1721" s="125" t="s">
        <v>5878</v>
      </c>
      <c r="C1721" s="125">
        <v>280</v>
      </c>
      <c r="D1721" s="125" t="s">
        <v>5879</v>
      </c>
      <c r="E1721" s="125" t="s">
        <v>5341</v>
      </c>
      <c r="F1721" s="140" t="s">
        <v>5342</v>
      </c>
      <c r="G1721" s="125" t="s">
        <v>5297</v>
      </c>
      <c r="H1721" s="125" t="s">
        <v>5955</v>
      </c>
      <c r="I1721" s="125" t="s">
        <v>5565</v>
      </c>
    </row>
    <row r="1722" spans="1:9" x14ac:dyDescent="0.25">
      <c r="A1722" s="125" t="s">
        <v>1659</v>
      </c>
      <c r="B1722" s="125" t="s">
        <v>5878</v>
      </c>
      <c r="C1722" s="125">
        <v>280</v>
      </c>
      <c r="D1722" s="125" t="s">
        <v>5879</v>
      </c>
      <c r="E1722" s="125" t="s">
        <v>5341</v>
      </c>
      <c r="F1722" s="140" t="s">
        <v>5342</v>
      </c>
      <c r="G1722" s="125" t="s">
        <v>5297</v>
      </c>
      <c r="H1722" s="125" t="s">
        <v>5955</v>
      </c>
      <c r="I1722" s="125" t="s">
        <v>5565</v>
      </c>
    </row>
    <row r="1723" spans="1:9" x14ac:dyDescent="0.25">
      <c r="A1723" s="125" t="s">
        <v>2025</v>
      </c>
      <c r="B1723" s="125" t="s">
        <v>5572</v>
      </c>
      <c r="C1723" s="125">
        <v>218</v>
      </c>
      <c r="D1723" s="125" t="s">
        <v>5573</v>
      </c>
      <c r="E1723" s="125" t="s">
        <v>5341</v>
      </c>
      <c r="F1723" s="140" t="s">
        <v>5342</v>
      </c>
      <c r="G1723" s="125" t="s">
        <v>5297</v>
      </c>
      <c r="H1723" s="125" t="s">
        <v>5564</v>
      </c>
      <c r="I1723" s="125" t="s">
        <v>5565</v>
      </c>
    </row>
    <row r="1724" spans="1:9" x14ac:dyDescent="0.25">
      <c r="A1724" s="125" t="s">
        <v>2685</v>
      </c>
      <c r="B1724" s="125" t="s">
        <v>5572</v>
      </c>
      <c r="C1724" s="125">
        <v>218</v>
      </c>
      <c r="D1724" s="125" t="s">
        <v>5573</v>
      </c>
      <c r="E1724" s="125" t="s">
        <v>5341</v>
      </c>
      <c r="F1724" s="140" t="s">
        <v>5342</v>
      </c>
      <c r="G1724" s="125" t="s">
        <v>5297</v>
      </c>
      <c r="H1724" s="125" t="s">
        <v>5955</v>
      </c>
      <c r="I1724" s="125" t="s">
        <v>5565</v>
      </c>
    </row>
    <row r="1725" spans="1:9" x14ac:dyDescent="0.25">
      <c r="A1725" s="125" t="s">
        <v>1333</v>
      </c>
      <c r="B1725" s="125" t="s">
        <v>5878</v>
      </c>
      <c r="C1725" s="125">
        <v>280</v>
      </c>
      <c r="D1725" s="125" t="s">
        <v>5879</v>
      </c>
      <c r="E1725" s="125" t="s">
        <v>5341</v>
      </c>
      <c r="F1725" s="140" t="s">
        <v>5342</v>
      </c>
      <c r="G1725" s="125" t="s">
        <v>5297</v>
      </c>
      <c r="H1725" s="125" t="s">
        <v>5955</v>
      </c>
      <c r="I1725" s="125" t="s">
        <v>5565</v>
      </c>
    </row>
    <row r="1726" spans="1:9" x14ac:dyDescent="0.25">
      <c r="A1726" s="125" t="s">
        <v>3436</v>
      </c>
      <c r="B1726" s="125" t="s">
        <v>5878</v>
      </c>
      <c r="C1726" s="125">
        <v>280</v>
      </c>
      <c r="D1726" s="125" t="s">
        <v>5879</v>
      </c>
      <c r="E1726" s="125" t="s">
        <v>5341</v>
      </c>
      <c r="F1726" s="140" t="s">
        <v>5342</v>
      </c>
      <c r="G1726" s="125" t="s">
        <v>5297</v>
      </c>
      <c r="H1726" s="125" t="s">
        <v>5958</v>
      </c>
      <c r="I1726" s="125" t="s">
        <v>5565</v>
      </c>
    </row>
    <row r="1727" spans="1:9" x14ac:dyDescent="0.25">
      <c r="A1727" s="125" t="s">
        <v>1859</v>
      </c>
      <c r="B1727" s="125" t="s">
        <v>5572</v>
      </c>
      <c r="C1727" s="125">
        <v>218</v>
      </c>
      <c r="D1727" s="125" t="s">
        <v>5573</v>
      </c>
      <c r="E1727" s="125" t="s">
        <v>5341</v>
      </c>
      <c r="F1727" s="140" t="s">
        <v>5342</v>
      </c>
      <c r="G1727" s="125" t="s">
        <v>5297</v>
      </c>
      <c r="H1727" s="125" t="s">
        <v>5959</v>
      </c>
      <c r="I1727" s="125" t="s">
        <v>3480</v>
      </c>
    </row>
    <row r="1728" spans="1:9" x14ac:dyDescent="0.25">
      <c r="A1728" s="125" t="s">
        <v>2125</v>
      </c>
      <c r="B1728" s="125" t="s">
        <v>5572</v>
      </c>
      <c r="C1728" s="125">
        <v>218</v>
      </c>
      <c r="D1728" s="125" t="s">
        <v>5573</v>
      </c>
      <c r="E1728" s="125" t="s">
        <v>5341</v>
      </c>
      <c r="F1728" s="140" t="s">
        <v>5342</v>
      </c>
      <c r="G1728" s="125" t="s">
        <v>5297</v>
      </c>
      <c r="H1728" s="125" t="s">
        <v>5959</v>
      </c>
      <c r="I1728" s="125" t="s">
        <v>3480</v>
      </c>
    </row>
    <row r="1729" spans="1:9" x14ac:dyDescent="0.25">
      <c r="A1729" s="125" t="s">
        <v>2347</v>
      </c>
      <c r="B1729" s="125" t="s">
        <v>5572</v>
      </c>
      <c r="C1729" s="125">
        <v>218</v>
      </c>
      <c r="D1729" s="125" t="s">
        <v>5573</v>
      </c>
      <c r="E1729" s="125" t="s">
        <v>5341</v>
      </c>
      <c r="F1729" s="140" t="s">
        <v>5342</v>
      </c>
      <c r="G1729" s="125" t="s">
        <v>5297</v>
      </c>
      <c r="H1729" s="125" t="s">
        <v>5959</v>
      </c>
      <c r="I1729" s="125" t="s">
        <v>3480</v>
      </c>
    </row>
    <row r="1730" spans="1:9" x14ac:dyDescent="0.25">
      <c r="A1730" s="125" t="s">
        <v>1977</v>
      </c>
      <c r="B1730" s="125" t="s">
        <v>5572</v>
      </c>
      <c r="C1730" s="125">
        <v>218</v>
      </c>
      <c r="D1730" s="125" t="s">
        <v>5573</v>
      </c>
      <c r="E1730" s="125" t="s">
        <v>5341</v>
      </c>
      <c r="F1730" s="140" t="s">
        <v>5342</v>
      </c>
      <c r="G1730" s="125" t="s">
        <v>5297</v>
      </c>
      <c r="H1730" s="125" t="s">
        <v>5905</v>
      </c>
      <c r="I1730" s="125" t="s">
        <v>3480</v>
      </c>
    </row>
    <row r="1731" spans="1:9" x14ac:dyDescent="0.25">
      <c r="A1731" s="125" t="s">
        <v>2569</v>
      </c>
      <c r="B1731" s="125" t="s">
        <v>5878</v>
      </c>
      <c r="C1731" s="125">
        <v>280</v>
      </c>
      <c r="D1731" s="125" t="s">
        <v>5879</v>
      </c>
      <c r="E1731" s="125" t="s">
        <v>5341</v>
      </c>
      <c r="F1731" s="140" t="s">
        <v>5342</v>
      </c>
      <c r="G1731" s="125" t="s">
        <v>5297</v>
      </c>
      <c r="H1731" s="125" t="s">
        <v>5958</v>
      </c>
      <c r="I1731" s="125" t="s">
        <v>5565</v>
      </c>
    </row>
    <row r="1732" spans="1:9" x14ac:dyDescent="0.25">
      <c r="A1732" s="125" t="s">
        <v>2174</v>
      </c>
      <c r="B1732" s="125" t="s">
        <v>5878</v>
      </c>
      <c r="C1732" s="125">
        <v>280</v>
      </c>
      <c r="D1732" s="125" t="s">
        <v>5879</v>
      </c>
      <c r="E1732" s="125" t="s">
        <v>5341</v>
      </c>
      <c r="F1732" s="140" t="s">
        <v>5342</v>
      </c>
      <c r="G1732" s="125" t="s">
        <v>5297</v>
      </c>
      <c r="H1732" s="125" t="s">
        <v>1063</v>
      </c>
      <c r="I1732" s="125" t="s">
        <v>5565</v>
      </c>
    </row>
    <row r="1733" spans="1:9" x14ac:dyDescent="0.25">
      <c r="A1733" s="125" t="s">
        <v>1222</v>
      </c>
      <c r="B1733" s="125" t="s">
        <v>5878</v>
      </c>
      <c r="C1733" s="125">
        <v>280</v>
      </c>
      <c r="D1733" s="125" t="s">
        <v>5879</v>
      </c>
      <c r="E1733" s="125" t="s">
        <v>5341</v>
      </c>
      <c r="F1733" s="140" t="s">
        <v>5342</v>
      </c>
      <c r="G1733" s="125" t="s">
        <v>5297</v>
      </c>
      <c r="H1733" s="125" t="s">
        <v>1063</v>
      </c>
      <c r="I1733" s="125" t="s">
        <v>5565</v>
      </c>
    </row>
    <row r="1734" spans="1:9" x14ac:dyDescent="0.25">
      <c r="A1734" s="125" t="s">
        <v>2266</v>
      </c>
      <c r="B1734" s="125" t="s">
        <v>5878</v>
      </c>
      <c r="C1734" s="125">
        <v>280</v>
      </c>
      <c r="D1734" s="125" t="s">
        <v>5879</v>
      </c>
      <c r="E1734" s="125" t="s">
        <v>5341</v>
      </c>
      <c r="F1734" s="140" t="s">
        <v>5342</v>
      </c>
      <c r="G1734" s="125" t="s">
        <v>5297</v>
      </c>
      <c r="H1734" s="125" t="s">
        <v>1063</v>
      </c>
      <c r="I1734" s="125" t="s">
        <v>5565</v>
      </c>
    </row>
    <row r="1735" spans="1:9" x14ac:dyDescent="0.25">
      <c r="A1735" s="125" t="s">
        <v>1220</v>
      </c>
      <c r="B1735" s="125" t="s">
        <v>5878</v>
      </c>
      <c r="C1735" s="125">
        <v>280</v>
      </c>
      <c r="D1735" s="125" t="s">
        <v>5879</v>
      </c>
      <c r="E1735" s="125" t="s">
        <v>5341</v>
      </c>
      <c r="F1735" s="140" t="s">
        <v>5342</v>
      </c>
      <c r="G1735" s="125" t="s">
        <v>5297</v>
      </c>
      <c r="H1735" s="125" t="s">
        <v>1063</v>
      </c>
      <c r="I1735" s="125" t="s">
        <v>5565</v>
      </c>
    </row>
    <row r="1736" spans="1:9" x14ac:dyDescent="0.25">
      <c r="A1736" s="125" t="s">
        <v>2287</v>
      </c>
      <c r="B1736" s="125" t="s">
        <v>5878</v>
      </c>
      <c r="C1736" s="125">
        <v>280</v>
      </c>
      <c r="D1736" s="125" t="s">
        <v>5879</v>
      </c>
      <c r="E1736" s="125" t="s">
        <v>5341</v>
      </c>
      <c r="F1736" s="140" t="s">
        <v>5342</v>
      </c>
      <c r="G1736" s="125" t="s">
        <v>5297</v>
      </c>
      <c r="H1736" s="125" t="s">
        <v>5957</v>
      </c>
      <c r="I1736" s="125" t="s">
        <v>5565</v>
      </c>
    </row>
    <row r="1737" spans="1:9" x14ac:dyDescent="0.25">
      <c r="A1737" s="125" t="s">
        <v>1746</v>
      </c>
      <c r="B1737" s="125" t="s">
        <v>5522</v>
      </c>
      <c r="C1737" s="125">
        <v>220</v>
      </c>
      <c r="D1737" s="125" t="s">
        <v>5523</v>
      </c>
      <c r="E1737" s="125" t="s">
        <v>5303</v>
      </c>
      <c r="F1737" s="125" t="s">
        <v>5304</v>
      </c>
      <c r="G1737" s="125" t="s">
        <v>5297</v>
      </c>
      <c r="H1737" s="125" t="s">
        <v>1146</v>
      </c>
      <c r="I1737" s="125" t="s">
        <v>5929</v>
      </c>
    </row>
    <row r="1738" spans="1:9" x14ac:dyDescent="0.25">
      <c r="A1738" s="125" t="s">
        <v>2274</v>
      </c>
      <c r="B1738" s="125" t="s">
        <v>5522</v>
      </c>
      <c r="C1738" s="125">
        <v>220</v>
      </c>
      <c r="D1738" s="125" t="s">
        <v>5523</v>
      </c>
      <c r="E1738" s="125" t="s">
        <v>5303</v>
      </c>
      <c r="F1738" s="125" t="s">
        <v>5304</v>
      </c>
      <c r="G1738" s="125" t="s">
        <v>5297</v>
      </c>
      <c r="H1738" s="125" t="s">
        <v>5960</v>
      </c>
      <c r="I1738" s="125" t="s">
        <v>5929</v>
      </c>
    </row>
    <row r="1739" spans="1:9" x14ac:dyDescent="0.25">
      <c r="A1739" s="125" t="s">
        <v>2799</v>
      </c>
      <c r="B1739" s="125" t="s">
        <v>5522</v>
      </c>
      <c r="C1739" s="125">
        <v>220</v>
      </c>
      <c r="D1739" s="125" t="s">
        <v>5523</v>
      </c>
      <c r="E1739" s="125" t="s">
        <v>5303</v>
      </c>
      <c r="F1739" s="125" t="s">
        <v>5304</v>
      </c>
      <c r="G1739" s="125" t="s">
        <v>5297</v>
      </c>
      <c r="H1739" s="125" t="s">
        <v>371</v>
      </c>
      <c r="I1739" s="125" t="s">
        <v>371</v>
      </c>
    </row>
    <row r="1740" spans="1:9" x14ac:dyDescent="0.25">
      <c r="A1740" s="125" t="s">
        <v>1776</v>
      </c>
      <c r="B1740" s="125" t="s">
        <v>5522</v>
      </c>
      <c r="C1740" s="125">
        <v>220</v>
      </c>
      <c r="D1740" s="125" t="s">
        <v>5523</v>
      </c>
      <c r="E1740" s="125" t="s">
        <v>5303</v>
      </c>
      <c r="F1740" s="125" t="s">
        <v>5304</v>
      </c>
      <c r="G1740" s="125" t="s">
        <v>5297</v>
      </c>
      <c r="H1740" s="125" t="s">
        <v>5928</v>
      </c>
      <c r="I1740" s="125" t="s">
        <v>5929</v>
      </c>
    </row>
    <row r="1741" spans="1:9" x14ac:dyDescent="0.25">
      <c r="A1741" s="125" t="s">
        <v>3029</v>
      </c>
      <c r="B1741" s="125" t="s">
        <v>5320</v>
      </c>
      <c r="C1741" s="125">
        <v>234</v>
      </c>
      <c r="D1741" s="125" t="s">
        <v>5321</v>
      </c>
      <c r="E1741" s="125" t="s">
        <v>5303</v>
      </c>
      <c r="F1741" s="125" t="s">
        <v>5304</v>
      </c>
      <c r="G1741" s="125" t="s">
        <v>5297</v>
      </c>
      <c r="H1741" s="125" t="s">
        <v>5928</v>
      </c>
      <c r="I1741" s="125" t="s">
        <v>5929</v>
      </c>
    </row>
    <row r="1742" spans="1:9" x14ac:dyDescent="0.25">
      <c r="A1742" s="125" t="s">
        <v>2629</v>
      </c>
      <c r="B1742" s="125" t="s">
        <v>5522</v>
      </c>
      <c r="C1742" s="125">
        <v>220</v>
      </c>
      <c r="D1742" s="125" t="s">
        <v>5523</v>
      </c>
      <c r="E1742" s="125" t="s">
        <v>5303</v>
      </c>
      <c r="F1742" s="125" t="s">
        <v>5304</v>
      </c>
      <c r="G1742" s="125" t="s">
        <v>5297</v>
      </c>
      <c r="H1742" s="125" t="s">
        <v>5960</v>
      </c>
      <c r="I1742" s="125" t="s">
        <v>5929</v>
      </c>
    </row>
    <row r="1743" spans="1:9" x14ac:dyDescent="0.25">
      <c r="A1743" s="125" t="s">
        <v>2037</v>
      </c>
      <c r="B1743" s="125" t="s">
        <v>5522</v>
      </c>
      <c r="C1743" s="125">
        <v>220</v>
      </c>
      <c r="D1743" s="125" t="s">
        <v>5523</v>
      </c>
      <c r="E1743" s="125" t="s">
        <v>5303</v>
      </c>
      <c r="F1743" s="125" t="s">
        <v>5304</v>
      </c>
      <c r="G1743" s="125" t="s">
        <v>5297</v>
      </c>
      <c r="H1743" s="125" t="s">
        <v>1141</v>
      </c>
      <c r="I1743" s="125" t="s">
        <v>5929</v>
      </c>
    </row>
    <row r="1744" spans="1:9" x14ac:dyDescent="0.25">
      <c r="A1744" s="125" t="s">
        <v>1142</v>
      </c>
      <c r="B1744" s="125" t="s">
        <v>5522</v>
      </c>
      <c r="C1744" s="125">
        <v>220</v>
      </c>
      <c r="D1744" s="125" t="s">
        <v>5523</v>
      </c>
      <c r="E1744" s="125" t="s">
        <v>5303</v>
      </c>
      <c r="F1744" s="125" t="s">
        <v>5304</v>
      </c>
      <c r="G1744" s="125" t="s">
        <v>5297</v>
      </c>
      <c r="H1744" s="125" t="s">
        <v>1141</v>
      </c>
      <c r="I1744" s="125" t="s">
        <v>5929</v>
      </c>
    </row>
    <row r="1745" spans="1:9" x14ac:dyDescent="0.25">
      <c r="A1745" s="125" t="s">
        <v>2429</v>
      </c>
      <c r="B1745" s="125" t="s">
        <v>5572</v>
      </c>
      <c r="C1745" s="125">
        <v>218</v>
      </c>
      <c r="D1745" s="125" t="s">
        <v>5573</v>
      </c>
      <c r="E1745" s="125" t="s">
        <v>5341</v>
      </c>
      <c r="F1745" s="140" t="s">
        <v>5342</v>
      </c>
      <c r="G1745" s="125" t="s">
        <v>5297</v>
      </c>
      <c r="H1745" s="125" t="s">
        <v>2428</v>
      </c>
      <c r="I1745" s="125" t="s">
        <v>5929</v>
      </c>
    </row>
    <row r="1746" spans="1:9" x14ac:dyDescent="0.25">
      <c r="A1746" s="125" t="s">
        <v>2802</v>
      </c>
      <c r="B1746" s="125" t="s">
        <v>5572</v>
      </c>
      <c r="C1746" s="125">
        <v>218</v>
      </c>
      <c r="D1746" s="125" t="s">
        <v>5573</v>
      </c>
      <c r="E1746" s="125" t="s">
        <v>5341</v>
      </c>
      <c r="F1746" s="140" t="s">
        <v>5342</v>
      </c>
      <c r="G1746" s="125" t="s">
        <v>5297</v>
      </c>
      <c r="H1746" s="125" t="s">
        <v>2428</v>
      </c>
      <c r="I1746" s="125" t="s">
        <v>5929</v>
      </c>
    </row>
    <row r="1747" spans="1:9" x14ac:dyDescent="0.25">
      <c r="A1747" s="125" t="s">
        <v>2543</v>
      </c>
      <c r="B1747" s="125" t="s">
        <v>5522</v>
      </c>
      <c r="C1747" s="125">
        <v>220</v>
      </c>
      <c r="D1747" s="125" t="s">
        <v>5523</v>
      </c>
      <c r="E1747" s="125" t="s">
        <v>5303</v>
      </c>
      <c r="F1747" s="125" t="s">
        <v>5304</v>
      </c>
      <c r="G1747" s="125" t="s">
        <v>5297</v>
      </c>
      <c r="H1747" s="125" t="s">
        <v>1146</v>
      </c>
      <c r="I1747" s="125" t="s">
        <v>5929</v>
      </c>
    </row>
    <row r="1748" spans="1:9" x14ac:dyDescent="0.25">
      <c r="A1748" s="125" t="s">
        <v>3037</v>
      </c>
      <c r="B1748" s="125" t="s">
        <v>5522</v>
      </c>
      <c r="C1748" s="125">
        <v>220</v>
      </c>
      <c r="D1748" s="125" t="s">
        <v>5523</v>
      </c>
      <c r="E1748" s="125" t="s">
        <v>5303</v>
      </c>
      <c r="F1748" s="125" t="s">
        <v>5304</v>
      </c>
      <c r="G1748" s="125" t="s">
        <v>5297</v>
      </c>
      <c r="H1748" s="125" t="s">
        <v>1383</v>
      </c>
      <c r="I1748" s="125" t="s">
        <v>3468</v>
      </c>
    </row>
    <row r="1749" spans="1:9" x14ac:dyDescent="0.25">
      <c r="A1749" s="125" t="s">
        <v>2199</v>
      </c>
      <c r="B1749" s="125" t="s">
        <v>5522</v>
      </c>
      <c r="C1749" s="125">
        <v>220</v>
      </c>
      <c r="D1749" s="125" t="s">
        <v>5523</v>
      </c>
      <c r="E1749" s="125" t="s">
        <v>5303</v>
      </c>
      <c r="F1749" s="125" t="s">
        <v>5304</v>
      </c>
      <c r="G1749" s="125" t="s">
        <v>5297</v>
      </c>
      <c r="H1749" s="125" t="s">
        <v>1146</v>
      </c>
      <c r="I1749" s="125" t="s">
        <v>5929</v>
      </c>
    </row>
    <row r="1750" spans="1:9" x14ac:dyDescent="0.25">
      <c r="A1750" s="125" t="s">
        <v>2473</v>
      </c>
      <c r="B1750" s="125" t="s">
        <v>5522</v>
      </c>
      <c r="C1750" s="125">
        <v>220</v>
      </c>
      <c r="D1750" s="125" t="s">
        <v>5523</v>
      </c>
      <c r="E1750" s="125" t="s">
        <v>5303</v>
      </c>
      <c r="F1750" s="125" t="s">
        <v>5304</v>
      </c>
      <c r="G1750" s="125" t="s">
        <v>5297</v>
      </c>
      <c r="H1750" s="125" t="s">
        <v>1146</v>
      </c>
      <c r="I1750" s="125" t="s">
        <v>5929</v>
      </c>
    </row>
    <row r="1751" spans="1:9" x14ac:dyDescent="0.25">
      <c r="A1751" s="125" t="s">
        <v>1858</v>
      </c>
      <c r="B1751" s="125" t="s">
        <v>5522</v>
      </c>
      <c r="C1751" s="125">
        <v>220</v>
      </c>
      <c r="D1751" s="125" t="s">
        <v>5523</v>
      </c>
      <c r="E1751" s="125" t="s">
        <v>5303</v>
      </c>
      <c r="F1751" s="125" t="s">
        <v>5304</v>
      </c>
      <c r="G1751" s="125" t="s">
        <v>5297</v>
      </c>
      <c r="H1751" s="125" t="s">
        <v>1146</v>
      </c>
      <c r="I1751" s="125" t="s">
        <v>5929</v>
      </c>
    </row>
    <row r="1752" spans="1:9" x14ac:dyDescent="0.25">
      <c r="A1752" s="125" t="s">
        <v>1147</v>
      </c>
      <c r="B1752" s="125" t="s">
        <v>5522</v>
      </c>
      <c r="C1752" s="125">
        <v>220</v>
      </c>
      <c r="D1752" s="125" t="s">
        <v>5523</v>
      </c>
      <c r="E1752" s="125" t="s">
        <v>5303</v>
      </c>
      <c r="F1752" s="125" t="s">
        <v>5304</v>
      </c>
      <c r="G1752" s="125" t="s">
        <v>5297</v>
      </c>
      <c r="H1752" s="125" t="s">
        <v>2798</v>
      </c>
      <c r="I1752" s="125" t="s">
        <v>5929</v>
      </c>
    </row>
    <row r="1753" spans="1:9" x14ac:dyDescent="0.25">
      <c r="A1753" s="125" t="s">
        <v>2970</v>
      </c>
      <c r="B1753" s="125" t="s">
        <v>5522</v>
      </c>
      <c r="C1753" s="125">
        <v>220</v>
      </c>
      <c r="D1753" s="125" t="s">
        <v>5523</v>
      </c>
      <c r="E1753" s="125" t="s">
        <v>5303</v>
      </c>
      <c r="F1753" s="125" t="s">
        <v>5304</v>
      </c>
      <c r="G1753" s="125" t="s">
        <v>5297</v>
      </c>
      <c r="H1753" s="125" t="s">
        <v>5928</v>
      </c>
      <c r="I1753" s="125" t="s">
        <v>5929</v>
      </c>
    </row>
    <row r="1754" spans="1:9" x14ac:dyDescent="0.25">
      <c r="A1754" s="125" t="s">
        <v>2210</v>
      </c>
      <c r="B1754" s="125" t="s">
        <v>5522</v>
      </c>
      <c r="C1754" s="125">
        <v>220</v>
      </c>
      <c r="D1754" s="125" t="s">
        <v>5523</v>
      </c>
      <c r="E1754" s="125" t="s">
        <v>5303</v>
      </c>
      <c r="F1754" s="125" t="s">
        <v>5304</v>
      </c>
      <c r="G1754" s="125" t="s">
        <v>5297</v>
      </c>
      <c r="H1754" s="125" t="s">
        <v>2209</v>
      </c>
      <c r="I1754" s="125" t="s">
        <v>5929</v>
      </c>
    </row>
    <row r="1755" spans="1:9" x14ac:dyDescent="0.25">
      <c r="A1755" s="125" t="s">
        <v>2675</v>
      </c>
      <c r="B1755" s="125" t="s">
        <v>5522</v>
      </c>
      <c r="C1755" s="125">
        <v>220</v>
      </c>
      <c r="D1755" s="125" t="s">
        <v>5523</v>
      </c>
      <c r="E1755" s="125" t="s">
        <v>5303</v>
      </c>
      <c r="F1755" s="125" t="s">
        <v>5304</v>
      </c>
      <c r="G1755" s="125" t="s">
        <v>5297</v>
      </c>
      <c r="H1755" s="125" t="s">
        <v>2209</v>
      </c>
      <c r="I1755" s="125" t="s">
        <v>5929</v>
      </c>
    </row>
    <row r="1756" spans="1:9" x14ac:dyDescent="0.25">
      <c r="A1756" s="125" t="s">
        <v>2745</v>
      </c>
      <c r="B1756" s="125" t="s">
        <v>5327</v>
      </c>
      <c r="C1756" s="125">
        <v>227</v>
      </c>
      <c r="D1756" s="125" t="s">
        <v>5328</v>
      </c>
      <c r="E1756" s="125" t="s">
        <v>5303</v>
      </c>
      <c r="F1756" s="125" t="s">
        <v>5304</v>
      </c>
      <c r="G1756" s="125" t="s">
        <v>5297</v>
      </c>
      <c r="H1756" s="125" t="s">
        <v>1587</v>
      </c>
      <c r="I1756" s="125" t="s">
        <v>5492</v>
      </c>
    </row>
    <row r="1757" spans="1:9" x14ac:dyDescent="0.25">
      <c r="A1757" s="125" t="s">
        <v>2834</v>
      </c>
      <c r="B1757" s="125" t="s">
        <v>5327</v>
      </c>
      <c r="C1757" s="125">
        <v>227</v>
      </c>
      <c r="D1757" s="125" t="s">
        <v>5328</v>
      </c>
      <c r="E1757" s="125" t="s">
        <v>5303</v>
      </c>
      <c r="F1757" s="125" t="s">
        <v>5304</v>
      </c>
      <c r="G1757" s="125" t="s">
        <v>5297</v>
      </c>
      <c r="H1757" s="125" t="s">
        <v>1092</v>
      </c>
      <c r="I1757" s="125" t="s">
        <v>1092</v>
      </c>
    </row>
    <row r="1758" spans="1:9" x14ac:dyDescent="0.25">
      <c r="A1758" s="125" t="s">
        <v>2403</v>
      </c>
      <c r="B1758" s="125" t="s">
        <v>5327</v>
      </c>
      <c r="C1758" s="125">
        <v>227</v>
      </c>
      <c r="D1758" s="125" t="s">
        <v>5328</v>
      </c>
      <c r="E1758" s="125" t="s">
        <v>5303</v>
      </c>
      <c r="F1758" s="125" t="s">
        <v>5304</v>
      </c>
      <c r="G1758" s="125" t="s">
        <v>5297</v>
      </c>
      <c r="H1758" s="125" t="s">
        <v>1092</v>
      </c>
      <c r="I1758" s="125" t="s">
        <v>1092</v>
      </c>
    </row>
    <row r="1759" spans="1:9" x14ac:dyDescent="0.25">
      <c r="A1759" s="125" t="s">
        <v>2038</v>
      </c>
      <c r="B1759" s="125" t="s">
        <v>5327</v>
      </c>
      <c r="C1759" s="125">
        <v>227</v>
      </c>
      <c r="D1759" s="125" t="s">
        <v>5328</v>
      </c>
      <c r="E1759" s="125" t="s">
        <v>5303</v>
      </c>
      <c r="F1759" s="125" t="s">
        <v>5304</v>
      </c>
      <c r="G1759" s="125" t="s">
        <v>5297</v>
      </c>
      <c r="H1759" s="125" t="s">
        <v>1092</v>
      </c>
      <c r="I1759" s="125" t="s">
        <v>1092</v>
      </c>
    </row>
    <row r="1760" spans="1:9" x14ac:dyDescent="0.25">
      <c r="A1760" s="125" t="s">
        <v>3166</v>
      </c>
      <c r="B1760" s="125" t="s">
        <v>5327</v>
      </c>
      <c r="C1760" s="125">
        <v>227</v>
      </c>
      <c r="D1760" s="125" t="s">
        <v>5328</v>
      </c>
      <c r="E1760" s="125" t="s">
        <v>5303</v>
      </c>
      <c r="F1760" s="125" t="s">
        <v>5304</v>
      </c>
      <c r="G1760" s="125" t="s">
        <v>5297</v>
      </c>
      <c r="H1760" s="125" t="s">
        <v>1092</v>
      </c>
      <c r="I1760" s="125" t="s">
        <v>1092</v>
      </c>
    </row>
    <row r="1761" spans="1:9" x14ac:dyDescent="0.25">
      <c r="A1761" s="125" t="s">
        <v>3038</v>
      </c>
      <c r="B1761" s="125" t="s">
        <v>5327</v>
      </c>
      <c r="C1761" s="125">
        <v>227</v>
      </c>
      <c r="D1761" s="125" t="s">
        <v>5328</v>
      </c>
      <c r="E1761" s="125" t="s">
        <v>5303</v>
      </c>
      <c r="F1761" s="125" t="s">
        <v>5304</v>
      </c>
      <c r="G1761" s="125" t="s">
        <v>5297</v>
      </c>
      <c r="H1761" s="125" t="s">
        <v>1092</v>
      </c>
      <c r="I1761" s="125" t="s">
        <v>1092</v>
      </c>
    </row>
    <row r="1762" spans="1:9" x14ac:dyDescent="0.25">
      <c r="A1762" s="125" t="s">
        <v>2101</v>
      </c>
      <c r="B1762" s="125" t="s">
        <v>5327</v>
      </c>
      <c r="C1762" s="125">
        <v>227</v>
      </c>
      <c r="D1762" s="125" t="s">
        <v>5328</v>
      </c>
      <c r="E1762" s="125" t="s">
        <v>5303</v>
      </c>
      <c r="F1762" s="125" t="s">
        <v>5304</v>
      </c>
      <c r="G1762" s="125" t="s">
        <v>5297</v>
      </c>
      <c r="H1762" s="125" t="s">
        <v>1587</v>
      </c>
      <c r="I1762" s="125" t="s">
        <v>5492</v>
      </c>
    </row>
    <row r="1763" spans="1:9" x14ac:dyDescent="0.25">
      <c r="A1763" s="125" t="s">
        <v>1959</v>
      </c>
      <c r="B1763" s="125" t="s">
        <v>5327</v>
      </c>
      <c r="C1763" s="125">
        <v>227</v>
      </c>
      <c r="D1763" s="125" t="s">
        <v>5328</v>
      </c>
      <c r="E1763" s="125" t="s">
        <v>5303</v>
      </c>
      <c r="F1763" s="125" t="s">
        <v>5304</v>
      </c>
      <c r="G1763" s="125" t="s">
        <v>5297</v>
      </c>
      <c r="H1763" s="125" t="s">
        <v>1587</v>
      </c>
      <c r="I1763" s="125" t="s">
        <v>5492</v>
      </c>
    </row>
    <row r="1764" spans="1:9" x14ac:dyDescent="0.25">
      <c r="A1764" s="125" t="s">
        <v>1588</v>
      </c>
      <c r="B1764" s="125" t="s">
        <v>5327</v>
      </c>
      <c r="C1764" s="125">
        <v>227</v>
      </c>
      <c r="D1764" s="125" t="s">
        <v>5328</v>
      </c>
      <c r="E1764" s="125" t="s">
        <v>5303</v>
      </c>
      <c r="F1764" s="125" t="s">
        <v>5304</v>
      </c>
      <c r="G1764" s="125" t="s">
        <v>5297</v>
      </c>
      <c r="H1764" s="125" t="s">
        <v>1587</v>
      </c>
      <c r="I1764" s="125" t="s">
        <v>5492</v>
      </c>
    </row>
    <row r="1765" spans="1:9" x14ac:dyDescent="0.25">
      <c r="A1765" s="125" t="s">
        <v>1372</v>
      </c>
      <c r="B1765" s="125" t="s">
        <v>5327</v>
      </c>
      <c r="C1765" s="125">
        <v>227</v>
      </c>
      <c r="D1765" s="125" t="s">
        <v>5328</v>
      </c>
      <c r="E1765" s="125" t="s">
        <v>5303</v>
      </c>
      <c r="F1765" s="125" t="s">
        <v>5304</v>
      </c>
      <c r="G1765" s="125" t="s">
        <v>5297</v>
      </c>
      <c r="H1765" s="125" t="s">
        <v>1092</v>
      </c>
      <c r="I1765" s="125" t="s">
        <v>1092</v>
      </c>
    </row>
    <row r="1766" spans="1:9" x14ac:dyDescent="0.25">
      <c r="A1766" s="125" t="s">
        <v>3125</v>
      </c>
      <c r="B1766" s="125" t="s">
        <v>5327</v>
      </c>
      <c r="C1766" s="125">
        <v>227</v>
      </c>
      <c r="D1766" s="125" t="s">
        <v>5328</v>
      </c>
      <c r="E1766" s="125" t="s">
        <v>5303</v>
      </c>
      <c r="F1766" s="125" t="s">
        <v>5304</v>
      </c>
      <c r="G1766" s="125" t="s">
        <v>5297</v>
      </c>
      <c r="H1766" s="125" t="s">
        <v>1092</v>
      </c>
      <c r="I1766" s="125" t="s">
        <v>1092</v>
      </c>
    </row>
    <row r="1767" spans="1:9" x14ac:dyDescent="0.25">
      <c r="A1767" s="125" t="s">
        <v>5961</v>
      </c>
      <c r="B1767" s="125" t="s">
        <v>5327</v>
      </c>
      <c r="C1767" s="125">
        <v>227</v>
      </c>
      <c r="D1767" s="125" t="s">
        <v>5328</v>
      </c>
      <c r="E1767" s="125" t="s">
        <v>5303</v>
      </c>
      <c r="F1767" s="125" t="s">
        <v>5304</v>
      </c>
      <c r="G1767" s="125" t="s">
        <v>5297</v>
      </c>
      <c r="H1767" s="125" t="s">
        <v>1092</v>
      </c>
      <c r="I1767" s="125" t="s">
        <v>1092</v>
      </c>
    </row>
    <row r="1768" spans="1:9" x14ac:dyDescent="0.25">
      <c r="A1768" s="125" t="s">
        <v>2339</v>
      </c>
      <c r="B1768" s="125" t="s">
        <v>5327</v>
      </c>
      <c r="C1768" s="125">
        <v>227</v>
      </c>
      <c r="D1768" s="125" t="s">
        <v>5328</v>
      </c>
      <c r="E1768" s="125" t="s">
        <v>5303</v>
      </c>
      <c r="F1768" s="125" t="s">
        <v>5304</v>
      </c>
      <c r="G1768" s="125" t="s">
        <v>5297</v>
      </c>
      <c r="H1768" s="125" t="s">
        <v>1092</v>
      </c>
      <c r="I1768" s="125" t="s">
        <v>1092</v>
      </c>
    </row>
    <row r="1769" spans="1:9" x14ac:dyDescent="0.25">
      <c r="A1769" s="125" t="s">
        <v>2645</v>
      </c>
      <c r="B1769" s="125" t="s">
        <v>5327</v>
      </c>
      <c r="C1769" s="125">
        <v>227</v>
      </c>
      <c r="D1769" s="125" t="s">
        <v>5328</v>
      </c>
      <c r="E1769" s="125" t="s">
        <v>5303</v>
      </c>
      <c r="F1769" s="125" t="s">
        <v>5304</v>
      </c>
      <c r="G1769" s="125" t="s">
        <v>5297</v>
      </c>
      <c r="H1769" s="125" t="s">
        <v>1092</v>
      </c>
      <c r="I1769" s="125" t="s">
        <v>1092</v>
      </c>
    </row>
    <row r="1770" spans="1:9" x14ac:dyDescent="0.25">
      <c r="A1770" s="125" t="s">
        <v>1451</v>
      </c>
      <c r="B1770" s="125" t="s">
        <v>5327</v>
      </c>
      <c r="C1770" s="125">
        <v>227</v>
      </c>
      <c r="D1770" s="125" t="s">
        <v>5328</v>
      </c>
      <c r="E1770" s="125" t="s">
        <v>5303</v>
      </c>
      <c r="F1770" s="125" t="s">
        <v>5304</v>
      </c>
      <c r="G1770" s="125" t="s">
        <v>5297</v>
      </c>
      <c r="H1770" s="125" t="s">
        <v>5492</v>
      </c>
      <c r="I1770" s="125" t="s">
        <v>5492</v>
      </c>
    </row>
    <row r="1771" spans="1:9" x14ac:dyDescent="0.25">
      <c r="A1771" s="125" t="s">
        <v>1903</v>
      </c>
      <c r="B1771" s="125" t="s">
        <v>5327</v>
      </c>
      <c r="C1771" s="125">
        <v>227</v>
      </c>
      <c r="D1771" s="125" t="s">
        <v>5328</v>
      </c>
      <c r="E1771" s="125" t="s">
        <v>5303</v>
      </c>
      <c r="F1771" s="125" t="s">
        <v>5304</v>
      </c>
      <c r="G1771" s="125" t="s">
        <v>5297</v>
      </c>
      <c r="H1771" s="125" t="s">
        <v>1092</v>
      </c>
      <c r="I1771" s="125" t="s">
        <v>1092</v>
      </c>
    </row>
    <row r="1772" spans="1:9" x14ac:dyDescent="0.25">
      <c r="A1772" s="125" t="s">
        <v>2211</v>
      </c>
      <c r="B1772" s="125" t="s">
        <v>5327</v>
      </c>
      <c r="C1772" s="125">
        <v>227</v>
      </c>
      <c r="D1772" s="125" t="s">
        <v>5328</v>
      </c>
      <c r="E1772" s="125" t="s">
        <v>5303</v>
      </c>
      <c r="F1772" s="125" t="s">
        <v>5304</v>
      </c>
      <c r="G1772" s="125" t="s">
        <v>5297</v>
      </c>
      <c r="H1772" s="125" t="s">
        <v>5492</v>
      </c>
      <c r="I1772" s="125" t="s">
        <v>5492</v>
      </c>
    </row>
    <row r="1773" spans="1:9" x14ac:dyDescent="0.25">
      <c r="A1773" s="125" t="s">
        <v>3489</v>
      </c>
      <c r="B1773" s="125" t="s">
        <v>5327</v>
      </c>
      <c r="C1773" s="125">
        <v>227</v>
      </c>
      <c r="D1773" s="125" t="s">
        <v>5328</v>
      </c>
      <c r="E1773" s="125" t="s">
        <v>5303</v>
      </c>
      <c r="F1773" s="125" t="s">
        <v>5304</v>
      </c>
      <c r="G1773" s="125" t="s">
        <v>5297</v>
      </c>
      <c r="H1773" s="125" t="s">
        <v>1092</v>
      </c>
      <c r="I1773" s="125" t="s">
        <v>1092</v>
      </c>
    </row>
    <row r="1774" spans="1:9" x14ac:dyDescent="0.25">
      <c r="A1774" s="125" t="s">
        <v>1511</v>
      </c>
      <c r="B1774" s="125" t="s">
        <v>5962</v>
      </c>
      <c r="C1774" s="125">
        <v>205</v>
      </c>
      <c r="D1774" s="125" t="s">
        <v>5963</v>
      </c>
      <c r="E1774" s="125" t="s">
        <v>5476</v>
      </c>
      <c r="F1774" s="140" t="s">
        <v>5477</v>
      </c>
      <c r="G1774" s="125" t="s">
        <v>5297</v>
      </c>
      <c r="H1774" s="125" t="s">
        <v>255</v>
      </c>
      <c r="I1774" s="125" t="s">
        <v>55</v>
      </c>
    </row>
    <row r="1775" spans="1:9" x14ac:dyDescent="0.25">
      <c r="A1775" s="125" t="s">
        <v>640</v>
      </c>
      <c r="B1775" s="125" t="s">
        <v>5964</v>
      </c>
      <c r="C1775" s="125">
        <v>204</v>
      </c>
      <c r="D1775" s="125" t="s">
        <v>5965</v>
      </c>
      <c r="E1775" s="125" t="s">
        <v>5476</v>
      </c>
      <c r="F1775" s="140" t="s">
        <v>5477</v>
      </c>
      <c r="G1775" s="125" t="s">
        <v>5297</v>
      </c>
      <c r="H1775" s="125" t="s">
        <v>5966</v>
      </c>
      <c r="I1775" s="125" t="s">
        <v>55</v>
      </c>
    </row>
    <row r="1776" spans="1:9" x14ac:dyDescent="0.25">
      <c r="A1776" s="125" t="s">
        <v>546</v>
      </c>
      <c r="B1776" s="125" t="s">
        <v>5964</v>
      </c>
      <c r="C1776" s="125">
        <v>204</v>
      </c>
      <c r="D1776" s="125" t="s">
        <v>5965</v>
      </c>
      <c r="E1776" s="125" t="s">
        <v>5476</v>
      </c>
      <c r="F1776" s="140" t="s">
        <v>5477</v>
      </c>
      <c r="G1776" s="125" t="s">
        <v>5297</v>
      </c>
      <c r="H1776" s="125" t="s">
        <v>5966</v>
      </c>
      <c r="I1776" s="125" t="s">
        <v>55</v>
      </c>
    </row>
    <row r="1777" spans="1:9" x14ac:dyDescent="0.25">
      <c r="A1777" s="125" t="s">
        <v>551</v>
      </c>
      <c r="B1777" s="125" t="s">
        <v>5964</v>
      </c>
      <c r="C1777" s="125">
        <v>204</v>
      </c>
      <c r="D1777" s="125" t="s">
        <v>5965</v>
      </c>
      <c r="E1777" s="125" t="s">
        <v>5476</v>
      </c>
      <c r="F1777" s="140" t="s">
        <v>5477</v>
      </c>
      <c r="G1777" s="125" t="s">
        <v>5297</v>
      </c>
      <c r="H1777" s="125" t="s">
        <v>5967</v>
      </c>
      <c r="I1777" s="125" t="s">
        <v>55</v>
      </c>
    </row>
    <row r="1778" spans="1:9" x14ac:dyDescent="0.25">
      <c r="A1778" s="125" t="s">
        <v>569</v>
      </c>
      <c r="B1778" s="125" t="s">
        <v>5756</v>
      </c>
      <c r="C1778" s="125">
        <v>246</v>
      </c>
      <c r="D1778" s="140" t="s">
        <v>5757</v>
      </c>
      <c r="E1778" s="125" t="s">
        <v>5476</v>
      </c>
      <c r="F1778" s="140" t="s">
        <v>5477</v>
      </c>
      <c r="G1778" s="125" t="s">
        <v>5297</v>
      </c>
      <c r="H1778" s="125" t="s">
        <v>5966</v>
      </c>
      <c r="I1778" s="125" t="s">
        <v>55</v>
      </c>
    </row>
    <row r="1779" spans="1:9" x14ac:dyDescent="0.25">
      <c r="A1779" s="125" t="s">
        <v>522</v>
      </c>
      <c r="B1779" s="125" t="s">
        <v>5756</v>
      </c>
      <c r="C1779" s="125">
        <v>246</v>
      </c>
      <c r="D1779" s="140" t="s">
        <v>5757</v>
      </c>
      <c r="E1779" s="125" t="s">
        <v>5476</v>
      </c>
      <c r="F1779" s="140" t="s">
        <v>5477</v>
      </c>
      <c r="G1779" s="125" t="s">
        <v>5297</v>
      </c>
      <c r="H1779" s="125" t="s">
        <v>5755</v>
      </c>
      <c r="I1779" s="125" t="s">
        <v>55</v>
      </c>
    </row>
    <row r="1780" spans="1:9" x14ac:dyDescent="0.25">
      <c r="A1780" s="125" t="s">
        <v>634</v>
      </c>
      <c r="B1780" s="125" t="s">
        <v>5756</v>
      </c>
      <c r="C1780" s="125">
        <v>246</v>
      </c>
      <c r="D1780" s="140" t="s">
        <v>5757</v>
      </c>
      <c r="E1780" s="125" t="s">
        <v>5476</v>
      </c>
      <c r="F1780" s="140" t="s">
        <v>5477</v>
      </c>
      <c r="G1780" s="125" t="s">
        <v>5297</v>
      </c>
      <c r="H1780" s="125" t="s">
        <v>5755</v>
      </c>
      <c r="I1780" s="125" t="s">
        <v>55</v>
      </c>
    </row>
    <row r="1781" spans="1:9" x14ac:dyDescent="0.25">
      <c r="A1781" s="125" t="s">
        <v>530</v>
      </c>
      <c r="B1781" s="125" t="s">
        <v>5756</v>
      </c>
      <c r="C1781" s="125">
        <v>246</v>
      </c>
      <c r="D1781" s="140" t="s">
        <v>5757</v>
      </c>
      <c r="E1781" s="125" t="s">
        <v>5476</v>
      </c>
      <c r="F1781" s="140" t="s">
        <v>5477</v>
      </c>
      <c r="G1781" s="125" t="s">
        <v>5297</v>
      </c>
      <c r="H1781" s="125" t="s">
        <v>5758</v>
      </c>
      <c r="I1781" s="125" t="s">
        <v>55</v>
      </c>
    </row>
    <row r="1782" spans="1:9" x14ac:dyDescent="0.25">
      <c r="A1782" s="125" t="s">
        <v>621</v>
      </c>
      <c r="B1782" s="125" t="s">
        <v>5756</v>
      </c>
      <c r="C1782" s="125">
        <v>246</v>
      </c>
      <c r="D1782" s="140" t="s">
        <v>5757</v>
      </c>
      <c r="E1782" s="125" t="s">
        <v>5476</v>
      </c>
      <c r="F1782" s="140" t="s">
        <v>5477</v>
      </c>
      <c r="G1782" s="125" t="s">
        <v>5297</v>
      </c>
      <c r="H1782" s="125" t="s">
        <v>5758</v>
      </c>
      <c r="I1782" s="125" t="s">
        <v>55</v>
      </c>
    </row>
    <row r="1783" spans="1:9" x14ac:dyDescent="0.25">
      <c r="A1783" s="125" t="s">
        <v>584</v>
      </c>
      <c r="B1783" s="125" t="s">
        <v>5756</v>
      </c>
      <c r="C1783" s="125">
        <v>246</v>
      </c>
      <c r="D1783" s="140" t="s">
        <v>5757</v>
      </c>
      <c r="E1783" s="125" t="s">
        <v>5476</v>
      </c>
      <c r="F1783" s="140" t="s">
        <v>5477</v>
      </c>
      <c r="G1783" s="125" t="s">
        <v>5297</v>
      </c>
      <c r="H1783" s="125" t="s">
        <v>5755</v>
      </c>
      <c r="I1783" s="125" t="s">
        <v>55</v>
      </c>
    </row>
    <row r="1784" spans="1:9" x14ac:dyDescent="0.25">
      <c r="A1784" s="125" t="s">
        <v>548</v>
      </c>
      <c r="B1784" s="125" t="s">
        <v>5756</v>
      </c>
      <c r="C1784" s="125">
        <v>246</v>
      </c>
      <c r="D1784" s="140" t="s">
        <v>5757</v>
      </c>
      <c r="E1784" s="125" t="s">
        <v>5476</v>
      </c>
      <c r="F1784" s="140" t="s">
        <v>5477</v>
      </c>
      <c r="G1784" s="125" t="s">
        <v>5297</v>
      </c>
      <c r="H1784" s="125" t="s">
        <v>5758</v>
      </c>
      <c r="I1784" s="125" t="s">
        <v>55</v>
      </c>
    </row>
    <row r="1785" spans="1:9" x14ac:dyDescent="0.25">
      <c r="A1785" s="125" t="s">
        <v>553</v>
      </c>
      <c r="B1785" s="125" t="s">
        <v>5756</v>
      </c>
      <c r="C1785" s="125">
        <v>246</v>
      </c>
      <c r="D1785" s="140" t="s">
        <v>5757</v>
      </c>
      <c r="E1785" s="125" t="s">
        <v>5476</v>
      </c>
      <c r="F1785" s="140" t="s">
        <v>5477</v>
      </c>
      <c r="G1785" s="125" t="s">
        <v>5297</v>
      </c>
      <c r="H1785" s="125" t="s">
        <v>255</v>
      </c>
      <c r="I1785" s="125" t="s">
        <v>55</v>
      </c>
    </row>
    <row r="1786" spans="1:9" x14ac:dyDescent="0.25">
      <c r="A1786" s="125" t="s">
        <v>2715</v>
      </c>
      <c r="B1786" s="125" t="s">
        <v>5756</v>
      </c>
      <c r="C1786" s="125">
        <v>246</v>
      </c>
      <c r="D1786" s="140" t="s">
        <v>5757</v>
      </c>
      <c r="E1786" s="125" t="s">
        <v>5476</v>
      </c>
      <c r="F1786" s="140" t="s">
        <v>5477</v>
      </c>
      <c r="G1786" s="125" t="s">
        <v>5297</v>
      </c>
      <c r="H1786" s="125" t="s">
        <v>5758</v>
      </c>
      <c r="I1786" s="125" t="s">
        <v>55</v>
      </c>
    </row>
    <row r="1787" spans="1:9" x14ac:dyDescent="0.25">
      <c r="A1787" s="125" t="s">
        <v>636</v>
      </c>
      <c r="B1787" s="125" t="s">
        <v>5964</v>
      </c>
      <c r="C1787" s="125">
        <v>204</v>
      </c>
      <c r="D1787" s="125" t="s">
        <v>5965</v>
      </c>
      <c r="E1787" s="125" t="s">
        <v>5476</v>
      </c>
      <c r="F1787" s="140" t="s">
        <v>5477</v>
      </c>
      <c r="G1787" s="125" t="s">
        <v>5297</v>
      </c>
      <c r="H1787" s="125" t="s">
        <v>5967</v>
      </c>
      <c r="I1787" s="125" t="s">
        <v>55</v>
      </c>
    </row>
    <row r="1788" spans="1:9" x14ac:dyDescent="0.25">
      <c r="A1788" s="125" t="s">
        <v>564</v>
      </c>
      <c r="B1788" s="125" t="s">
        <v>5964</v>
      </c>
      <c r="C1788" s="125">
        <v>204</v>
      </c>
      <c r="D1788" s="125" t="s">
        <v>5965</v>
      </c>
      <c r="E1788" s="125" t="s">
        <v>5476</v>
      </c>
      <c r="F1788" s="140" t="s">
        <v>5477</v>
      </c>
      <c r="G1788" s="125" t="s">
        <v>5297</v>
      </c>
      <c r="H1788" s="125" t="s">
        <v>5967</v>
      </c>
      <c r="I1788" s="125" t="s">
        <v>55</v>
      </c>
    </row>
    <row r="1789" spans="1:9" x14ac:dyDescent="0.25">
      <c r="A1789" s="125" t="s">
        <v>605</v>
      </c>
      <c r="B1789" s="125" t="s">
        <v>5964</v>
      </c>
      <c r="C1789" s="125">
        <v>204</v>
      </c>
      <c r="D1789" s="125" t="s">
        <v>5965</v>
      </c>
      <c r="E1789" s="125" t="s">
        <v>5476</v>
      </c>
      <c r="F1789" s="140" t="s">
        <v>5477</v>
      </c>
      <c r="G1789" s="125" t="s">
        <v>5297</v>
      </c>
      <c r="H1789" s="125" t="s">
        <v>5967</v>
      </c>
      <c r="I1789" s="125" t="s">
        <v>55</v>
      </c>
    </row>
    <row r="1790" spans="1:9" x14ac:dyDescent="0.25">
      <c r="A1790" s="125" t="s">
        <v>5968</v>
      </c>
      <c r="B1790" s="125" t="s">
        <v>5964</v>
      </c>
      <c r="C1790" s="125">
        <v>204</v>
      </c>
      <c r="D1790" s="125" t="s">
        <v>5965</v>
      </c>
      <c r="E1790" s="125" t="s">
        <v>5476</v>
      </c>
      <c r="F1790" s="140" t="s">
        <v>5477</v>
      </c>
      <c r="G1790" s="125" t="s">
        <v>5297</v>
      </c>
      <c r="H1790" s="125" t="s">
        <v>5967</v>
      </c>
      <c r="I1790" s="125" t="s">
        <v>55</v>
      </c>
    </row>
    <row r="1791" spans="1:9" x14ac:dyDescent="0.25">
      <c r="A1791" s="125" t="s">
        <v>544</v>
      </c>
      <c r="B1791" s="125" t="s">
        <v>5964</v>
      </c>
      <c r="C1791" s="125">
        <v>204</v>
      </c>
      <c r="D1791" s="125" t="s">
        <v>5965</v>
      </c>
      <c r="E1791" s="125" t="s">
        <v>5476</v>
      </c>
      <c r="F1791" s="140" t="s">
        <v>5477</v>
      </c>
      <c r="G1791" s="125" t="s">
        <v>5297</v>
      </c>
      <c r="H1791" s="125" t="s">
        <v>5967</v>
      </c>
      <c r="I1791" s="125" t="s">
        <v>55</v>
      </c>
    </row>
    <row r="1792" spans="1:9" x14ac:dyDescent="0.25">
      <c r="A1792" s="125" t="s">
        <v>2957</v>
      </c>
      <c r="B1792" s="125" t="s">
        <v>5964</v>
      </c>
      <c r="C1792" s="125">
        <v>204</v>
      </c>
      <c r="D1792" s="125" t="s">
        <v>5965</v>
      </c>
      <c r="E1792" s="125" t="s">
        <v>5476</v>
      </c>
      <c r="F1792" s="140" t="s">
        <v>5477</v>
      </c>
      <c r="G1792" s="125" t="s">
        <v>5297</v>
      </c>
      <c r="H1792" s="125" t="s">
        <v>5967</v>
      </c>
      <c r="I1792" s="125" t="s">
        <v>55</v>
      </c>
    </row>
    <row r="1793" spans="1:9" x14ac:dyDescent="0.25">
      <c r="A1793" s="125" t="s">
        <v>525</v>
      </c>
      <c r="B1793" s="125" t="s">
        <v>5964</v>
      </c>
      <c r="C1793" s="125">
        <v>204</v>
      </c>
      <c r="D1793" s="125" t="s">
        <v>5965</v>
      </c>
      <c r="E1793" s="125" t="s">
        <v>5476</v>
      </c>
      <c r="F1793" s="140" t="s">
        <v>5477</v>
      </c>
      <c r="G1793" s="125" t="s">
        <v>5297</v>
      </c>
      <c r="H1793" s="125" t="s">
        <v>5967</v>
      </c>
      <c r="I1793" s="125" t="s">
        <v>55</v>
      </c>
    </row>
    <row r="1794" spans="1:9" x14ac:dyDescent="0.25">
      <c r="A1794" s="125" t="s">
        <v>401</v>
      </c>
      <c r="B1794" s="125" t="s">
        <v>5964</v>
      </c>
      <c r="C1794" s="125">
        <v>204</v>
      </c>
      <c r="D1794" s="125" t="s">
        <v>5965</v>
      </c>
      <c r="E1794" s="125" t="s">
        <v>5476</v>
      </c>
      <c r="F1794" s="140" t="s">
        <v>5477</v>
      </c>
      <c r="G1794" s="125" t="s">
        <v>5297</v>
      </c>
      <c r="H1794" s="125" t="s">
        <v>5967</v>
      </c>
      <c r="I1794" s="125" t="s">
        <v>55</v>
      </c>
    </row>
    <row r="1795" spans="1:9" x14ac:dyDescent="0.25">
      <c r="A1795" s="125" t="s">
        <v>572</v>
      </c>
      <c r="B1795" s="125" t="s">
        <v>5964</v>
      </c>
      <c r="C1795" s="125">
        <v>204</v>
      </c>
      <c r="D1795" s="125" t="s">
        <v>5965</v>
      </c>
      <c r="E1795" s="125" t="s">
        <v>5476</v>
      </c>
      <c r="F1795" s="140" t="s">
        <v>5477</v>
      </c>
      <c r="G1795" s="125" t="s">
        <v>5297</v>
      </c>
      <c r="H1795" s="125" t="s">
        <v>153</v>
      </c>
      <c r="I1795" s="125" t="s">
        <v>55</v>
      </c>
    </row>
    <row r="1796" spans="1:9" x14ac:dyDescent="0.25">
      <c r="A1796" s="125" t="s">
        <v>587</v>
      </c>
      <c r="B1796" s="125" t="s">
        <v>5962</v>
      </c>
      <c r="C1796" s="125">
        <v>205</v>
      </c>
      <c r="D1796" s="125" t="s">
        <v>5963</v>
      </c>
      <c r="E1796" s="125" t="s">
        <v>5476</v>
      </c>
      <c r="F1796" s="140" t="s">
        <v>5477</v>
      </c>
      <c r="G1796" s="125" t="s">
        <v>5297</v>
      </c>
      <c r="H1796" s="125" t="s">
        <v>255</v>
      </c>
      <c r="I1796" s="125" t="s">
        <v>55</v>
      </c>
    </row>
    <row r="1797" spans="1:9" x14ac:dyDescent="0.25">
      <c r="A1797" s="125" t="s">
        <v>536</v>
      </c>
      <c r="B1797" s="125" t="s">
        <v>5962</v>
      </c>
      <c r="C1797" s="125">
        <v>205</v>
      </c>
      <c r="D1797" s="125" t="s">
        <v>5963</v>
      </c>
      <c r="E1797" s="125" t="s">
        <v>5476</v>
      </c>
      <c r="F1797" s="140" t="s">
        <v>5477</v>
      </c>
      <c r="G1797" s="125" t="s">
        <v>5297</v>
      </c>
      <c r="H1797" s="125" t="s">
        <v>153</v>
      </c>
      <c r="I1797" s="125" t="s">
        <v>55</v>
      </c>
    </row>
    <row r="1798" spans="1:9" x14ac:dyDescent="0.25">
      <c r="A1798" s="125" t="s">
        <v>527</v>
      </c>
      <c r="B1798" s="125" t="s">
        <v>5962</v>
      </c>
      <c r="C1798" s="125">
        <v>205</v>
      </c>
      <c r="D1798" s="125" t="s">
        <v>5963</v>
      </c>
      <c r="E1798" s="125" t="s">
        <v>5476</v>
      </c>
      <c r="F1798" s="140" t="s">
        <v>5477</v>
      </c>
      <c r="G1798" s="125" t="s">
        <v>5297</v>
      </c>
      <c r="H1798" s="125" t="s">
        <v>153</v>
      </c>
      <c r="I1798" s="125" t="s">
        <v>55</v>
      </c>
    </row>
    <row r="1799" spans="1:9" x14ac:dyDescent="0.25">
      <c r="A1799" s="125" t="s">
        <v>573</v>
      </c>
      <c r="B1799" s="125" t="s">
        <v>5750</v>
      </c>
      <c r="C1799" s="125">
        <v>206</v>
      </c>
      <c r="D1799" s="125" t="s">
        <v>5751</v>
      </c>
      <c r="E1799" s="125" t="s">
        <v>5476</v>
      </c>
      <c r="F1799" s="140" t="s">
        <v>5477</v>
      </c>
      <c r="G1799" s="125" t="s">
        <v>5297</v>
      </c>
      <c r="H1799" s="125" t="s">
        <v>5752</v>
      </c>
      <c r="I1799" s="125" t="s">
        <v>45</v>
      </c>
    </row>
    <row r="1800" spans="1:9" x14ac:dyDescent="0.25">
      <c r="A1800" s="125" t="s">
        <v>568</v>
      </c>
      <c r="B1800" s="125" t="s">
        <v>5750</v>
      </c>
      <c r="C1800" s="125">
        <v>206</v>
      </c>
      <c r="D1800" s="125" t="s">
        <v>5751</v>
      </c>
      <c r="E1800" s="125" t="s">
        <v>5476</v>
      </c>
      <c r="F1800" s="140" t="s">
        <v>5477</v>
      </c>
      <c r="G1800" s="125" t="s">
        <v>5297</v>
      </c>
      <c r="H1800" s="125" t="s">
        <v>5752</v>
      </c>
      <c r="I1800" s="125" t="s">
        <v>45</v>
      </c>
    </row>
    <row r="1801" spans="1:9" x14ac:dyDescent="0.25">
      <c r="A1801" s="125" t="s">
        <v>610</v>
      </c>
      <c r="B1801" s="125" t="s">
        <v>5750</v>
      </c>
      <c r="C1801" s="125">
        <v>206</v>
      </c>
      <c r="D1801" s="125" t="s">
        <v>5751</v>
      </c>
      <c r="E1801" s="125" t="s">
        <v>5476</v>
      </c>
      <c r="F1801" s="140" t="s">
        <v>5477</v>
      </c>
      <c r="G1801" s="125" t="s">
        <v>5297</v>
      </c>
      <c r="H1801" s="125" t="s">
        <v>5752</v>
      </c>
      <c r="I1801" s="125" t="s">
        <v>45</v>
      </c>
    </row>
    <row r="1802" spans="1:9" x14ac:dyDescent="0.25">
      <c r="A1802" s="125" t="s">
        <v>5969</v>
      </c>
      <c r="B1802" s="125" t="s">
        <v>5750</v>
      </c>
      <c r="C1802" s="125">
        <v>206</v>
      </c>
      <c r="D1802" s="125" t="s">
        <v>5751</v>
      </c>
      <c r="E1802" s="125" t="s">
        <v>5476</v>
      </c>
      <c r="F1802" s="140" t="s">
        <v>5477</v>
      </c>
      <c r="G1802" s="125" t="s">
        <v>5297</v>
      </c>
      <c r="H1802" s="125" t="s">
        <v>5755</v>
      </c>
      <c r="I1802" s="125" t="s">
        <v>55</v>
      </c>
    </row>
    <row r="1803" spans="1:9" x14ac:dyDescent="0.25">
      <c r="A1803" s="125" t="s">
        <v>596</v>
      </c>
      <c r="B1803" s="125" t="s">
        <v>5962</v>
      </c>
      <c r="C1803" s="125">
        <v>205</v>
      </c>
      <c r="D1803" s="125" t="s">
        <v>5963</v>
      </c>
      <c r="E1803" s="125" t="s">
        <v>5476</v>
      </c>
      <c r="F1803" s="140" t="s">
        <v>5477</v>
      </c>
      <c r="G1803" s="125" t="s">
        <v>5297</v>
      </c>
      <c r="H1803" s="125" t="s">
        <v>255</v>
      </c>
      <c r="I1803" s="125" t="s">
        <v>55</v>
      </c>
    </row>
    <row r="1804" spans="1:9" x14ac:dyDescent="0.25">
      <c r="A1804" s="125" t="s">
        <v>612</v>
      </c>
      <c r="B1804" s="125" t="s">
        <v>5962</v>
      </c>
      <c r="C1804" s="125">
        <v>205</v>
      </c>
      <c r="D1804" s="125" t="s">
        <v>5963</v>
      </c>
      <c r="E1804" s="125" t="s">
        <v>5476</v>
      </c>
      <c r="F1804" s="140" t="s">
        <v>5477</v>
      </c>
      <c r="G1804" s="125" t="s">
        <v>5297</v>
      </c>
      <c r="H1804" s="125" t="s">
        <v>5755</v>
      </c>
      <c r="I1804" s="125" t="s">
        <v>55</v>
      </c>
    </row>
    <row r="1805" spans="1:9" x14ac:dyDescent="0.25">
      <c r="A1805" s="125" t="s">
        <v>1935</v>
      </c>
      <c r="B1805" s="125" t="s">
        <v>5962</v>
      </c>
      <c r="C1805" s="125">
        <v>205</v>
      </c>
      <c r="D1805" s="125" t="s">
        <v>5963</v>
      </c>
      <c r="E1805" s="125" t="s">
        <v>5476</v>
      </c>
      <c r="F1805" s="140" t="s">
        <v>5477</v>
      </c>
      <c r="G1805" s="125" t="s">
        <v>5297</v>
      </c>
      <c r="H1805" s="125" t="s">
        <v>5966</v>
      </c>
      <c r="I1805" s="125" t="s">
        <v>55</v>
      </c>
    </row>
    <row r="1806" spans="1:9" x14ac:dyDescent="0.25">
      <c r="A1806" s="125" t="s">
        <v>616</v>
      </c>
      <c r="B1806" s="125" t="s">
        <v>5962</v>
      </c>
      <c r="C1806" s="125">
        <v>205</v>
      </c>
      <c r="D1806" s="125" t="s">
        <v>5963</v>
      </c>
      <c r="E1806" s="125" t="s">
        <v>5476</v>
      </c>
      <c r="F1806" s="140" t="s">
        <v>5477</v>
      </c>
      <c r="G1806" s="125" t="s">
        <v>5297</v>
      </c>
      <c r="H1806" s="125" t="s">
        <v>5966</v>
      </c>
      <c r="I1806" s="125" t="s">
        <v>55</v>
      </c>
    </row>
    <row r="1807" spans="1:9" x14ac:dyDescent="0.25">
      <c r="A1807" s="125" t="s">
        <v>623</v>
      </c>
      <c r="B1807" s="125" t="s">
        <v>5962</v>
      </c>
      <c r="C1807" s="125">
        <v>205</v>
      </c>
      <c r="D1807" s="125" t="s">
        <v>5963</v>
      </c>
      <c r="E1807" s="125" t="s">
        <v>5476</v>
      </c>
      <c r="F1807" s="140" t="s">
        <v>5477</v>
      </c>
      <c r="G1807" s="125" t="s">
        <v>5297</v>
      </c>
      <c r="H1807" s="125" t="s">
        <v>5966</v>
      </c>
      <c r="I1807" s="125" t="s">
        <v>55</v>
      </c>
    </row>
    <row r="1808" spans="1:9" x14ac:dyDescent="0.25">
      <c r="A1808" s="125" t="s">
        <v>575</v>
      </c>
      <c r="B1808" s="125" t="s">
        <v>5756</v>
      </c>
      <c r="C1808" s="125">
        <v>246</v>
      </c>
      <c r="D1808" s="140" t="s">
        <v>5757</v>
      </c>
      <c r="E1808" s="125" t="s">
        <v>5476</v>
      </c>
      <c r="F1808" s="140" t="s">
        <v>5477</v>
      </c>
      <c r="G1808" s="125" t="s">
        <v>5297</v>
      </c>
      <c r="H1808" s="125" t="s">
        <v>5755</v>
      </c>
      <c r="I1808" s="125" t="s">
        <v>55</v>
      </c>
    </row>
    <row r="1809" spans="1:9" x14ac:dyDescent="0.25">
      <c r="A1809" s="125" t="s">
        <v>1135</v>
      </c>
      <c r="B1809" s="125" t="s">
        <v>5578</v>
      </c>
      <c r="C1809" s="125">
        <v>224</v>
      </c>
      <c r="D1809" s="125" t="s">
        <v>5579</v>
      </c>
      <c r="E1809" s="125" t="s">
        <v>5364</v>
      </c>
      <c r="F1809" s="125" t="s">
        <v>5365</v>
      </c>
      <c r="G1809" s="125" t="s">
        <v>5297</v>
      </c>
      <c r="H1809" s="125" t="s">
        <v>3376</v>
      </c>
      <c r="I1809" s="125" t="s">
        <v>5581</v>
      </c>
    </row>
    <row r="1810" spans="1:9" x14ac:dyDescent="0.25">
      <c r="A1810" s="125" t="s">
        <v>1386</v>
      </c>
      <c r="B1810" s="125" t="s">
        <v>5578</v>
      </c>
      <c r="C1810" s="125">
        <v>224</v>
      </c>
      <c r="D1810" s="125" t="s">
        <v>5579</v>
      </c>
      <c r="E1810" s="125" t="s">
        <v>5364</v>
      </c>
      <c r="F1810" s="125" t="s">
        <v>5365</v>
      </c>
      <c r="G1810" s="125" t="s">
        <v>5297</v>
      </c>
      <c r="H1810" s="125" t="s">
        <v>5970</v>
      </c>
      <c r="I1810" s="125" t="s">
        <v>5597</v>
      </c>
    </row>
    <row r="1811" spans="1:9" x14ac:dyDescent="0.25">
      <c r="A1811" s="125" t="s">
        <v>5971</v>
      </c>
      <c r="B1811" s="125" t="s">
        <v>5578</v>
      </c>
      <c r="C1811" s="125">
        <v>224</v>
      </c>
      <c r="D1811" s="125" t="s">
        <v>5579</v>
      </c>
      <c r="E1811" s="125" t="s">
        <v>5364</v>
      </c>
      <c r="F1811" s="125" t="s">
        <v>5365</v>
      </c>
      <c r="G1811" s="125" t="s">
        <v>5297</v>
      </c>
      <c r="H1811" s="125" t="s">
        <v>371</v>
      </c>
      <c r="I1811" s="125" t="s">
        <v>371</v>
      </c>
    </row>
    <row r="1812" spans="1:9" x14ac:dyDescent="0.25">
      <c r="A1812" s="125" t="s">
        <v>3000</v>
      </c>
      <c r="B1812" s="125" t="s">
        <v>5578</v>
      </c>
      <c r="C1812" s="125">
        <v>224</v>
      </c>
      <c r="D1812" s="125" t="s">
        <v>5579</v>
      </c>
      <c r="E1812" s="125" t="s">
        <v>5364</v>
      </c>
      <c r="F1812" s="125" t="s">
        <v>5365</v>
      </c>
      <c r="G1812" s="125" t="s">
        <v>5297</v>
      </c>
      <c r="H1812" s="125" t="s">
        <v>1252</v>
      </c>
      <c r="I1812" s="125" t="s">
        <v>5375</v>
      </c>
    </row>
    <row r="1813" spans="1:9" x14ac:dyDescent="0.25">
      <c r="A1813" s="125" t="s">
        <v>2735</v>
      </c>
      <c r="B1813" s="125" t="s">
        <v>5578</v>
      </c>
      <c r="C1813" s="125">
        <v>224</v>
      </c>
      <c r="D1813" s="125" t="s">
        <v>5579</v>
      </c>
      <c r="E1813" s="125" t="s">
        <v>5364</v>
      </c>
      <c r="F1813" s="125" t="s">
        <v>5365</v>
      </c>
      <c r="G1813" s="125" t="s">
        <v>5297</v>
      </c>
      <c r="H1813" s="125" t="s">
        <v>3376</v>
      </c>
      <c r="I1813" s="125" t="s">
        <v>5581</v>
      </c>
    </row>
    <row r="1814" spans="1:9" x14ac:dyDescent="0.25">
      <c r="A1814" s="125" t="s">
        <v>5972</v>
      </c>
      <c r="B1814" s="125" t="s">
        <v>5578</v>
      </c>
      <c r="C1814" s="125">
        <v>224</v>
      </c>
      <c r="D1814" s="125" t="s">
        <v>5579</v>
      </c>
      <c r="E1814" s="125" t="s">
        <v>5364</v>
      </c>
      <c r="F1814" s="125" t="s">
        <v>5365</v>
      </c>
      <c r="G1814" s="125" t="s">
        <v>5297</v>
      </c>
      <c r="H1814" s="125" t="s">
        <v>1252</v>
      </c>
      <c r="I1814" s="125" t="s">
        <v>5375</v>
      </c>
    </row>
    <row r="1815" spans="1:9" x14ac:dyDescent="0.25">
      <c r="A1815" s="125" t="s">
        <v>3286</v>
      </c>
      <c r="B1815" s="125" t="s">
        <v>5578</v>
      </c>
      <c r="C1815" s="125">
        <v>224</v>
      </c>
      <c r="D1815" s="125" t="s">
        <v>5579</v>
      </c>
      <c r="E1815" s="125" t="s">
        <v>5364</v>
      </c>
      <c r="F1815" s="125" t="s">
        <v>5365</v>
      </c>
      <c r="G1815" s="125" t="s">
        <v>5297</v>
      </c>
      <c r="H1815" s="125" t="s">
        <v>3376</v>
      </c>
      <c r="I1815" s="125" t="s">
        <v>5581</v>
      </c>
    </row>
    <row r="1816" spans="1:9" x14ac:dyDescent="0.25">
      <c r="A1816" s="125" t="s">
        <v>3203</v>
      </c>
      <c r="B1816" s="125" t="s">
        <v>5578</v>
      </c>
      <c r="C1816" s="125">
        <v>224</v>
      </c>
      <c r="D1816" s="125" t="s">
        <v>5579</v>
      </c>
      <c r="E1816" s="125" t="s">
        <v>5364</v>
      </c>
      <c r="F1816" s="125" t="s">
        <v>5365</v>
      </c>
      <c r="G1816" s="125" t="s">
        <v>5297</v>
      </c>
      <c r="H1816" s="125" t="s">
        <v>3376</v>
      </c>
      <c r="I1816" s="125" t="s">
        <v>5581</v>
      </c>
    </row>
    <row r="1817" spans="1:9" x14ac:dyDescent="0.25">
      <c r="A1817" s="125" t="s">
        <v>3119</v>
      </c>
      <c r="B1817" s="125" t="s">
        <v>5578</v>
      </c>
      <c r="C1817" s="125">
        <v>224</v>
      </c>
      <c r="D1817" s="125" t="s">
        <v>5579</v>
      </c>
      <c r="E1817" s="125" t="s">
        <v>5364</v>
      </c>
      <c r="F1817" s="125" t="s">
        <v>5365</v>
      </c>
      <c r="G1817" s="125" t="s">
        <v>5297</v>
      </c>
      <c r="H1817" s="125" t="s">
        <v>1252</v>
      </c>
      <c r="I1817" s="125" t="s">
        <v>5375</v>
      </c>
    </row>
    <row r="1818" spans="1:9" x14ac:dyDescent="0.25">
      <c r="A1818" s="125" t="s">
        <v>2953</v>
      </c>
      <c r="B1818" s="125" t="s">
        <v>5578</v>
      </c>
      <c r="C1818" s="125">
        <v>224</v>
      </c>
      <c r="D1818" s="125" t="s">
        <v>5579</v>
      </c>
      <c r="E1818" s="125" t="s">
        <v>5364</v>
      </c>
      <c r="F1818" s="125" t="s">
        <v>5365</v>
      </c>
      <c r="G1818" s="125" t="s">
        <v>5297</v>
      </c>
      <c r="H1818" s="125" t="s">
        <v>5973</v>
      </c>
      <c r="I1818" s="125" t="s">
        <v>5581</v>
      </c>
    </row>
    <row r="1819" spans="1:9" x14ac:dyDescent="0.25">
      <c r="A1819" s="125" t="s">
        <v>1244</v>
      </c>
      <c r="B1819" s="125" t="s">
        <v>5578</v>
      </c>
      <c r="C1819" s="125">
        <v>224</v>
      </c>
      <c r="D1819" s="125" t="s">
        <v>5579</v>
      </c>
      <c r="E1819" s="125" t="s">
        <v>5364</v>
      </c>
      <c r="F1819" s="125" t="s">
        <v>5365</v>
      </c>
      <c r="G1819" s="125" t="s">
        <v>5297</v>
      </c>
      <c r="H1819" s="125" t="s">
        <v>5711</v>
      </c>
      <c r="I1819" s="125" t="s">
        <v>5375</v>
      </c>
    </row>
    <row r="1820" spans="1:9" x14ac:dyDescent="0.25">
      <c r="A1820" s="125" t="s">
        <v>1852</v>
      </c>
      <c r="B1820" s="125" t="s">
        <v>5339</v>
      </c>
      <c r="C1820" s="125">
        <v>235</v>
      </c>
      <c r="D1820" s="139" t="s">
        <v>5340</v>
      </c>
      <c r="E1820" s="125" t="s">
        <v>5341</v>
      </c>
      <c r="F1820" s="140" t="s">
        <v>5342</v>
      </c>
      <c r="G1820" s="125" t="s">
        <v>5297</v>
      </c>
      <c r="H1820" s="125" t="s">
        <v>1190</v>
      </c>
      <c r="I1820" s="125" t="s">
        <v>5366</v>
      </c>
    </row>
    <row r="1821" spans="1:9" x14ac:dyDescent="0.25">
      <c r="A1821" s="125" t="s">
        <v>2875</v>
      </c>
      <c r="B1821" s="125" t="s">
        <v>5339</v>
      </c>
      <c r="C1821" s="125">
        <v>235</v>
      </c>
      <c r="D1821" s="139" t="s">
        <v>5340</v>
      </c>
      <c r="E1821" s="125" t="s">
        <v>5341</v>
      </c>
      <c r="F1821" s="140" t="s">
        <v>5342</v>
      </c>
      <c r="G1821" s="125" t="s">
        <v>5297</v>
      </c>
      <c r="H1821" s="125" t="s">
        <v>1941</v>
      </c>
      <c r="I1821" s="125" t="s">
        <v>5366</v>
      </c>
    </row>
    <row r="1822" spans="1:9" x14ac:dyDescent="0.25">
      <c r="A1822" s="125" t="s">
        <v>1942</v>
      </c>
      <c r="B1822" s="125" t="s">
        <v>5339</v>
      </c>
      <c r="C1822" s="125">
        <v>235</v>
      </c>
      <c r="D1822" s="139" t="s">
        <v>5340</v>
      </c>
      <c r="E1822" s="125" t="s">
        <v>5341</v>
      </c>
      <c r="F1822" s="140" t="s">
        <v>5342</v>
      </c>
      <c r="G1822" s="125" t="s">
        <v>5297</v>
      </c>
      <c r="H1822" s="125" t="s">
        <v>1941</v>
      </c>
      <c r="I1822" s="125" t="s">
        <v>5366</v>
      </c>
    </row>
    <row r="1823" spans="1:9" x14ac:dyDescent="0.25">
      <c r="A1823" s="125" t="s">
        <v>2140</v>
      </c>
      <c r="B1823" s="125" t="s">
        <v>5339</v>
      </c>
      <c r="C1823" s="125">
        <v>235</v>
      </c>
      <c r="D1823" s="139" t="s">
        <v>5340</v>
      </c>
      <c r="E1823" s="125" t="s">
        <v>5341</v>
      </c>
      <c r="F1823" s="140" t="s">
        <v>5342</v>
      </c>
      <c r="G1823" s="125" t="s">
        <v>5297</v>
      </c>
      <c r="H1823" s="125" t="s">
        <v>371</v>
      </c>
      <c r="I1823" s="125" t="s">
        <v>371</v>
      </c>
    </row>
    <row r="1824" spans="1:9" x14ac:dyDescent="0.25">
      <c r="A1824" s="125" t="s">
        <v>5974</v>
      </c>
      <c r="B1824" s="125" t="s">
        <v>5339</v>
      </c>
      <c r="C1824" s="125">
        <v>235</v>
      </c>
      <c r="D1824" s="139" t="s">
        <v>5340</v>
      </c>
      <c r="E1824" s="125" t="s">
        <v>5341</v>
      </c>
      <c r="F1824" s="140" t="s">
        <v>5342</v>
      </c>
      <c r="G1824" s="125" t="s">
        <v>5297</v>
      </c>
      <c r="H1824" s="125" t="s">
        <v>371</v>
      </c>
      <c r="I1824" s="125" t="s">
        <v>371</v>
      </c>
    </row>
    <row r="1825" spans="1:9" x14ac:dyDescent="0.25">
      <c r="A1825" s="125" t="s">
        <v>2597</v>
      </c>
      <c r="B1825" s="125" t="s">
        <v>5339</v>
      </c>
      <c r="C1825" s="125">
        <v>235</v>
      </c>
      <c r="D1825" s="139" t="s">
        <v>5340</v>
      </c>
      <c r="E1825" s="125" t="s">
        <v>5341</v>
      </c>
      <c r="F1825" s="140" t="s">
        <v>5342</v>
      </c>
      <c r="G1825" s="125" t="s">
        <v>5297</v>
      </c>
      <c r="H1825" s="125" t="s">
        <v>5714</v>
      </c>
      <c r="I1825" s="125" t="s">
        <v>5351</v>
      </c>
    </row>
    <row r="1826" spans="1:9" x14ac:dyDescent="0.25">
      <c r="A1826" s="125" t="s">
        <v>1842</v>
      </c>
      <c r="B1826" s="125" t="s">
        <v>5339</v>
      </c>
      <c r="C1826" s="125">
        <v>235</v>
      </c>
      <c r="D1826" s="139" t="s">
        <v>5340</v>
      </c>
      <c r="E1826" s="125" t="s">
        <v>5341</v>
      </c>
      <c r="F1826" s="140" t="s">
        <v>5342</v>
      </c>
      <c r="G1826" s="125" t="s">
        <v>5297</v>
      </c>
      <c r="H1826" s="125" t="s">
        <v>1941</v>
      </c>
      <c r="I1826" s="125" t="s">
        <v>5366</v>
      </c>
    </row>
    <row r="1827" spans="1:9" x14ac:dyDescent="0.25">
      <c r="A1827" s="125" t="s">
        <v>2430</v>
      </c>
      <c r="B1827" s="125" t="s">
        <v>5339</v>
      </c>
      <c r="C1827" s="125">
        <v>235</v>
      </c>
      <c r="D1827" s="139" t="s">
        <v>5340</v>
      </c>
      <c r="E1827" s="125" t="s">
        <v>5341</v>
      </c>
      <c r="F1827" s="140" t="s">
        <v>5342</v>
      </c>
      <c r="G1827" s="125" t="s">
        <v>5297</v>
      </c>
      <c r="H1827" s="125" t="s">
        <v>1941</v>
      </c>
      <c r="I1827" s="125" t="s">
        <v>5366</v>
      </c>
    </row>
    <row r="1828" spans="1:9" x14ac:dyDescent="0.25">
      <c r="A1828" s="125" t="s">
        <v>1191</v>
      </c>
      <c r="B1828" s="125" t="s">
        <v>5339</v>
      </c>
      <c r="C1828" s="125">
        <v>235</v>
      </c>
      <c r="D1828" s="139" t="s">
        <v>5340</v>
      </c>
      <c r="E1828" s="125" t="s">
        <v>5341</v>
      </c>
      <c r="F1828" s="140" t="s">
        <v>5342</v>
      </c>
      <c r="G1828" s="125" t="s">
        <v>5297</v>
      </c>
      <c r="H1828" s="125" t="s">
        <v>1190</v>
      </c>
      <c r="I1828" s="125" t="s">
        <v>5366</v>
      </c>
    </row>
    <row r="1829" spans="1:9" x14ac:dyDescent="0.25">
      <c r="A1829" s="125" t="s">
        <v>1276</v>
      </c>
      <c r="B1829" s="125" t="s">
        <v>5339</v>
      </c>
      <c r="C1829" s="125">
        <v>235</v>
      </c>
      <c r="D1829" s="139" t="s">
        <v>5340</v>
      </c>
      <c r="E1829" s="125" t="s">
        <v>5341</v>
      </c>
      <c r="F1829" s="140" t="s">
        <v>5342</v>
      </c>
      <c r="G1829" s="125" t="s">
        <v>5297</v>
      </c>
      <c r="H1829" s="125" t="s">
        <v>1190</v>
      </c>
      <c r="I1829" s="125" t="s">
        <v>5366</v>
      </c>
    </row>
    <row r="1830" spans="1:9" x14ac:dyDescent="0.25">
      <c r="A1830" s="125" t="s">
        <v>1845</v>
      </c>
      <c r="B1830" s="125" t="s">
        <v>5339</v>
      </c>
      <c r="C1830" s="125">
        <v>235</v>
      </c>
      <c r="D1830" s="139" t="s">
        <v>5340</v>
      </c>
      <c r="E1830" s="125" t="s">
        <v>5341</v>
      </c>
      <c r="F1830" s="140" t="s">
        <v>5342</v>
      </c>
      <c r="G1830" s="125" t="s">
        <v>5297</v>
      </c>
      <c r="H1830" s="125" t="s">
        <v>1190</v>
      </c>
      <c r="I1830" s="125" t="s">
        <v>5366</v>
      </c>
    </row>
    <row r="1831" spans="1:9" x14ac:dyDescent="0.25">
      <c r="A1831" s="125" t="s">
        <v>1851</v>
      </c>
      <c r="B1831" s="125" t="s">
        <v>5339</v>
      </c>
      <c r="C1831" s="125">
        <v>235</v>
      </c>
      <c r="D1831" s="139" t="s">
        <v>5340</v>
      </c>
      <c r="E1831" s="125" t="s">
        <v>5341</v>
      </c>
      <c r="F1831" s="140" t="s">
        <v>5342</v>
      </c>
      <c r="G1831" s="125" t="s">
        <v>5297</v>
      </c>
      <c r="H1831" s="125" t="s">
        <v>5916</v>
      </c>
      <c r="I1831" s="125" t="s">
        <v>5366</v>
      </c>
    </row>
    <row r="1832" spans="1:9" x14ac:dyDescent="0.25">
      <c r="A1832" s="125" t="s">
        <v>2212</v>
      </c>
      <c r="B1832" s="125" t="s">
        <v>5339</v>
      </c>
      <c r="C1832" s="125">
        <v>235</v>
      </c>
      <c r="D1832" s="139" t="s">
        <v>5340</v>
      </c>
      <c r="E1832" s="125" t="s">
        <v>5341</v>
      </c>
      <c r="F1832" s="140" t="s">
        <v>5342</v>
      </c>
      <c r="G1832" s="125" t="s">
        <v>5297</v>
      </c>
      <c r="H1832" s="125" t="s">
        <v>5916</v>
      </c>
      <c r="I1832" s="125" t="s">
        <v>5366</v>
      </c>
    </row>
    <row r="1833" spans="1:9" x14ac:dyDescent="0.25">
      <c r="A1833" s="125" t="s">
        <v>2712</v>
      </c>
      <c r="B1833" s="125" t="s">
        <v>5339</v>
      </c>
      <c r="C1833" s="125">
        <v>235</v>
      </c>
      <c r="D1833" s="139" t="s">
        <v>5340</v>
      </c>
      <c r="E1833" s="125" t="s">
        <v>5341</v>
      </c>
      <c r="F1833" s="140" t="s">
        <v>5342</v>
      </c>
      <c r="G1833" s="125" t="s">
        <v>5297</v>
      </c>
      <c r="H1833" s="125" t="s">
        <v>5916</v>
      </c>
      <c r="I1833" s="125" t="s">
        <v>5366</v>
      </c>
    </row>
    <row r="1834" spans="1:9" x14ac:dyDescent="0.25">
      <c r="A1834" s="125" t="s">
        <v>2634</v>
      </c>
      <c r="B1834" s="125" t="s">
        <v>5339</v>
      </c>
      <c r="C1834" s="125">
        <v>235</v>
      </c>
      <c r="D1834" s="139" t="s">
        <v>5340</v>
      </c>
      <c r="E1834" s="125" t="s">
        <v>5341</v>
      </c>
      <c r="F1834" s="140" t="s">
        <v>5342</v>
      </c>
      <c r="G1834" s="125" t="s">
        <v>5297</v>
      </c>
      <c r="H1834" s="125" t="s">
        <v>1190</v>
      </c>
      <c r="I1834" s="125" t="s">
        <v>5366</v>
      </c>
    </row>
    <row r="1835" spans="1:9" x14ac:dyDescent="0.25">
      <c r="A1835" s="125" t="s">
        <v>2449</v>
      </c>
      <c r="B1835" s="125" t="s">
        <v>5339</v>
      </c>
      <c r="C1835" s="125">
        <v>235</v>
      </c>
      <c r="D1835" s="139" t="s">
        <v>5340</v>
      </c>
      <c r="E1835" s="125" t="s">
        <v>5341</v>
      </c>
      <c r="F1835" s="140" t="s">
        <v>5342</v>
      </c>
      <c r="G1835" s="125" t="s">
        <v>5297</v>
      </c>
      <c r="H1835" s="125" t="s">
        <v>1190</v>
      </c>
      <c r="I1835" s="125" t="s">
        <v>5366</v>
      </c>
    </row>
    <row r="1836" spans="1:9" x14ac:dyDescent="0.25">
      <c r="A1836" s="125" t="s">
        <v>2724</v>
      </c>
      <c r="B1836" s="125" t="s">
        <v>5320</v>
      </c>
      <c r="C1836" s="125">
        <v>234</v>
      </c>
      <c r="D1836" s="125" t="s">
        <v>5321</v>
      </c>
      <c r="E1836" s="125" t="s">
        <v>5303</v>
      </c>
      <c r="F1836" s="125" t="s">
        <v>5304</v>
      </c>
      <c r="G1836" s="125" t="s">
        <v>5297</v>
      </c>
      <c r="H1836" s="125" t="s">
        <v>1231</v>
      </c>
      <c r="I1836" s="125" t="s">
        <v>3343</v>
      </c>
    </row>
    <row r="1837" spans="1:9" x14ac:dyDescent="0.25">
      <c r="A1837" s="125" t="s">
        <v>2222</v>
      </c>
      <c r="B1837" s="125" t="s">
        <v>5716</v>
      </c>
      <c r="C1837" s="125">
        <v>229</v>
      </c>
      <c r="D1837" s="125" t="s">
        <v>5717</v>
      </c>
      <c r="E1837" s="125" t="s">
        <v>5295</v>
      </c>
      <c r="F1837" s="125" t="s">
        <v>5296</v>
      </c>
      <c r="G1837" s="125" t="s">
        <v>5297</v>
      </c>
      <c r="H1837" s="125" t="s">
        <v>5975</v>
      </c>
      <c r="I1837" s="125" t="s">
        <v>3343</v>
      </c>
    </row>
    <row r="1838" spans="1:9" x14ac:dyDescent="0.25">
      <c r="A1838" s="125" t="s">
        <v>2087</v>
      </c>
      <c r="B1838" s="125" t="s">
        <v>5716</v>
      </c>
      <c r="C1838" s="125">
        <v>229</v>
      </c>
      <c r="D1838" s="125" t="s">
        <v>5717</v>
      </c>
      <c r="E1838" s="125" t="s">
        <v>5295</v>
      </c>
      <c r="F1838" s="125" t="s">
        <v>5296</v>
      </c>
      <c r="G1838" s="125" t="s">
        <v>5297</v>
      </c>
      <c r="H1838" s="125" t="s">
        <v>5975</v>
      </c>
      <c r="I1838" s="125" t="s">
        <v>3343</v>
      </c>
    </row>
    <row r="1839" spans="1:9" x14ac:dyDescent="0.25">
      <c r="A1839" s="125" t="s">
        <v>2086</v>
      </c>
      <c r="B1839" s="125" t="s">
        <v>5716</v>
      </c>
      <c r="C1839" s="125">
        <v>229</v>
      </c>
      <c r="D1839" s="125" t="s">
        <v>5717</v>
      </c>
      <c r="E1839" s="125" t="s">
        <v>5295</v>
      </c>
      <c r="F1839" s="125" t="s">
        <v>5296</v>
      </c>
      <c r="G1839" s="125" t="s">
        <v>5297</v>
      </c>
      <c r="H1839" s="125" t="s">
        <v>5976</v>
      </c>
      <c r="I1839" s="125" t="s">
        <v>3343</v>
      </c>
    </row>
    <row r="1840" spans="1:9" x14ac:dyDescent="0.25">
      <c r="A1840" s="125" t="s">
        <v>2251</v>
      </c>
      <c r="B1840" s="125" t="s">
        <v>5716</v>
      </c>
      <c r="C1840" s="125">
        <v>229</v>
      </c>
      <c r="D1840" s="125" t="s">
        <v>5717</v>
      </c>
      <c r="E1840" s="125" t="s">
        <v>5295</v>
      </c>
      <c r="F1840" s="125" t="s">
        <v>5296</v>
      </c>
      <c r="G1840" s="125" t="s">
        <v>5297</v>
      </c>
      <c r="H1840" s="125" t="s">
        <v>5976</v>
      </c>
      <c r="I1840" s="125" t="s">
        <v>3343</v>
      </c>
    </row>
    <row r="1841" spans="1:9" x14ac:dyDescent="0.25">
      <c r="A1841" s="125" t="s">
        <v>1598</v>
      </c>
      <c r="B1841" s="125" t="s">
        <v>5716</v>
      </c>
      <c r="C1841" s="125">
        <v>229</v>
      </c>
      <c r="D1841" s="125" t="s">
        <v>5717</v>
      </c>
      <c r="E1841" s="125" t="s">
        <v>5295</v>
      </c>
      <c r="F1841" s="125" t="s">
        <v>5296</v>
      </c>
      <c r="G1841" s="125" t="s">
        <v>5297</v>
      </c>
      <c r="H1841" s="125" t="s">
        <v>5976</v>
      </c>
      <c r="I1841" s="125" t="s">
        <v>3343</v>
      </c>
    </row>
    <row r="1842" spans="1:9" x14ac:dyDescent="0.25">
      <c r="A1842" s="125" t="s">
        <v>1649</v>
      </c>
      <c r="B1842" s="125" t="s">
        <v>5320</v>
      </c>
      <c r="C1842" s="125">
        <v>234</v>
      </c>
      <c r="D1842" s="125" t="s">
        <v>5321</v>
      </c>
      <c r="E1842" s="125" t="s">
        <v>5303</v>
      </c>
      <c r="F1842" s="125" t="s">
        <v>5304</v>
      </c>
      <c r="G1842" s="125" t="s">
        <v>5297</v>
      </c>
      <c r="H1842" s="125" t="s">
        <v>5977</v>
      </c>
      <c r="I1842" s="125" t="s">
        <v>3343</v>
      </c>
    </row>
    <row r="1843" spans="1:9" x14ac:dyDescent="0.25">
      <c r="A1843" s="125" t="s">
        <v>1754</v>
      </c>
      <c r="B1843" s="125" t="s">
        <v>5320</v>
      </c>
      <c r="C1843" s="125">
        <v>234</v>
      </c>
      <c r="D1843" s="125" t="s">
        <v>5321</v>
      </c>
      <c r="E1843" s="125" t="s">
        <v>5303</v>
      </c>
      <c r="F1843" s="125" t="s">
        <v>5304</v>
      </c>
      <c r="G1843" s="125" t="s">
        <v>5297</v>
      </c>
      <c r="H1843" s="125" t="s">
        <v>5977</v>
      </c>
      <c r="I1843" s="125" t="s">
        <v>3343</v>
      </c>
    </row>
    <row r="1844" spans="1:9" x14ac:dyDescent="0.25">
      <c r="A1844" s="125" t="s">
        <v>2027</v>
      </c>
      <c r="B1844" s="125" t="s">
        <v>5716</v>
      </c>
      <c r="C1844" s="125">
        <v>229</v>
      </c>
      <c r="D1844" s="125" t="s">
        <v>5717</v>
      </c>
      <c r="E1844" s="125" t="s">
        <v>5295</v>
      </c>
      <c r="F1844" s="125" t="s">
        <v>5296</v>
      </c>
      <c r="G1844" s="125" t="s">
        <v>5297</v>
      </c>
      <c r="H1844" s="125" t="s">
        <v>5976</v>
      </c>
      <c r="I1844" s="125" t="s">
        <v>3343</v>
      </c>
    </row>
    <row r="1845" spans="1:9" x14ac:dyDescent="0.25">
      <c r="A1845" s="125" t="s">
        <v>1112</v>
      </c>
      <c r="B1845" s="125" t="s">
        <v>5716</v>
      </c>
      <c r="C1845" s="125">
        <v>229</v>
      </c>
      <c r="D1845" s="125" t="s">
        <v>5717</v>
      </c>
      <c r="E1845" s="125" t="s">
        <v>5295</v>
      </c>
      <c r="F1845" s="125" t="s">
        <v>5296</v>
      </c>
      <c r="G1845" s="125" t="s">
        <v>5297</v>
      </c>
      <c r="H1845" s="125" t="s">
        <v>5978</v>
      </c>
      <c r="I1845" s="125" t="s">
        <v>3343</v>
      </c>
    </row>
    <row r="1846" spans="1:9" x14ac:dyDescent="0.25">
      <c r="A1846" s="125" t="s">
        <v>1232</v>
      </c>
      <c r="B1846" s="125" t="s">
        <v>5320</v>
      </c>
      <c r="C1846" s="125">
        <v>234</v>
      </c>
      <c r="D1846" s="125" t="s">
        <v>5321</v>
      </c>
      <c r="E1846" s="125" t="s">
        <v>5303</v>
      </c>
      <c r="F1846" s="125" t="s">
        <v>5304</v>
      </c>
      <c r="G1846" s="125" t="s">
        <v>5297</v>
      </c>
      <c r="H1846" s="125" t="s">
        <v>1231</v>
      </c>
      <c r="I1846" s="125" t="s">
        <v>3343</v>
      </c>
    </row>
    <row r="1847" spans="1:9" x14ac:dyDescent="0.25">
      <c r="A1847" s="125" t="s">
        <v>1788</v>
      </c>
      <c r="B1847" s="125" t="s">
        <v>5320</v>
      </c>
      <c r="C1847" s="125">
        <v>234</v>
      </c>
      <c r="D1847" s="125" t="s">
        <v>5321</v>
      </c>
      <c r="E1847" s="125" t="s">
        <v>5303</v>
      </c>
      <c r="F1847" s="125" t="s">
        <v>5304</v>
      </c>
      <c r="G1847" s="125" t="s">
        <v>5297</v>
      </c>
      <c r="H1847" s="125" t="s">
        <v>5978</v>
      </c>
      <c r="I1847" s="125" t="s">
        <v>3343</v>
      </c>
    </row>
    <row r="1848" spans="1:9" x14ac:dyDescent="0.25">
      <c r="A1848" s="125" t="s">
        <v>2904</v>
      </c>
      <c r="B1848" s="125" t="s">
        <v>5320</v>
      </c>
      <c r="C1848" s="125">
        <v>234</v>
      </c>
      <c r="D1848" s="125" t="s">
        <v>5321</v>
      </c>
      <c r="E1848" s="125" t="s">
        <v>5303</v>
      </c>
      <c r="F1848" s="125" t="s">
        <v>5304</v>
      </c>
      <c r="G1848" s="125" t="s">
        <v>5297</v>
      </c>
      <c r="H1848" s="125" t="s">
        <v>5977</v>
      </c>
      <c r="I1848" s="125" t="s">
        <v>3343</v>
      </c>
    </row>
    <row r="1849" spans="1:9" x14ac:dyDescent="0.25">
      <c r="A1849" s="125" t="s">
        <v>1103</v>
      </c>
      <c r="B1849" s="125" t="s">
        <v>5320</v>
      </c>
      <c r="C1849" s="125">
        <v>234</v>
      </c>
      <c r="D1849" s="125" t="s">
        <v>5321</v>
      </c>
      <c r="E1849" s="125" t="s">
        <v>5303</v>
      </c>
      <c r="F1849" s="125" t="s">
        <v>5304</v>
      </c>
      <c r="G1849" s="125" t="s">
        <v>5297</v>
      </c>
      <c r="H1849" s="125" t="s">
        <v>5977</v>
      </c>
      <c r="I1849" s="125" t="s">
        <v>3343</v>
      </c>
    </row>
    <row r="1850" spans="1:9" x14ac:dyDescent="0.25">
      <c r="A1850" s="125" t="s">
        <v>2826</v>
      </c>
      <c r="B1850" s="125" t="s">
        <v>5320</v>
      </c>
      <c r="C1850" s="125">
        <v>234</v>
      </c>
      <c r="D1850" s="125" t="s">
        <v>5321</v>
      </c>
      <c r="E1850" s="125" t="s">
        <v>5303</v>
      </c>
      <c r="F1850" s="125" t="s">
        <v>5304</v>
      </c>
      <c r="G1850" s="125" t="s">
        <v>5297</v>
      </c>
      <c r="H1850" s="125" t="s">
        <v>371</v>
      </c>
      <c r="I1850" s="125" t="s">
        <v>371</v>
      </c>
    </row>
    <row r="1851" spans="1:9" x14ac:dyDescent="0.25">
      <c r="A1851" s="125" t="s">
        <v>1406</v>
      </c>
      <c r="B1851" s="125" t="s">
        <v>5716</v>
      </c>
      <c r="C1851" s="125">
        <v>229</v>
      </c>
      <c r="D1851" s="125" t="s">
        <v>5717</v>
      </c>
      <c r="E1851" s="125" t="s">
        <v>5295</v>
      </c>
      <c r="F1851" s="125" t="s">
        <v>5296</v>
      </c>
      <c r="G1851" s="125" t="s">
        <v>5297</v>
      </c>
      <c r="H1851" s="125" t="s">
        <v>5978</v>
      </c>
      <c r="I1851" s="125" t="s">
        <v>3343</v>
      </c>
    </row>
    <row r="1852" spans="1:9" x14ac:dyDescent="0.25">
      <c r="A1852" s="125" t="s">
        <v>1157</v>
      </c>
      <c r="B1852" s="125" t="s">
        <v>5716</v>
      </c>
      <c r="C1852" s="125">
        <v>229</v>
      </c>
      <c r="D1852" s="125" t="s">
        <v>5717</v>
      </c>
      <c r="E1852" s="125" t="s">
        <v>5295</v>
      </c>
      <c r="F1852" s="125" t="s">
        <v>5296</v>
      </c>
      <c r="G1852" s="125" t="s">
        <v>5297</v>
      </c>
      <c r="H1852" s="125" t="s">
        <v>5978</v>
      </c>
      <c r="I1852" s="125" t="s">
        <v>3343</v>
      </c>
    </row>
    <row r="1853" spans="1:9" x14ac:dyDescent="0.25">
      <c r="A1853" s="125" t="s">
        <v>2034</v>
      </c>
      <c r="B1853" s="125" t="s">
        <v>5716</v>
      </c>
      <c r="C1853" s="125">
        <v>229</v>
      </c>
      <c r="D1853" s="125" t="s">
        <v>5717</v>
      </c>
      <c r="E1853" s="125" t="s">
        <v>5295</v>
      </c>
      <c r="F1853" s="125" t="s">
        <v>5296</v>
      </c>
      <c r="G1853" s="125" t="s">
        <v>5297</v>
      </c>
      <c r="H1853" s="125" t="s">
        <v>1231</v>
      </c>
      <c r="I1853" s="125" t="s">
        <v>3343</v>
      </c>
    </row>
    <row r="1854" spans="1:9" x14ac:dyDescent="0.25">
      <c r="A1854" s="125" t="s">
        <v>1761</v>
      </c>
      <c r="B1854" s="125" t="s">
        <v>5716</v>
      </c>
      <c r="C1854" s="125">
        <v>229</v>
      </c>
      <c r="D1854" s="125" t="s">
        <v>5717</v>
      </c>
      <c r="E1854" s="125" t="s">
        <v>5295</v>
      </c>
      <c r="F1854" s="125" t="s">
        <v>5296</v>
      </c>
      <c r="G1854" s="125" t="s">
        <v>5297</v>
      </c>
      <c r="H1854" s="125" t="s">
        <v>5975</v>
      </c>
      <c r="I1854" s="125" t="s">
        <v>3343</v>
      </c>
    </row>
    <row r="1855" spans="1:9" x14ac:dyDescent="0.25">
      <c r="A1855" s="125" t="s">
        <v>2922</v>
      </c>
      <c r="B1855" s="125" t="s">
        <v>5716</v>
      </c>
      <c r="C1855" s="125">
        <v>229</v>
      </c>
      <c r="D1855" s="125" t="s">
        <v>5717</v>
      </c>
      <c r="E1855" s="125" t="s">
        <v>5295</v>
      </c>
      <c r="F1855" s="125" t="s">
        <v>5296</v>
      </c>
      <c r="G1855" s="125" t="s">
        <v>5297</v>
      </c>
      <c r="H1855" s="125" t="s">
        <v>5975</v>
      </c>
      <c r="I1855" s="125" t="s">
        <v>3343</v>
      </c>
    </row>
    <row r="1856" spans="1:9" x14ac:dyDescent="0.25">
      <c r="A1856" s="125" t="s">
        <v>1522</v>
      </c>
      <c r="B1856" s="125" t="s">
        <v>5716</v>
      </c>
      <c r="C1856" s="125">
        <v>229</v>
      </c>
      <c r="D1856" s="125" t="s">
        <v>5717</v>
      </c>
      <c r="E1856" s="125" t="s">
        <v>5295</v>
      </c>
      <c r="F1856" s="125" t="s">
        <v>5296</v>
      </c>
      <c r="G1856" s="125" t="s">
        <v>5297</v>
      </c>
      <c r="H1856" s="125" t="s">
        <v>1231</v>
      </c>
      <c r="I1856" s="125" t="s">
        <v>3343</v>
      </c>
    </row>
    <row r="1857" spans="1:9" x14ac:dyDescent="0.25">
      <c r="A1857" s="125" t="s">
        <v>2568</v>
      </c>
      <c r="B1857" s="125" t="s">
        <v>5716</v>
      </c>
      <c r="C1857" s="125">
        <v>229</v>
      </c>
      <c r="D1857" s="125" t="s">
        <v>5717</v>
      </c>
      <c r="E1857" s="125" t="s">
        <v>5295</v>
      </c>
      <c r="F1857" s="125" t="s">
        <v>5296</v>
      </c>
      <c r="G1857" s="125" t="s">
        <v>5297</v>
      </c>
      <c r="H1857" s="125" t="s">
        <v>5975</v>
      </c>
      <c r="I1857" s="125" t="s">
        <v>3343</v>
      </c>
    </row>
    <row r="1858" spans="1:9" x14ac:dyDescent="0.25">
      <c r="A1858" s="125" t="s">
        <v>2590</v>
      </c>
      <c r="B1858" s="125" t="s">
        <v>5716</v>
      </c>
      <c r="C1858" s="125">
        <v>229</v>
      </c>
      <c r="D1858" s="125" t="s">
        <v>5717</v>
      </c>
      <c r="E1858" s="125" t="s">
        <v>5295</v>
      </c>
      <c r="F1858" s="125" t="s">
        <v>5296</v>
      </c>
      <c r="G1858" s="125" t="s">
        <v>5297</v>
      </c>
      <c r="H1858" s="125" t="s">
        <v>371</v>
      </c>
      <c r="I1858" s="125" t="s">
        <v>371</v>
      </c>
    </row>
    <row r="1859" spans="1:9" x14ac:dyDescent="0.25">
      <c r="A1859" s="125" t="s">
        <v>1674</v>
      </c>
      <c r="B1859" s="125" t="s">
        <v>5320</v>
      </c>
      <c r="C1859" s="125">
        <v>234</v>
      </c>
      <c r="D1859" s="125" t="s">
        <v>5321</v>
      </c>
      <c r="E1859" s="125" t="s">
        <v>5303</v>
      </c>
      <c r="F1859" s="125" t="s">
        <v>5304</v>
      </c>
      <c r="G1859" s="125" t="s">
        <v>5297</v>
      </c>
      <c r="H1859" s="125" t="s">
        <v>5977</v>
      </c>
      <c r="I1859" s="125" t="s">
        <v>3343</v>
      </c>
    </row>
    <row r="1860" spans="1:9" x14ac:dyDescent="0.25">
      <c r="A1860" s="125" t="s">
        <v>2412</v>
      </c>
      <c r="B1860" s="125" t="s">
        <v>5320</v>
      </c>
      <c r="C1860" s="125">
        <v>234</v>
      </c>
      <c r="D1860" s="125" t="s">
        <v>5321</v>
      </c>
      <c r="E1860" s="125" t="s">
        <v>5303</v>
      </c>
      <c r="F1860" s="125" t="s">
        <v>5304</v>
      </c>
      <c r="G1860" s="125" t="s">
        <v>5297</v>
      </c>
      <c r="H1860" s="125" t="s">
        <v>5978</v>
      </c>
      <c r="I1860" s="125" t="s">
        <v>3343</v>
      </c>
    </row>
    <row r="1861" spans="1:9" x14ac:dyDescent="0.25">
      <c r="A1861" s="125" t="s">
        <v>1644</v>
      </c>
      <c r="B1861" s="125" t="s">
        <v>5716</v>
      </c>
      <c r="C1861" s="125">
        <v>229</v>
      </c>
      <c r="D1861" s="125" t="s">
        <v>5717</v>
      </c>
      <c r="E1861" s="125" t="s">
        <v>5295</v>
      </c>
      <c r="F1861" s="125" t="s">
        <v>5296</v>
      </c>
      <c r="G1861" s="125" t="s">
        <v>5297</v>
      </c>
      <c r="H1861" s="125" t="s">
        <v>5975</v>
      </c>
      <c r="I1861" s="125" t="s">
        <v>3343</v>
      </c>
    </row>
    <row r="1862" spans="1:9" x14ac:dyDescent="0.25">
      <c r="A1862" s="125" t="s">
        <v>2741</v>
      </c>
      <c r="B1862" s="125" t="s">
        <v>5648</v>
      </c>
      <c r="C1862" s="125">
        <v>714</v>
      </c>
      <c r="D1862" s="125" t="s">
        <v>5649</v>
      </c>
      <c r="E1862" s="125" t="s">
        <v>5465</v>
      </c>
      <c r="F1862" s="125" t="s">
        <v>5466</v>
      </c>
      <c r="G1862" s="125" t="s">
        <v>5270</v>
      </c>
      <c r="H1862" s="125" t="s">
        <v>5684</v>
      </c>
      <c r="I1862" s="125" t="s">
        <v>5684</v>
      </c>
    </row>
    <row r="1863" spans="1:9" x14ac:dyDescent="0.25">
      <c r="A1863" s="125" t="s">
        <v>2560</v>
      </c>
      <c r="B1863" s="125" t="s">
        <v>5648</v>
      </c>
      <c r="C1863" s="125">
        <v>714</v>
      </c>
      <c r="D1863" s="125" t="s">
        <v>5649</v>
      </c>
      <c r="E1863" s="125" t="s">
        <v>5465</v>
      </c>
      <c r="F1863" s="125" t="s">
        <v>5466</v>
      </c>
      <c r="G1863" s="125" t="s">
        <v>5270</v>
      </c>
      <c r="H1863" s="125" t="s">
        <v>1102</v>
      </c>
      <c r="I1863" s="125" t="s">
        <v>1102</v>
      </c>
    </row>
    <row r="1864" spans="1:9" x14ac:dyDescent="0.25">
      <c r="A1864" s="125" t="s">
        <v>2727</v>
      </c>
      <c r="B1864" s="125" t="s">
        <v>5648</v>
      </c>
      <c r="C1864" s="125">
        <v>714</v>
      </c>
      <c r="D1864" s="125" t="s">
        <v>5649</v>
      </c>
      <c r="E1864" s="125" t="s">
        <v>5465</v>
      </c>
      <c r="F1864" s="125" t="s">
        <v>5466</v>
      </c>
      <c r="G1864" s="125" t="s">
        <v>5270</v>
      </c>
      <c r="H1864" s="125" t="s">
        <v>5684</v>
      </c>
      <c r="I1864" s="125" t="s">
        <v>5684</v>
      </c>
    </row>
    <row r="1865" spans="1:9" x14ac:dyDescent="0.25">
      <c r="A1865" s="125" t="s">
        <v>3057</v>
      </c>
      <c r="B1865" s="125" t="s">
        <v>5648</v>
      </c>
      <c r="C1865" s="125">
        <v>714</v>
      </c>
      <c r="D1865" s="125" t="s">
        <v>5649</v>
      </c>
      <c r="E1865" s="125" t="s">
        <v>5465</v>
      </c>
      <c r="F1865" s="125" t="s">
        <v>5466</v>
      </c>
      <c r="G1865" s="125" t="s">
        <v>5270</v>
      </c>
      <c r="H1865" s="125" t="s">
        <v>5684</v>
      </c>
      <c r="I1865" s="125" t="s">
        <v>5684</v>
      </c>
    </row>
    <row r="1866" spans="1:9" x14ac:dyDescent="0.25">
      <c r="A1866" s="125" t="s">
        <v>5979</v>
      </c>
      <c r="B1866" s="125" t="s">
        <v>5648</v>
      </c>
      <c r="C1866" s="125">
        <v>714</v>
      </c>
      <c r="D1866" s="125" t="s">
        <v>5649</v>
      </c>
      <c r="E1866" s="125" t="s">
        <v>5465</v>
      </c>
      <c r="F1866" s="125" t="s">
        <v>5466</v>
      </c>
      <c r="G1866" s="125" t="s">
        <v>5270</v>
      </c>
      <c r="H1866" s="125" t="s">
        <v>1102</v>
      </c>
      <c r="I1866" s="125" t="s">
        <v>1102</v>
      </c>
    </row>
    <row r="1867" spans="1:9" x14ac:dyDescent="0.25">
      <c r="A1867" s="125" t="s">
        <v>5980</v>
      </c>
      <c r="B1867" s="125" t="s">
        <v>5648</v>
      </c>
      <c r="C1867" s="125">
        <v>714</v>
      </c>
      <c r="D1867" s="125" t="s">
        <v>5649</v>
      </c>
      <c r="E1867" s="125" t="s">
        <v>5465</v>
      </c>
      <c r="F1867" s="125" t="s">
        <v>5466</v>
      </c>
      <c r="G1867" s="125" t="s">
        <v>5270</v>
      </c>
      <c r="H1867" s="125" t="s">
        <v>5981</v>
      </c>
      <c r="I1867" s="125" t="s">
        <v>5684</v>
      </c>
    </row>
    <row r="1868" spans="1:9" x14ac:dyDescent="0.25">
      <c r="A1868" s="125" t="s">
        <v>2698</v>
      </c>
      <c r="B1868" s="125" t="s">
        <v>5648</v>
      </c>
      <c r="C1868" s="125">
        <v>714</v>
      </c>
      <c r="D1868" s="125" t="s">
        <v>5649</v>
      </c>
      <c r="E1868" s="125" t="s">
        <v>5465</v>
      </c>
      <c r="F1868" s="125" t="s">
        <v>5466</v>
      </c>
      <c r="G1868" s="125" t="s">
        <v>5270</v>
      </c>
      <c r="H1868" s="125" t="s">
        <v>5981</v>
      </c>
      <c r="I1868" s="125" t="s">
        <v>5684</v>
      </c>
    </row>
    <row r="1869" spans="1:9" x14ac:dyDescent="0.25">
      <c r="A1869" s="125" t="s">
        <v>5982</v>
      </c>
      <c r="B1869" s="125" t="s">
        <v>5648</v>
      </c>
      <c r="C1869" s="125">
        <v>714</v>
      </c>
      <c r="D1869" s="125" t="s">
        <v>5649</v>
      </c>
      <c r="E1869" s="125" t="s">
        <v>5465</v>
      </c>
      <c r="F1869" s="125" t="s">
        <v>5466</v>
      </c>
      <c r="G1869" s="125" t="s">
        <v>5270</v>
      </c>
      <c r="H1869" s="125" t="s">
        <v>5981</v>
      </c>
      <c r="I1869" s="125" t="s">
        <v>5684</v>
      </c>
    </row>
    <row r="1870" spans="1:9" x14ac:dyDescent="0.25">
      <c r="A1870" s="125" t="s">
        <v>5983</v>
      </c>
      <c r="B1870" s="125" t="s">
        <v>5648</v>
      </c>
      <c r="C1870" s="125">
        <v>714</v>
      </c>
      <c r="D1870" s="125" t="s">
        <v>5649</v>
      </c>
      <c r="E1870" s="125" t="s">
        <v>5465</v>
      </c>
      <c r="F1870" s="125" t="s">
        <v>5466</v>
      </c>
      <c r="G1870" s="125" t="s">
        <v>5270</v>
      </c>
      <c r="H1870" s="125" t="s">
        <v>1102</v>
      </c>
      <c r="I1870" s="125" t="s">
        <v>1102</v>
      </c>
    </row>
    <row r="1871" spans="1:9" x14ac:dyDescent="0.25">
      <c r="A1871" s="125" t="s">
        <v>5984</v>
      </c>
      <c r="B1871" s="125" t="s">
        <v>5648</v>
      </c>
      <c r="C1871" s="125">
        <v>714</v>
      </c>
      <c r="D1871" s="125" t="s">
        <v>5649</v>
      </c>
      <c r="E1871" s="125" t="s">
        <v>5465</v>
      </c>
      <c r="F1871" s="125" t="s">
        <v>5466</v>
      </c>
      <c r="G1871" s="125" t="s">
        <v>5270</v>
      </c>
      <c r="H1871" s="125" t="s">
        <v>5981</v>
      </c>
      <c r="I1871" s="125" t="s">
        <v>5684</v>
      </c>
    </row>
    <row r="1872" spans="1:9" x14ac:dyDescent="0.25">
      <c r="A1872" s="125" t="s">
        <v>2336</v>
      </c>
      <c r="B1872" s="125" t="s">
        <v>5648</v>
      </c>
      <c r="C1872" s="125">
        <v>714</v>
      </c>
      <c r="D1872" s="125" t="s">
        <v>5649</v>
      </c>
      <c r="E1872" s="125" t="s">
        <v>5465</v>
      </c>
      <c r="F1872" s="125" t="s">
        <v>5466</v>
      </c>
      <c r="G1872" s="125" t="s">
        <v>5270</v>
      </c>
      <c r="H1872" s="125" t="s">
        <v>5981</v>
      </c>
      <c r="I1872" s="125" t="s">
        <v>5684</v>
      </c>
    </row>
    <row r="1873" spans="1:9" x14ac:dyDescent="0.25">
      <c r="A1873" s="125" t="s">
        <v>1554</v>
      </c>
      <c r="B1873" s="125" t="s">
        <v>5648</v>
      </c>
      <c r="C1873" s="125">
        <v>714</v>
      </c>
      <c r="D1873" s="125" t="s">
        <v>5649</v>
      </c>
      <c r="E1873" s="125" t="s">
        <v>5465</v>
      </c>
      <c r="F1873" s="125" t="s">
        <v>5466</v>
      </c>
      <c r="G1873" s="125" t="s">
        <v>5270</v>
      </c>
      <c r="H1873" s="125" t="s">
        <v>5684</v>
      </c>
      <c r="I1873" s="125" t="s">
        <v>5684</v>
      </c>
    </row>
    <row r="1874" spans="1:9" x14ac:dyDescent="0.25">
      <c r="A1874" s="125" t="s">
        <v>5985</v>
      </c>
      <c r="B1874" s="125" t="s">
        <v>5648</v>
      </c>
      <c r="C1874" s="125">
        <v>714</v>
      </c>
      <c r="D1874" s="125" t="s">
        <v>5649</v>
      </c>
      <c r="E1874" s="125" t="s">
        <v>5465</v>
      </c>
      <c r="F1874" s="125" t="s">
        <v>5466</v>
      </c>
      <c r="G1874" s="125" t="s">
        <v>5270</v>
      </c>
      <c r="H1874" s="125" t="s">
        <v>5686</v>
      </c>
      <c r="I1874" s="125" t="s">
        <v>5686</v>
      </c>
    </row>
    <row r="1875" spans="1:9" x14ac:dyDescent="0.25">
      <c r="A1875" s="125" t="s">
        <v>5986</v>
      </c>
      <c r="B1875" s="125" t="s">
        <v>5648</v>
      </c>
      <c r="C1875" s="125">
        <v>714</v>
      </c>
      <c r="D1875" s="125" t="s">
        <v>5649</v>
      </c>
      <c r="E1875" s="125" t="s">
        <v>5465</v>
      </c>
      <c r="F1875" s="125" t="s">
        <v>5466</v>
      </c>
      <c r="G1875" s="125" t="s">
        <v>5270</v>
      </c>
      <c r="H1875" s="125" t="s">
        <v>5686</v>
      </c>
      <c r="I1875" s="125" t="s">
        <v>5686</v>
      </c>
    </row>
    <row r="1876" spans="1:9" x14ac:dyDescent="0.25">
      <c r="A1876" s="125" t="s">
        <v>5987</v>
      </c>
      <c r="B1876" s="125" t="s">
        <v>5648</v>
      </c>
      <c r="C1876" s="125">
        <v>714</v>
      </c>
      <c r="D1876" s="125" t="s">
        <v>5649</v>
      </c>
      <c r="E1876" s="125" t="s">
        <v>5465</v>
      </c>
      <c r="F1876" s="125" t="s">
        <v>5466</v>
      </c>
      <c r="G1876" s="125" t="s">
        <v>5270</v>
      </c>
      <c r="H1876" s="125" t="s">
        <v>5686</v>
      </c>
      <c r="I1876" s="125" t="s">
        <v>5686</v>
      </c>
    </row>
    <row r="1877" spans="1:9" x14ac:dyDescent="0.25">
      <c r="A1877" s="125" t="s">
        <v>1908</v>
      </c>
      <c r="B1877" s="125" t="s">
        <v>5648</v>
      </c>
      <c r="C1877" s="125">
        <v>714</v>
      </c>
      <c r="D1877" s="125" t="s">
        <v>5649</v>
      </c>
      <c r="E1877" s="125" t="s">
        <v>5465</v>
      </c>
      <c r="F1877" s="125" t="s">
        <v>5466</v>
      </c>
      <c r="G1877" s="125" t="s">
        <v>5270</v>
      </c>
      <c r="H1877" s="125" t="s">
        <v>5686</v>
      </c>
      <c r="I1877" s="125" t="s">
        <v>5686</v>
      </c>
    </row>
    <row r="1878" spans="1:9" x14ac:dyDescent="0.25">
      <c r="A1878" s="125" t="s">
        <v>5988</v>
      </c>
      <c r="B1878" s="125" t="s">
        <v>5648</v>
      </c>
      <c r="C1878" s="125">
        <v>714</v>
      </c>
      <c r="D1878" s="125" t="s">
        <v>5649</v>
      </c>
      <c r="E1878" s="125" t="s">
        <v>5465</v>
      </c>
      <c r="F1878" s="125" t="s">
        <v>5466</v>
      </c>
      <c r="G1878" s="125" t="s">
        <v>5270</v>
      </c>
      <c r="H1878" s="125" t="s">
        <v>1102</v>
      </c>
      <c r="I1878" s="125" t="s">
        <v>1102</v>
      </c>
    </row>
    <row r="1879" spans="1:9" x14ac:dyDescent="0.25">
      <c r="A1879" s="125" t="s">
        <v>5989</v>
      </c>
      <c r="B1879" s="125" t="s">
        <v>5648</v>
      </c>
      <c r="C1879" s="125">
        <v>714</v>
      </c>
      <c r="D1879" s="125" t="s">
        <v>5649</v>
      </c>
      <c r="E1879" s="125" t="s">
        <v>5465</v>
      </c>
      <c r="F1879" s="125" t="s">
        <v>5466</v>
      </c>
      <c r="G1879" s="125" t="s">
        <v>5270</v>
      </c>
      <c r="H1879" s="125" t="s">
        <v>1102</v>
      </c>
      <c r="I1879" s="125" t="s">
        <v>1102</v>
      </c>
    </row>
    <row r="1880" spans="1:9" x14ac:dyDescent="0.25">
      <c r="A1880" s="125" t="s">
        <v>5990</v>
      </c>
      <c r="B1880" s="125" t="s">
        <v>5648</v>
      </c>
      <c r="C1880" s="125">
        <v>714</v>
      </c>
      <c r="D1880" s="125" t="s">
        <v>5649</v>
      </c>
      <c r="E1880" s="125" t="s">
        <v>5465</v>
      </c>
      <c r="F1880" s="125" t="s">
        <v>5466</v>
      </c>
      <c r="G1880" s="125" t="s">
        <v>5270</v>
      </c>
      <c r="H1880" s="125" t="s">
        <v>1102</v>
      </c>
      <c r="I1880" s="125" t="s">
        <v>1102</v>
      </c>
    </row>
    <row r="1881" spans="1:9" x14ac:dyDescent="0.25">
      <c r="A1881" s="125" t="s">
        <v>5991</v>
      </c>
      <c r="B1881" s="125" t="s">
        <v>5648</v>
      </c>
      <c r="C1881" s="125">
        <v>714</v>
      </c>
      <c r="D1881" s="125" t="s">
        <v>5649</v>
      </c>
      <c r="E1881" s="125" t="s">
        <v>5465</v>
      </c>
      <c r="F1881" s="125" t="s">
        <v>5466</v>
      </c>
      <c r="G1881" s="125" t="s">
        <v>5270</v>
      </c>
      <c r="H1881" s="125" t="s">
        <v>1102</v>
      </c>
      <c r="I1881" s="125" t="s">
        <v>1102</v>
      </c>
    </row>
    <row r="1882" spans="1:9" x14ac:dyDescent="0.25">
      <c r="A1882" s="125" t="s">
        <v>2954</v>
      </c>
      <c r="B1882" s="125" t="s">
        <v>5648</v>
      </c>
      <c r="C1882" s="125">
        <v>714</v>
      </c>
      <c r="D1882" s="125" t="s">
        <v>5649</v>
      </c>
      <c r="E1882" s="125" t="s">
        <v>5465</v>
      </c>
      <c r="F1882" s="125" t="s">
        <v>5466</v>
      </c>
      <c r="G1882" s="125" t="s">
        <v>5270</v>
      </c>
      <c r="H1882" s="125" t="s">
        <v>5686</v>
      </c>
      <c r="I1882" s="125" t="s">
        <v>5686</v>
      </c>
    </row>
    <row r="1883" spans="1:9" x14ac:dyDescent="0.25">
      <c r="A1883" s="125" t="s">
        <v>5992</v>
      </c>
      <c r="B1883" s="125" t="s">
        <v>5648</v>
      </c>
      <c r="C1883" s="125">
        <v>714</v>
      </c>
      <c r="D1883" s="125" t="s">
        <v>5649</v>
      </c>
      <c r="E1883" s="125" t="s">
        <v>5465</v>
      </c>
      <c r="F1883" s="125" t="s">
        <v>5466</v>
      </c>
      <c r="G1883" s="125" t="s">
        <v>5270</v>
      </c>
      <c r="H1883" s="125" t="s">
        <v>5686</v>
      </c>
      <c r="I1883" s="125" t="s">
        <v>5686</v>
      </c>
    </row>
    <row r="1884" spans="1:9" x14ac:dyDescent="0.25">
      <c r="A1884" s="125" t="s">
        <v>3160</v>
      </c>
      <c r="B1884" s="125" t="s">
        <v>5648</v>
      </c>
      <c r="C1884" s="125">
        <v>714</v>
      </c>
      <c r="D1884" s="125" t="s">
        <v>5649</v>
      </c>
      <c r="E1884" s="125" t="s">
        <v>5465</v>
      </c>
      <c r="F1884" s="125" t="s">
        <v>5466</v>
      </c>
      <c r="G1884" s="125" t="s">
        <v>5270</v>
      </c>
      <c r="H1884" s="125" t="s">
        <v>5684</v>
      </c>
      <c r="I1884" s="125" t="s">
        <v>5684</v>
      </c>
    </row>
    <row r="1885" spans="1:9" x14ac:dyDescent="0.25">
      <c r="A1885" s="125" t="s">
        <v>5993</v>
      </c>
      <c r="B1885" s="125" t="s">
        <v>5648</v>
      </c>
      <c r="C1885" s="125">
        <v>714</v>
      </c>
      <c r="D1885" s="125" t="s">
        <v>5649</v>
      </c>
      <c r="E1885" s="125" t="s">
        <v>5465</v>
      </c>
      <c r="F1885" s="125" t="s">
        <v>5466</v>
      </c>
      <c r="G1885" s="125" t="s">
        <v>5270</v>
      </c>
      <c r="H1885" s="125" t="s">
        <v>5686</v>
      </c>
      <c r="I1885" s="125" t="s">
        <v>5686</v>
      </c>
    </row>
    <row r="1886" spans="1:9" x14ac:dyDescent="0.25">
      <c r="A1886" s="125" t="s">
        <v>5994</v>
      </c>
      <c r="B1886" s="125" t="s">
        <v>5648</v>
      </c>
      <c r="C1886" s="125">
        <v>714</v>
      </c>
      <c r="D1886" s="125" t="s">
        <v>5649</v>
      </c>
      <c r="E1886" s="125" t="s">
        <v>5465</v>
      </c>
      <c r="F1886" s="125" t="s">
        <v>5466</v>
      </c>
      <c r="G1886" s="125" t="s">
        <v>5270</v>
      </c>
      <c r="H1886" s="125" t="s">
        <v>5686</v>
      </c>
      <c r="I1886" s="125" t="s">
        <v>5686</v>
      </c>
    </row>
    <row r="1887" spans="1:9" x14ac:dyDescent="0.25">
      <c r="A1887" s="125" t="s">
        <v>5995</v>
      </c>
      <c r="B1887" s="125" t="s">
        <v>5648</v>
      </c>
      <c r="C1887" s="125">
        <v>714</v>
      </c>
      <c r="D1887" s="125" t="s">
        <v>5649</v>
      </c>
      <c r="E1887" s="125" t="s">
        <v>5465</v>
      </c>
      <c r="F1887" s="125" t="s">
        <v>5466</v>
      </c>
      <c r="G1887" s="125" t="s">
        <v>5270</v>
      </c>
      <c r="H1887" s="125" t="s">
        <v>5686</v>
      </c>
      <c r="I1887" s="125" t="s">
        <v>5686</v>
      </c>
    </row>
    <row r="1888" spans="1:9" x14ac:dyDescent="0.25">
      <c r="A1888" s="125" t="s">
        <v>5996</v>
      </c>
      <c r="B1888" s="125" t="s">
        <v>5648</v>
      </c>
      <c r="C1888" s="125">
        <v>714</v>
      </c>
      <c r="D1888" s="125" t="s">
        <v>5649</v>
      </c>
      <c r="E1888" s="125" t="s">
        <v>5465</v>
      </c>
      <c r="F1888" s="125" t="s">
        <v>5466</v>
      </c>
      <c r="G1888" s="125" t="s">
        <v>5270</v>
      </c>
      <c r="H1888" s="125" t="s">
        <v>5686</v>
      </c>
      <c r="I1888" s="125" t="s">
        <v>5686</v>
      </c>
    </row>
    <row r="1889" spans="1:9" x14ac:dyDescent="0.25">
      <c r="A1889" s="125" t="s">
        <v>5997</v>
      </c>
      <c r="B1889" s="125" t="s">
        <v>5648</v>
      </c>
      <c r="C1889" s="125">
        <v>714</v>
      </c>
      <c r="D1889" s="125" t="s">
        <v>5649</v>
      </c>
      <c r="E1889" s="125" t="s">
        <v>5465</v>
      </c>
      <c r="F1889" s="125" t="s">
        <v>5466</v>
      </c>
      <c r="G1889" s="125" t="s">
        <v>5270</v>
      </c>
      <c r="H1889" s="125" t="s">
        <v>5686</v>
      </c>
      <c r="I1889" s="125" t="s">
        <v>5686</v>
      </c>
    </row>
    <row r="1890" spans="1:9" x14ac:dyDescent="0.25">
      <c r="A1890" s="125" t="s">
        <v>5998</v>
      </c>
      <c r="B1890" s="125" t="s">
        <v>5648</v>
      </c>
      <c r="C1890" s="125">
        <v>714</v>
      </c>
      <c r="D1890" s="125" t="s">
        <v>5649</v>
      </c>
      <c r="E1890" s="125" t="s">
        <v>5465</v>
      </c>
      <c r="F1890" s="125" t="s">
        <v>5466</v>
      </c>
      <c r="G1890" s="125" t="s">
        <v>5270</v>
      </c>
      <c r="H1890" s="125" t="s">
        <v>5686</v>
      </c>
      <c r="I1890" s="125" t="s">
        <v>5686</v>
      </c>
    </row>
    <row r="1891" spans="1:9" x14ac:dyDescent="0.25">
      <c r="A1891" s="125" t="s">
        <v>5999</v>
      </c>
      <c r="B1891" s="125" t="s">
        <v>5648</v>
      </c>
      <c r="C1891" s="125">
        <v>714</v>
      </c>
      <c r="D1891" s="125" t="s">
        <v>5649</v>
      </c>
      <c r="E1891" s="125" t="s">
        <v>5465</v>
      </c>
      <c r="F1891" s="125" t="s">
        <v>5466</v>
      </c>
      <c r="G1891" s="125" t="s">
        <v>5270</v>
      </c>
      <c r="H1891" s="125" t="s">
        <v>1102</v>
      </c>
      <c r="I1891" s="125" t="s">
        <v>1102</v>
      </c>
    </row>
    <row r="1892" spans="1:9" x14ac:dyDescent="0.25">
      <c r="A1892" s="125" t="s">
        <v>6000</v>
      </c>
      <c r="B1892" s="125" t="s">
        <v>5648</v>
      </c>
      <c r="C1892" s="125">
        <v>714</v>
      </c>
      <c r="D1892" s="125" t="s">
        <v>5649</v>
      </c>
      <c r="E1892" s="125" t="s">
        <v>5465</v>
      </c>
      <c r="F1892" s="125" t="s">
        <v>5466</v>
      </c>
      <c r="G1892" s="125" t="s">
        <v>5270</v>
      </c>
      <c r="H1892" s="125" t="s">
        <v>5686</v>
      </c>
      <c r="I1892" s="125" t="s">
        <v>5686</v>
      </c>
    </row>
    <row r="1893" spans="1:9" x14ac:dyDescent="0.25">
      <c r="A1893" s="125" t="s">
        <v>6001</v>
      </c>
      <c r="B1893" s="125" t="s">
        <v>5648</v>
      </c>
      <c r="C1893" s="125">
        <v>714</v>
      </c>
      <c r="D1893" s="125" t="s">
        <v>5649</v>
      </c>
      <c r="E1893" s="125" t="s">
        <v>5465</v>
      </c>
      <c r="F1893" s="125" t="s">
        <v>5466</v>
      </c>
      <c r="G1893" s="125" t="s">
        <v>5270</v>
      </c>
      <c r="H1893" s="125" t="s">
        <v>5764</v>
      </c>
      <c r="I1893" s="125" t="s">
        <v>5764</v>
      </c>
    </row>
    <row r="1894" spans="1:9" x14ac:dyDescent="0.25">
      <c r="A1894" s="125" t="s">
        <v>2746</v>
      </c>
      <c r="B1894" s="125" t="s">
        <v>5648</v>
      </c>
      <c r="C1894" s="125">
        <v>714</v>
      </c>
      <c r="D1894" s="125" t="s">
        <v>5649</v>
      </c>
      <c r="E1894" s="125" t="s">
        <v>5465</v>
      </c>
      <c r="F1894" s="125" t="s">
        <v>5466</v>
      </c>
      <c r="G1894" s="125" t="s">
        <v>5270</v>
      </c>
      <c r="H1894" s="125" t="s">
        <v>5684</v>
      </c>
      <c r="I1894" s="125" t="s">
        <v>5684</v>
      </c>
    </row>
    <row r="1895" spans="1:9" x14ac:dyDescent="0.25">
      <c r="A1895" s="125" t="s">
        <v>6002</v>
      </c>
      <c r="B1895" s="125" t="s">
        <v>5382</v>
      </c>
      <c r="C1895" s="125" t="s">
        <v>5383</v>
      </c>
      <c r="D1895" s="125"/>
      <c r="E1895" s="125" t="s">
        <v>5384</v>
      </c>
      <c r="F1895" s="125" t="s">
        <v>5384</v>
      </c>
      <c r="G1895" s="125" t="s">
        <v>5384</v>
      </c>
      <c r="H1895" s="125" t="s">
        <v>371</v>
      </c>
      <c r="I1895" s="125" t="s">
        <v>371</v>
      </c>
    </row>
    <row r="1896" spans="1:9" x14ac:dyDescent="0.25">
      <c r="A1896" s="125" t="s">
        <v>6003</v>
      </c>
      <c r="B1896" s="125" t="s">
        <v>5648</v>
      </c>
      <c r="C1896" s="125">
        <v>714</v>
      </c>
      <c r="D1896" s="125" t="s">
        <v>5649</v>
      </c>
      <c r="E1896" s="125" t="s">
        <v>5465</v>
      </c>
      <c r="F1896" s="125" t="s">
        <v>5466</v>
      </c>
      <c r="G1896" s="125" t="s">
        <v>5270</v>
      </c>
      <c r="H1896" s="125" t="s">
        <v>1102</v>
      </c>
      <c r="I1896" s="125" t="s">
        <v>1102</v>
      </c>
    </row>
    <row r="1897" spans="1:9" x14ac:dyDescent="0.25">
      <c r="A1897" s="125" t="s">
        <v>6004</v>
      </c>
      <c r="B1897" s="125" t="s">
        <v>5648</v>
      </c>
      <c r="C1897" s="125">
        <v>714</v>
      </c>
      <c r="D1897" s="125" t="s">
        <v>5649</v>
      </c>
      <c r="E1897" s="125" t="s">
        <v>5465</v>
      </c>
      <c r="F1897" s="125" t="s">
        <v>5466</v>
      </c>
      <c r="G1897" s="125" t="s">
        <v>5270</v>
      </c>
      <c r="H1897" s="125" t="s">
        <v>5686</v>
      </c>
      <c r="I1897" s="125" t="s">
        <v>5686</v>
      </c>
    </row>
    <row r="1898" spans="1:9" x14ac:dyDescent="0.25">
      <c r="A1898" s="125" t="s">
        <v>6005</v>
      </c>
      <c r="B1898" s="125" t="s">
        <v>5648</v>
      </c>
      <c r="C1898" s="125">
        <v>714</v>
      </c>
      <c r="D1898" s="125" t="s">
        <v>5649</v>
      </c>
      <c r="E1898" s="125" t="s">
        <v>5465</v>
      </c>
      <c r="F1898" s="125" t="s">
        <v>5466</v>
      </c>
      <c r="G1898" s="125" t="s">
        <v>5270</v>
      </c>
      <c r="H1898" s="125" t="s">
        <v>1102</v>
      </c>
      <c r="I1898" s="125" t="s">
        <v>1102</v>
      </c>
    </row>
    <row r="1899" spans="1:9" x14ac:dyDescent="0.25">
      <c r="A1899" s="125" t="s">
        <v>6006</v>
      </c>
      <c r="B1899" s="125" t="s">
        <v>5648</v>
      </c>
      <c r="C1899" s="125">
        <v>714</v>
      </c>
      <c r="D1899" s="125" t="s">
        <v>5649</v>
      </c>
      <c r="E1899" s="125" t="s">
        <v>5465</v>
      </c>
      <c r="F1899" s="125" t="s">
        <v>5466</v>
      </c>
      <c r="G1899" s="125" t="s">
        <v>5270</v>
      </c>
      <c r="H1899" s="125" t="s">
        <v>1102</v>
      </c>
      <c r="I1899" s="125" t="s">
        <v>1102</v>
      </c>
    </row>
    <row r="1900" spans="1:9" x14ac:dyDescent="0.25">
      <c r="A1900" s="125" t="s">
        <v>6007</v>
      </c>
      <c r="B1900" s="125" t="s">
        <v>5648</v>
      </c>
      <c r="C1900" s="125">
        <v>714</v>
      </c>
      <c r="D1900" s="125" t="s">
        <v>5649</v>
      </c>
      <c r="E1900" s="125" t="s">
        <v>5465</v>
      </c>
      <c r="F1900" s="125" t="s">
        <v>5466</v>
      </c>
      <c r="G1900" s="125" t="s">
        <v>5270</v>
      </c>
      <c r="H1900" s="125" t="s">
        <v>1102</v>
      </c>
      <c r="I1900" s="125" t="s">
        <v>1102</v>
      </c>
    </row>
    <row r="1901" spans="1:9" x14ac:dyDescent="0.25">
      <c r="A1901" s="125" t="s">
        <v>6008</v>
      </c>
      <c r="B1901" s="125" t="s">
        <v>5648</v>
      </c>
      <c r="C1901" s="125">
        <v>714</v>
      </c>
      <c r="D1901" s="125" t="s">
        <v>5649</v>
      </c>
      <c r="E1901" s="125" t="s">
        <v>5465</v>
      </c>
      <c r="F1901" s="125" t="s">
        <v>5466</v>
      </c>
      <c r="G1901" s="125" t="s">
        <v>5270</v>
      </c>
      <c r="H1901" s="125" t="s">
        <v>1102</v>
      </c>
      <c r="I1901" s="125" t="s">
        <v>1102</v>
      </c>
    </row>
    <row r="1902" spans="1:9" x14ac:dyDescent="0.25">
      <c r="A1902" s="125" t="s">
        <v>6009</v>
      </c>
      <c r="B1902" s="125" t="s">
        <v>5648</v>
      </c>
      <c r="C1902" s="125">
        <v>714</v>
      </c>
      <c r="D1902" s="125" t="s">
        <v>5649</v>
      </c>
      <c r="E1902" s="125" t="s">
        <v>5465</v>
      </c>
      <c r="F1902" s="125" t="s">
        <v>5466</v>
      </c>
      <c r="G1902" s="125" t="s">
        <v>5270</v>
      </c>
      <c r="H1902" s="125" t="s">
        <v>1102</v>
      </c>
      <c r="I1902" s="125" t="s">
        <v>1102</v>
      </c>
    </row>
    <row r="1903" spans="1:9" x14ac:dyDescent="0.25">
      <c r="A1903" s="125" t="s">
        <v>6010</v>
      </c>
      <c r="B1903" s="125" t="s">
        <v>5648</v>
      </c>
      <c r="C1903" s="125">
        <v>714</v>
      </c>
      <c r="D1903" s="125" t="s">
        <v>5649</v>
      </c>
      <c r="E1903" s="125" t="s">
        <v>5465</v>
      </c>
      <c r="F1903" s="125" t="s">
        <v>5466</v>
      </c>
      <c r="G1903" s="125" t="s">
        <v>5270</v>
      </c>
      <c r="H1903" s="125" t="s">
        <v>1102</v>
      </c>
      <c r="I1903" s="125" t="s">
        <v>1102</v>
      </c>
    </row>
    <row r="1904" spans="1:9" x14ac:dyDescent="0.25">
      <c r="A1904" s="125" t="s">
        <v>1936</v>
      </c>
      <c r="B1904" s="125" t="s">
        <v>5648</v>
      </c>
      <c r="C1904" s="125">
        <v>714</v>
      </c>
      <c r="D1904" s="125" t="s">
        <v>5649</v>
      </c>
      <c r="E1904" s="125" t="s">
        <v>5465</v>
      </c>
      <c r="F1904" s="125" t="s">
        <v>5466</v>
      </c>
      <c r="G1904" s="125" t="s">
        <v>5270</v>
      </c>
      <c r="H1904" s="125" t="s">
        <v>5684</v>
      </c>
      <c r="I1904" s="125" t="s">
        <v>5684</v>
      </c>
    </row>
    <row r="1905" spans="1:9" x14ac:dyDescent="0.25">
      <c r="A1905" s="125" t="s">
        <v>6011</v>
      </c>
      <c r="B1905" s="125" t="s">
        <v>5648</v>
      </c>
      <c r="C1905" s="125">
        <v>714</v>
      </c>
      <c r="D1905" s="125" t="s">
        <v>5649</v>
      </c>
      <c r="E1905" s="125" t="s">
        <v>5465</v>
      </c>
      <c r="F1905" s="125" t="s">
        <v>5466</v>
      </c>
      <c r="G1905" s="125" t="s">
        <v>5270</v>
      </c>
      <c r="H1905" s="125" t="s">
        <v>5684</v>
      </c>
      <c r="I1905" s="125" t="s">
        <v>5684</v>
      </c>
    </row>
    <row r="1906" spans="1:9" x14ac:dyDescent="0.25">
      <c r="A1906" s="125" t="s">
        <v>6012</v>
      </c>
      <c r="B1906" s="125" t="s">
        <v>5648</v>
      </c>
      <c r="C1906" s="125">
        <v>714</v>
      </c>
      <c r="D1906" s="125" t="s">
        <v>5649</v>
      </c>
      <c r="E1906" s="125" t="s">
        <v>5465</v>
      </c>
      <c r="F1906" s="125" t="s">
        <v>5466</v>
      </c>
      <c r="G1906" s="125" t="s">
        <v>5270</v>
      </c>
      <c r="H1906" s="125" t="s">
        <v>1102</v>
      </c>
      <c r="I1906" s="125" t="s">
        <v>1102</v>
      </c>
    </row>
    <row r="1907" spans="1:9" x14ac:dyDescent="0.25">
      <c r="A1907" s="125" t="s">
        <v>6013</v>
      </c>
      <c r="B1907" s="125" t="s">
        <v>5382</v>
      </c>
      <c r="C1907" s="125" t="s">
        <v>5383</v>
      </c>
      <c r="D1907" s="125"/>
      <c r="E1907" s="125" t="s">
        <v>5384</v>
      </c>
      <c r="F1907" s="125" t="s">
        <v>5384</v>
      </c>
      <c r="G1907" s="125" t="s">
        <v>5384</v>
      </c>
      <c r="H1907" s="125" t="s">
        <v>371</v>
      </c>
      <c r="I1907" s="125" t="s">
        <v>371</v>
      </c>
    </row>
    <row r="1908" spans="1:9" x14ac:dyDescent="0.25">
      <c r="A1908" s="125" t="s">
        <v>6014</v>
      </c>
      <c r="B1908" s="125" t="s">
        <v>5648</v>
      </c>
      <c r="C1908" s="125">
        <v>714</v>
      </c>
      <c r="D1908" s="125" t="s">
        <v>5649</v>
      </c>
      <c r="E1908" s="125" t="s">
        <v>5465</v>
      </c>
      <c r="F1908" s="125" t="s">
        <v>5466</v>
      </c>
      <c r="G1908" s="125" t="s">
        <v>5270</v>
      </c>
      <c r="H1908" s="125" t="s">
        <v>1102</v>
      </c>
      <c r="I1908" s="125" t="s">
        <v>1102</v>
      </c>
    </row>
    <row r="1909" spans="1:9" x14ac:dyDescent="0.25">
      <c r="A1909" s="125" t="s">
        <v>6015</v>
      </c>
      <c r="B1909" s="125" t="s">
        <v>5648</v>
      </c>
      <c r="C1909" s="125">
        <v>714</v>
      </c>
      <c r="D1909" s="125" t="s">
        <v>5649</v>
      </c>
      <c r="E1909" s="125" t="s">
        <v>5465</v>
      </c>
      <c r="F1909" s="125" t="s">
        <v>5466</v>
      </c>
      <c r="G1909" s="125" t="s">
        <v>5270</v>
      </c>
      <c r="H1909" s="125" t="s">
        <v>1102</v>
      </c>
      <c r="I1909" s="125" t="s">
        <v>1102</v>
      </c>
    </row>
    <row r="1910" spans="1:9" x14ac:dyDescent="0.25">
      <c r="A1910" s="125" t="s">
        <v>6016</v>
      </c>
      <c r="B1910" s="125" t="s">
        <v>5648</v>
      </c>
      <c r="C1910" s="125">
        <v>714</v>
      </c>
      <c r="D1910" s="125" t="s">
        <v>5649</v>
      </c>
      <c r="E1910" s="125" t="s">
        <v>5465</v>
      </c>
      <c r="F1910" s="125" t="s">
        <v>5466</v>
      </c>
      <c r="G1910" s="125" t="s">
        <v>5270</v>
      </c>
      <c r="H1910" s="125" t="s">
        <v>1102</v>
      </c>
      <c r="I1910" s="125" t="s">
        <v>1102</v>
      </c>
    </row>
    <row r="1911" spans="1:9" x14ac:dyDescent="0.25">
      <c r="A1911" s="125" t="s">
        <v>6017</v>
      </c>
      <c r="B1911" s="125" t="s">
        <v>5648</v>
      </c>
      <c r="C1911" s="125">
        <v>714</v>
      </c>
      <c r="D1911" s="125" t="s">
        <v>5649</v>
      </c>
      <c r="E1911" s="125" t="s">
        <v>5465</v>
      </c>
      <c r="F1911" s="125" t="s">
        <v>5466</v>
      </c>
      <c r="G1911" s="125" t="s">
        <v>5270</v>
      </c>
      <c r="H1911" s="125" t="s">
        <v>5686</v>
      </c>
      <c r="I1911" s="125" t="s">
        <v>5686</v>
      </c>
    </row>
    <row r="1912" spans="1:9" x14ac:dyDescent="0.25">
      <c r="A1912" s="125" t="s">
        <v>6018</v>
      </c>
      <c r="B1912" s="125" t="s">
        <v>5648</v>
      </c>
      <c r="C1912" s="125">
        <v>714</v>
      </c>
      <c r="D1912" s="125" t="s">
        <v>5649</v>
      </c>
      <c r="E1912" s="125" t="s">
        <v>5465</v>
      </c>
      <c r="F1912" s="125" t="s">
        <v>5466</v>
      </c>
      <c r="G1912" s="125" t="s">
        <v>5270</v>
      </c>
      <c r="H1912" s="125" t="s">
        <v>1102</v>
      </c>
      <c r="I1912" s="125" t="s">
        <v>1102</v>
      </c>
    </row>
    <row r="1913" spans="1:9" x14ac:dyDescent="0.25">
      <c r="A1913" s="125" t="s">
        <v>6019</v>
      </c>
      <c r="B1913" s="125" t="s">
        <v>5648</v>
      </c>
      <c r="C1913" s="125">
        <v>714</v>
      </c>
      <c r="D1913" s="125" t="s">
        <v>5649</v>
      </c>
      <c r="E1913" s="125" t="s">
        <v>5465</v>
      </c>
      <c r="F1913" s="125" t="s">
        <v>5466</v>
      </c>
      <c r="G1913" s="125" t="s">
        <v>5270</v>
      </c>
      <c r="H1913" s="125" t="s">
        <v>5686</v>
      </c>
      <c r="I1913" s="125" t="s">
        <v>5686</v>
      </c>
    </row>
    <row r="1914" spans="1:9" x14ac:dyDescent="0.25">
      <c r="A1914" s="125" t="s">
        <v>6020</v>
      </c>
      <c r="B1914" s="125" t="s">
        <v>5648</v>
      </c>
      <c r="C1914" s="125">
        <v>714</v>
      </c>
      <c r="D1914" s="125" t="s">
        <v>5649</v>
      </c>
      <c r="E1914" s="125" t="s">
        <v>5465</v>
      </c>
      <c r="F1914" s="125" t="s">
        <v>5466</v>
      </c>
      <c r="G1914" s="125" t="s">
        <v>5270</v>
      </c>
      <c r="H1914" s="125" t="s">
        <v>1102</v>
      </c>
      <c r="I1914" s="125" t="s">
        <v>1102</v>
      </c>
    </row>
    <row r="1915" spans="1:9" x14ac:dyDescent="0.25">
      <c r="A1915" s="125" t="s">
        <v>6021</v>
      </c>
      <c r="B1915" s="125" t="s">
        <v>5648</v>
      </c>
      <c r="C1915" s="125">
        <v>714</v>
      </c>
      <c r="D1915" s="125" t="s">
        <v>5649</v>
      </c>
      <c r="E1915" s="125" t="s">
        <v>5465</v>
      </c>
      <c r="F1915" s="125" t="s">
        <v>5466</v>
      </c>
      <c r="G1915" s="125" t="s">
        <v>5270</v>
      </c>
      <c r="H1915" s="125" t="s">
        <v>1102</v>
      </c>
      <c r="I1915" s="125" t="s">
        <v>1102</v>
      </c>
    </row>
    <row r="1916" spans="1:9" x14ac:dyDescent="0.25">
      <c r="A1916" s="125" t="s">
        <v>3492</v>
      </c>
      <c r="B1916" s="125" t="s">
        <v>5648</v>
      </c>
      <c r="C1916" s="125">
        <v>714</v>
      </c>
      <c r="D1916" s="125" t="s">
        <v>5649</v>
      </c>
      <c r="E1916" s="125" t="s">
        <v>5465</v>
      </c>
      <c r="F1916" s="125" t="s">
        <v>5466</v>
      </c>
      <c r="G1916" s="125" t="s">
        <v>5270</v>
      </c>
      <c r="H1916" s="125" t="s">
        <v>5684</v>
      </c>
      <c r="I1916" s="125" t="s">
        <v>5684</v>
      </c>
    </row>
    <row r="1917" spans="1:9" x14ac:dyDescent="0.25">
      <c r="A1917" s="125" t="s">
        <v>6022</v>
      </c>
      <c r="B1917" s="125" t="s">
        <v>5648</v>
      </c>
      <c r="C1917" s="125">
        <v>714</v>
      </c>
      <c r="D1917" s="125" t="s">
        <v>5649</v>
      </c>
      <c r="E1917" s="125" t="s">
        <v>5465</v>
      </c>
      <c r="F1917" s="125" t="s">
        <v>5466</v>
      </c>
      <c r="G1917" s="125" t="s">
        <v>5270</v>
      </c>
      <c r="H1917" s="125" t="s">
        <v>1102</v>
      </c>
      <c r="I1917" s="125" t="s">
        <v>1102</v>
      </c>
    </row>
    <row r="1918" spans="1:9" x14ac:dyDescent="0.25">
      <c r="A1918" s="125" t="s">
        <v>6023</v>
      </c>
      <c r="B1918" s="125" t="s">
        <v>5648</v>
      </c>
      <c r="C1918" s="125">
        <v>714</v>
      </c>
      <c r="D1918" s="125" t="s">
        <v>5649</v>
      </c>
      <c r="E1918" s="125" t="s">
        <v>5465</v>
      </c>
      <c r="F1918" s="125" t="s">
        <v>5466</v>
      </c>
      <c r="G1918" s="125" t="s">
        <v>5270</v>
      </c>
      <c r="H1918" s="125" t="s">
        <v>1102</v>
      </c>
      <c r="I1918" s="125" t="s">
        <v>1102</v>
      </c>
    </row>
    <row r="1919" spans="1:9" x14ac:dyDescent="0.25">
      <c r="A1919" s="125" t="s">
        <v>6024</v>
      </c>
      <c r="B1919" s="125" t="s">
        <v>5648</v>
      </c>
      <c r="C1919" s="125">
        <v>714</v>
      </c>
      <c r="D1919" s="125" t="s">
        <v>5649</v>
      </c>
      <c r="E1919" s="125" t="s">
        <v>5465</v>
      </c>
      <c r="F1919" s="125" t="s">
        <v>5466</v>
      </c>
      <c r="G1919" s="125" t="s">
        <v>5270</v>
      </c>
      <c r="H1919" s="125" t="s">
        <v>5686</v>
      </c>
      <c r="I1919" s="125" t="s">
        <v>5686</v>
      </c>
    </row>
    <row r="1920" spans="1:9" x14ac:dyDescent="0.25">
      <c r="A1920" s="125" t="s">
        <v>6025</v>
      </c>
      <c r="B1920" s="125" t="s">
        <v>5648</v>
      </c>
      <c r="C1920" s="125">
        <v>714</v>
      </c>
      <c r="D1920" s="125" t="s">
        <v>5649</v>
      </c>
      <c r="E1920" s="125" t="s">
        <v>5465</v>
      </c>
      <c r="F1920" s="125" t="s">
        <v>5466</v>
      </c>
      <c r="G1920" s="125" t="s">
        <v>5270</v>
      </c>
      <c r="H1920" s="125" t="s">
        <v>1102</v>
      </c>
      <c r="I1920" s="125" t="s">
        <v>1102</v>
      </c>
    </row>
    <row r="1921" spans="1:9" x14ac:dyDescent="0.25">
      <c r="A1921" s="125" t="s">
        <v>6026</v>
      </c>
      <c r="B1921" s="125" t="s">
        <v>5648</v>
      </c>
      <c r="C1921" s="125">
        <v>714</v>
      </c>
      <c r="D1921" s="125" t="s">
        <v>5649</v>
      </c>
      <c r="E1921" s="125" t="s">
        <v>5465</v>
      </c>
      <c r="F1921" s="125" t="s">
        <v>5466</v>
      </c>
      <c r="G1921" s="125" t="s">
        <v>5270</v>
      </c>
      <c r="H1921" s="125" t="s">
        <v>1102</v>
      </c>
      <c r="I1921" s="125" t="s">
        <v>1102</v>
      </c>
    </row>
    <row r="1922" spans="1:9" x14ac:dyDescent="0.25">
      <c r="A1922" s="125" t="s">
        <v>6027</v>
      </c>
      <c r="B1922" s="125" t="s">
        <v>5648</v>
      </c>
      <c r="C1922" s="125">
        <v>714</v>
      </c>
      <c r="D1922" s="125" t="s">
        <v>5649</v>
      </c>
      <c r="E1922" s="125" t="s">
        <v>5465</v>
      </c>
      <c r="F1922" s="125" t="s">
        <v>5466</v>
      </c>
      <c r="G1922" s="125" t="s">
        <v>5270</v>
      </c>
      <c r="H1922" s="125" t="s">
        <v>5686</v>
      </c>
      <c r="I1922" s="125" t="s">
        <v>5686</v>
      </c>
    </row>
    <row r="1923" spans="1:9" x14ac:dyDescent="0.25">
      <c r="A1923" s="125" t="s">
        <v>6028</v>
      </c>
      <c r="B1923" s="125" t="s">
        <v>5648</v>
      </c>
      <c r="C1923" s="125">
        <v>714</v>
      </c>
      <c r="D1923" s="125" t="s">
        <v>5649</v>
      </c>
      <c r="E1923" s="125" t="s">
        <v>5465</v>
      </c>
      <c r="F1923" s="125" t="s">
        <v>5466</v>
      </c>
      <c r="G1923" s="125" t="s">
        <v>5270</v>
      </c>
      <c r="H1923" s="125" t="s">
        <v>5686</v>
      </c>
      <c r="I1923" s="125" t="s">
        <v>5686</v>
      </c>
    </row>
    <row r="1924" spans="1:9" x14ac:dyDescent="0.25">
      <c r="A1924" s="125" t="s">
        <v>6029</v>
      </c>
      <c r="B1924" s="125" t="s">
        <v>5382</v>
      </c>
      <c r="C1924" s="125" t="s">
        <v>5383</v>
      </c>
      <c r="D1924" s="125"/>
      <c r="E1924" s="125" t="s">
        <v>5384</v>
      </c>
      <c r="F1924" s="125" t="s">
        <v>5384</v>
      </c>
      <c r="G1924" s="125" t="s">
        <v>5384</v>
      </c>
      <c r="H1924" s="125" t="s">
        <v>371</v>
      </c>
      <c r="I1924" s="125" t="s">
        <v>371</v>
      </c>
    </row>
    <row r="1925" spans="1:9" x14ac:dyDescent="0.25">
      <c r="A1925" s="125" t="s">
        <v>6030</v>
      </c>
      <c r="B1925" s="125" t="s">
        <v>5382</v>
      </c>
      <c r="C1925" s="125" t="s">
        <v>5383</v>
      </c>
      <c r="D1925" s="125"/>
      <c r="E1925" s="125" t="s">
        <v>5384</v>
      </c>
      <c r="F1925" s="125" t="s">
        <v>5384</v>
      </c>
      <c r="G1925" s="125" t="s">
        <v>5384</v>
      </c>
      <c r="H1925" s="125" t="s">
        <v>371</v>
      </c>
      <c r="I1925" s="125" t="s">
        <v>371</v>
      </c>
    </row>
    <row r="1926" spans="1:9" x14ac:dyDescent="0.25">
      <c r="A1926" s="125" t="s">
        <v>6031</v>
      </c>
      <c r="B1926" s="125" t="s">
        <v>5648</v>
      </c>
      <c r="C1926" s="125">
        <v>714</v>
      </c>
      <c r="D1926" s="125" t="s">
        <v>5649</v>
      </c>
      <c r="E1926" s="125" t="s">
        <v>5465</v>
      </c>
      <c r="F1926" s="125" t="s">
        <v>5466</v>
      </c>
      <c r="G1926" s="125" t="s">
        <v>5270</v>
      </c>
      <c r="H1926" s="125" t="s">
        <v>1102</v>
      </c>
      <c r="I1926" s="125" t="s">
        <v>1102</v>
      </c>
    </row>
    <row r="1927" spans="1:9" x14ac:dyDescent="0.25">
      <c r="A1927" s="125" t="s">
        <v>6032</v>
      </c>
      <c r="B1927" s="125" t="s">
        <v>5648</v>
      </c>
      <c r="C1927" s="125">
        <v>714</v>
      </c>
      <c r="D1927" s="125" t="s">
        <v>5649</v>
      </c>
      <c r="E1927" s="125" t="s">
        <v>5465</v>
      </c>
      <c r="F1927" s="125" t="s">
        <v>5466</v>
      </c>
      <c r="G1927" s="125" t="s">
        <v>5270</v>
      </c>
      <c r="H1927" s="125" t="s">
        <v>5764</v>
      </c>
      <c r="I1927" s="125" t="s">
        <v>5764</v>
      </c>
    </row>
    <row r="1928" spans="1:9" x14ac:dyDescent="0.25">
      <c r="A1928" s="125" t="s">
        <v>6033</v>
      </c>
      <c r="B1928" s="125" t="s">
        <v>5648</v>
      </c>
      <c r="C1928" s="125">
        <v>714</v>
      </c>
      <c r="D1928" s="125" t="s">
        <v>5649</v>
      </c>
      <c r="E1928" s="125" t="s">
        <v>5465</v>
      </c>
      <c r="F1928" s="125" t="s">
        <v>5466</v>
      </c>
      <c r="G1928" s="125" t="s">
        <v>5270</v>
      </c>
      <c r="H1928" s="125" t="s">
        <v>5684</v>
      </c>
      <c r="I1928" s="125" t="s">
        <v>5684</v>
      </c>
    </row>
    <row r="1929" spans="1:9" x14ac:dyDescent="0.25">
      <c r="A1929" s="125" t="s">
        <v>3202</v>
      </c>
      <c r="B1929" s="125" t="s">
        <v>6034</v>
      </c>
      <c r="C1929" s="125">
        <v>213</v>
      </c>
      <c r="D1929" s="125" t="s">
        <v>6035</v>
      </c>
      <c r="E1929" s="125" t="s">
        <v>5476</v>
      </c>
      <c r="F1929" s="140" t="s">
        <v>5477</v>
      </c>
      <c r="G1929" s="125" t="s">
        <v>5297</v>
      </c>
      <c r="H1929" s="125" t="s">
        <v>1165</v>
      </c>
      <c r="I1929" s="125" t="s">
        <v>3700</v>
      </c>
    </row>
    <row r="1930" spans="1:9" x14ac:dyDescent="0.25">
      <c r="A1930" s="125" t="s">
        <v>2986</v>
      </c>
      <c r="B1930" s="125" t="s">
        <v>5572</v>
      </c>
      <c r="C1930" s="125">
        <v>218</v>
      </c>
      <c r="D1930" s="125" t="s">
        <v>5573</v>
      </c>
      <c r="E1930" s="125" t="s">
        <v>5341</v>
      </c>
      <c r="F1930" s="140" t="s">
        <v>5342</v>
      </c>
      <c r="G1930" s="125" t="s">
        <v>5297</v>
      </c>
      <c r="H1930" s="125" t="s">
        <v>5959</v>
      </c>
      <c r="I1930" s="125" t="s">
        <v>3480</v>
      </c>
    </row>
    <row r="1931" spans="1:9" x14ac:dyDescent="0.25">
      <c r="A1931" s="125" t="s">
        <v>3185</v>
      </c>
      <c r="B1931" s="125" t="s">
        <v>5572</v>
      </c>
      <c r="C1931" s="125">
        <v>218</v>
      </c>
      <c r="D1931" s="125" t="s">
        <v>5573</v>
      </c>
      <c r="E1931" s="125" t="s">
        <v>5341</v>
      </c>
      <c r="F1931" s="140" t="s">
        <v>5342</v>
      </c>
      <c r="G1931" s="125" t="s">
        <v>5297</v>
      </c>
      <c r="H1931" s="125" t="s">
        <v>6036</v>
      </c>
      <c r="I1931" s="125" t="s">
        <v>3480</v>
      </c>
    </row>
    <row r="1932" spans="1:9" x14ac:dyDescent="0.25">
      <c r="A1932" s="125" t="s">
        <v>2436</v>
      </c>
      <c r="B1932" s="125" t="s">
        <v>6034</v>
      </c>
      <c r="C1932" s="125">
        <v>213</v>
      </c>
      <c r="D1932" s="125" t="s">
        <v>6035</v>
      </c>
      <c r="E1932" s="125" t="s">
        <v>5476</v>
      </c>
      <c r="F1932" s="140" t="s">
        <v>5477</v>
      </c>
      <c r="G1932" s="125" t="s">
        <v>5297</v>
      </c>
      <c r="H1932" s="125" t="s">
        <v>6036</v>
      </c>
      <c r="I1932" s="125" t="s">
        <v>3480</v>
      </c>
    </row>
    <row r="1933" spans="1:9" x14ac:dyDescent="0.25">
      <c r="A1933" s="125" t="s">
        <v>1226</v>
      </c>
      <c r="B1933" s="125" t="s">
        <v>6034</v>
      </c>
      <c r="C1933" s="125">
        <v>213</v>
      </c>
      <c r="D1933" s="125" t="s">
        <v>6035</v>
      </c>
      <c r="E1933" s="125" t="s">
        <v>5476</v>
      </c>
      <c r="F1933" s="140" t="s">
        <v>5477</v>
      </c>
      <c r="G1933" s="125" t="s">
        <v>5297</v>
      </c>
      <c r="H1933" s="125" t="s">
        <v>6037</v>
      </c>
      <c r="I1933" s="125" t="s">
        <v>3700</v>
      </c>
    </row>
    <row r="1934" spans="1:9" x14ac:dyDescent="0.25">
      <c r="A1934" s="125" t="s">
        <v>3092</v>
      </c>
      <c r="B1934" s="125" t="s">
        <v>6034</v>
      </c>
      <c r="C1934" s="125">
        <v>213</v>
      </c>
      <c r="D1934" s="125" t="s">
        <v>6035</v>
      </c>
      <c r="E1934" s="125" t="s">
        <v>5476</v>
      </c>
      <c r="F1934" s="140" t="s">
        <v>5477</v>
      </c>
      <c r="G1934" s="125" t="s">
        <v>5297</v>
      </c>
      <c r="H1934" s="125" t="s">
        <v>5759</v>
      </c>
      <c r="I1934" s="125" t="s">
        <v>55</v>
      </c>
    </row>
    <row r="1935" spans="1:9" x14ac:dyDescent="0.25">
      <c r="A1935" s="125" t="s">
        <v>2573</v>
      </c>
      <c r="B1935" s="125" t="s">
        <v>6034</v>
      </c>
      <c r="C1935" s="125">
        <v>213</v>
      </c>
      <c r="D1935" s="125" t="s">
        <v>6035</v>
      </c>
      <c r="E1935" s="125" t="s">
        <v>5476</v>
      </c>
      <c r="F1935" s="140" t="s">
        <v>5477</v>
      </c>
      <c r="G1935" s="125" t="s">
        <v>5297</v>
      </c>
      <c r="H1935" s="125" t="s">
        <v>6037</v>
      </c>
      <c r="I1935" s="125" t="s">
        <v>3700</v>
      </c>
    </row>
    <row r="1936" spans="1:9" x14ac:dyDescent="0.25">
      <c r="A1936" s="125" t="s">
        <v>2972</v>
      </c>
      <c r="B1936" s="125" t="s">
        <v>6034</v>
      </c>
      <c r="C1936" s="125">
        <v>213</v>
      </c>
      <c r="D1936" s="125" t="s">
        <v>6035</v>
      </c>
      <c r="E1936" s="125" t="s">
        <v>5476</v>
      </c>
      <c r="F1936" s="140" t="s">
        <v>5477</v>
      </c>
      <c r="G1936" s="125" t="s">
        <v>5297</v>
      </c>
      <c r="H1936" s="125" t="s">
        <v>6037</v>
      </c>
      <c r="I1936" s="125" t="s">
        <v>3700</v>
      </c>
    </row>
    <row r="1937" spans="1:9" x14ac:dyDescent="0.25">
      <c r="A1937" s="125" t="s">
        <v>1714</v>
      </c>
      <c r="B1937" s="125" t="s">
        <v>6034</v>
      </c>
      <c r="C1937" s="125">
        <v>213</v>
      </c>
      <c r="D1937" s="125" t="s">
        <v>6035</v>
      </c>
      <c r="E1937" s="125" t="s">
        <v>5476</v>
      </c>
      <c r="F1937" s="140" t="s">
        <v>5477</v>
      </c>
      <c r="G1937" s="125" t="s">
        <v>5297</v>
      </c>
      <c r="H1937" s="125" t="s">
        <v>6038</v>
      </c>
      <c r="I1937" s="125" t="s">
        <v>3700</v>
      </c>
    </row>
    <row r="1938" spans="1:9" x14ac:dyDescent="0.25">
      <c r="A1938" s="125" t="s">
        <v>1166</v>
      </c>
      <c r="B1938" s="125" t="s">
        <v>6034</v>
      </c>
      <c r="C1938" s="125">
        <v>213</v>
      </c>
      <c r="D1938" s="125" t="s">
        <v>6035</v>
      </c>
      <c r="E1938" s="125" t="s">
        <v>5476</v>
      </c>
      <c r="F1938" s="140" t="s">
        <v>5477</v>
      </c>
      <c r="G1938" s="125" t="s">
        <v>5297</v>
      </c>
      <c r="H1938" s="125" t="s">
        <v>1165</v>
      </c>
      <c r="I1938" s="125" t="s">
        <v>3700</v>
      </c>
    </row>
    <row r="1939" spans="1:9" x14ac:dyDescent="0.25">
      <c r="A1939" s="125" t="s">
        <v>3430</v>
      </c>
      <c r="B1939" s="125" t="s">
        <v>5572</v>
      </c>
      <c r="C1939" s="125">
        <v>218</v>
      </c>
      <c r="D1939" s="125" t="s">
        <v>5573</v>
      </c>
      <c r="E1939" s="125" t="s">
        <v>5341</v>
      </c>
      <c r="F1939" s="140" t="s">
        <v>5342</v>
      </c>
      <c r="G1939" s="125" t="s">
        <v>5297</v>
      </c>
      <c r="H1939" s="125" t="s">
        <v>371</v>
      </c>
      <c r="I1939" s="125" t="s">
        <v>371</v>
      </c>
    </row>
    <row r="1940" spans="1:9" x14ac:dyDescent="0.25">
      <c r="A1940" s="125" t="s">
        <v>2045</v>
      </c>
      <c r="B1940" s="125" t="s">
        <v>5572</v>
      </c>
      <c r="C1940" s="125">
        <v>218</v>
      </c>
      <c r="D1940" s="125" t="s">
        <v>5573</v>
      </c>
      <c r="E1940" s="125" t="s">
        <v>5341</v>
      </c>
      <c r="F1940" s="140" t="s">
        <v>5342</v>
      </c>
      <c r="G1940" s="125" t="s">
        <v>5297</v>
      </c>
      <c r="H1940" s="125" t="s">
        <v>6039</v>
      </c>
      <c r="I1940" s="125" t="s">
        <v>3480</v>
      </c>
    </row>
    <row r="1941" spans="1:9" x14ac:dyDescent="0.25">
      <c r="A1941" s="125" t="s">
        <v>2046</v>
      </c>
      <c r="B1941" s="125" t="s">
        <v>5572</v>
      </c>
      <c r="C1941" s="125">
        <v>218</v>
      </c>
      <c r="D1941" s="125" t="s">
        <v>5573</v>
      </c>
      <c r="E1941" s="125" t="s">
        <v>5341</v>
      </c>
      <c r="F1941" s="140" t="s">
        <v>5342</v>
      </c>
      <c r="G1941" s="125" t="s">
        <v>5297</v>
      </c>
      <c r="H1941" s="125" t="s">
        <v>6039</v>
      </c>
      <c r="I1941" s="125" t="s">
        <v>3480</v>
      </c>
    </row>
    <row r="1942" spans="1:9" x14ac:dyDescent="0.25">
      <c r="A1942" s="125" t="s">
        <v>1701</v>
      </c>
      <c r="B1942" s="125" t="s">
        <v>5572</v>
      </c>
      <c r="C1942" s="125">
        <v>218</v>
      </c>
      <c r="D1942" s="125" t="s">
        <v>5573</v>
      </c>
      <c r="E1942" s="125" t="s">
        <v>5341</v>
      </c>
      <c r="F1942" s="140" t="s">
        <v>5342</v>
      </c>
      <c r="G1942" s="125" t="s">
        <v>5297</v>
      </c>
      <c r="H1942" s="125" t="s">
        <v>5903</v>
      </c>
      <c r="I1942" s="125" t="s">
        <v>3480</v>
      </c>
    </row>
    <row r="1943" spans="1:9" x14ac:dyDescent="0.25">
      <c r="A1943" s="125" t="s">
        <v>1601</v>
      </c>
      <c r="B1943" s="125" t="s">
        <v>5572</v>
      </c>
      <c r="C1943" s="125">
        <v>218</v>
      </c>
      <c r="D1943" s="125" t="s">
        <v>5573</v>
      </c>
      <c r="E1943" s="125" t="s">
        <v>5341</v>
      </c>
      <c r="F1943" s="140" t="s">
        <v>5342</v>
      </c>
      <c r="G1943" s="125" t="s">
        <v>5297</v>
      </c>
      <c r="H1943" s="125" t="s">
        <v>5903</v>
      </c>
      <c r="I1943" s="125" t="s">
        <v>3480</v>
      </c>
    </row>
    <row r="1944" spans="1:9" x14ac:dyDescent="0.25">
      <c r="A1944" s="125" t="s">
        <v>1918</v>
      </c>
      <c r="B1944" s="125" t="s">
        <v>5572</v>
      </c>
      <c r="C1944" s="125">
        <v>218</v>
      </c>
      <c r="D1944" s="125" t="s">
        <v>5573</v>
      </c>
      <c r="E1944" s="125" t="s">
        <v>5341</v>
      </c>
      <c r="F1944" s="140" t="s">
        <v>5342</v>
      </c>
      <c r="G1944" s="125" t="s">
        <v>5297</v>
      </c>
      <c r="H1944" s="125" t="s">
        <v>5903</v>
      </c>
      <c r="I1944" s="125" t="s">
        <v>3480</v>
      </c>
    </row>
    <row r="1945" spans="1:9" x14ac:dyDescent="0.25">
      <c r="A1945" s="125" t="s">
        <v>2536</v>
      </c>
      <c r="B1945" s="125" t="s">
        <v>6034</v>
      </c>
      <c r="C1945" s="125">
        <v>213</v>
      </c>
      <c r="D1945" s="125" t="s">
        <v>6035</v>
      </c>
      <c r="E1945" s="125" t="s">
        <v>5476</v>
      </c>
      <c r="F1945" s="140" t="s">
        <v>5477</v>
      </c>
      <c r="G1945" s="125" t="s">
        <v>5297</v>
      </c>
      <c r="H1945" s="125" t="s">
        <v>6038</v>
      </c>
      <c r="I1945" s="125" t="s">
        <v>3700</v>
      </c>
    </row>
    <row r="1946" spans="1:9" x14ac:dyDescent="0.25">
      <c r="A1946" s="125" t="s">
        <v>1715</v>
      </c>
      <c r="B1946" s="125" t="s">
        <v>6034</v>
      </c>
      <c r="C1946" s="125">
        <v>213</v>
      </c>
      <c r="D1946" s="125" t="s">
        <v>6035</v>
      </c>
      <c r="E1946" s="125" t="s">
        <v>5476</v>
      </c>
      <c r="F1946" s="140" t="s">
        <v>5477</v>
      </c>
      <c r="G1946" s="125" t="s">
        <v>5297</v>
      </c>
      <c r="H1946" s="125" t="s">
        <v>6038</v>
      </c>
      <c r="I1946" s="125" t="s">
        <v>3700</v>
      </c>
    </row>
    <row r="1947" spans="1:9" x14ac:dyDescent="0.25">
      <c r="A1947" s="125" t="s">
        <v>1417</v>
      </c>
      <c r="B1947" s="125" t="s">
        <v>6034</v>
      </c>
      <c r="C1947" s="125">
        <v>213</v>
      </c>
      <c r="D1947" s="125" t="s">
        <v>6035</v>
      </c>
      <c r="E1947" s="125" t="s">
        <v>5476</v>
      </c>
      <c r="F1947" s="140" t="s">
        <v>5477</v>
      </c>
      <c r="G1947" s="125" t="s">
        <v>5297</v>
      </c>
      <c r="H1947" s="125" t="s">
        <v>6038</v>
      </c>
      <c r="I1947" s="125" t="s">
        <v>3700</v>
      </c>
    </row>
    <row r="1948" spans="1:9" x14ac:dyDescent="0.25">
      <c r="A1948" s="125" t="s">
        <v>2441</v>
      </c>
      <c r="B1948" s="125" t="s">
        <v>6034</v>
      </c>
      <c r="C1948" s="125">
        <v>213</v>
      </c>
      <c r="D1948" s="125" t="s">
        <v>6035</v>
      </c>
      <c r="E1948" s="125" t="s">
        <v>5476</v>
      </c>
      <c r="F1948" s="140" t="s">
        <v>5477</v>
      </c>
      <c r="G1948" s="125" t="s">
        <v>5297</v>
      </c>
      <c r="H1948" s="125" t="s">
        <v>6038</v>
      </c>
      <c r="I1948" s="125" t="s">
        <v>3700</v>
      </c>
    </row>
    <row r="1949" spans="1:9" x14ac:dyDescent="0.25">
      <c r="A1949" s="125" t="s">
        <v>2863</v>
      </c>
      <c r="B1949" s="125" t="s">
        <v>6034</v>
      </c>
      <c r="C1949" s="125">
        <v>213</v>
      </c>
      <c r="D1949" s="125" t="s">
        <v>6035</v>
      </c>
      <c r="E1949" s="125" t="s">
        <v>5476</v>
      </c>
      <c r="F1949" s="140" t="s">
        <v>5477</v>
      </c>
      <c r="G1949" s="125" t="s">
        <v>5297</v>
      </c>
      <c r="H1949" s="125" t="s">
        <v>1165</v>
      </c>
      <c r="I1949" s="125" t="s">
        <v>3700</v>
      </c>
    </row>
    <row r="1950" spans="1:9" x14ac:dyDescent="0.25">
      <c r="A1950" s="125" t="s">
        <v>1691</v>
      </c>
      <c r="B1950" s="125" t="s">
        <v>6034</v>
      </c>
      <c r="C1950" s="125">
        <v>213</v>
      </c>
      <c r="D1950" s="125" t="s">
        <v>6035</v>
      </c>
      <c r="E1950" s="125" t="s">
        <v>5476</v>
      </c>
      <c r="F1950" s="140" t="s">
        <v>5477</v>
      </c>
      <c r="G1950" s="125" t="s">
        <v>5297</v>
      </c>
      <c r="H1950" s="125" t="s">
        <v>5759</v>
      </c>
      <c r="I1950" s="125" t="s">
        <v>55</v>
      </c>
    </row>
    <row r="1951" spans="1:9" x14ac:dyDescent="0.25">
      <c r="A1951" s="125" t="s">
        <v>1978</v>
      </c>
      <c r="B1951" s="125" t="s">
        <v>5964</v>
      </c>
      <c r="C1951" s="125">
        <v>204</v>
      </c>
      <c r="D1951" s="125" t="s">
        <v>5965</v>
      </c>
      <c r="E1951" s="125" t="s">
        <v>5476</v>
      </c>
      <c r="F1951" s="140" t="s">
        <v>5477</v>
      </c>
      <c r="G1951" s="125" t="s">
        <v>5297</v>
      </c>
      <c r="H1951" s="125" t="s">
        <v>5759</v>
      </c>
      <c r="I1951" s="125" t="s">
        <v>55</v>
      </c>
    </row>
    <row r="1952" spans="1:9" x14ac:dyDescent="0.25">
      <c r="A1952" s="125" t="s">
        <v>3333</v>
      </c>
      <c r="B1952" s="125" t="s">
        <v>5756</v>
      </c>
      <c r="C1952" s="125">
        <v>246</v>
      </c>
      <c r="D1952" s="140" t="s">
        <v>5757</v>
      </c>
      <c r="E1952" s="125" t="s">
        <v>5476</v>
      </c>
      <c r="F1952" s="140" t="s">
        <v>5477</v>
      </c>
      <c r="G1952" s="125" t="s">
        <v>5297</v>
      </c>
      <c r="H1952" s="125" t="s">
        <v>5759</v>
      </c>
      <c r="I1952" s="125" t="s">
        <v>55</v>
      </c>
    </row>
    <row r="1953" spans="1:9" x14ac:dyDescent="0.25">
      <c r="A1953" s="125" t="s">
        <v>3249</v>
      </c>
      <c r="B1953" s="125" t="s">
        <v>5756</v>
      </c>
      <c r="C1953" s="125">
        <v>246</v>
      </c>
      <c r="D1953" s="140" t="s">
        <v>5757</v>
      </c>
      <c r="E1953" s="125" t="s">
        <v>5476</v>
      </c>
      <c r="F1953" s="140" t="s">
        <v>5477</v>
      </c>
      <c r="G1953" s="125" t="s">
        <v>5297</v>
      </c>
      <c r="H1953" s="125" t="s">
        <v>5759</v>
      </c>
      <c r="I1953" s="125" t="s">
        <v>55</v>
      </c>
    </row>
    <row r="1954" spans="1:9" x14ac:dyDescent="0.25">
      <c r="A1954" s="125" t="s">
        <v>2577</v>
      </c>
      <c r="B1954" s="125" t="s">
        <v>6034</v>
      </c>
      <c r="C1954" s="125">
        <v>213</v>
      </c>
      <c r="D1954" s="125" t="s">
        <v>6035</v>
      </c>
      <c r="E1954" s="125" t="s">
        <v>5476</v>
      </c>
      <c r="F1954" s="140" t="s">
        <v>5477</v>
      </c>
      <c r="G1954" s="125" t="s">
        <v>5297</v>
      </c>
      <c r="H1954" s="125" t="s">
        <v>5759</v>
      </c>
      <c r="I1954" s="125" t="s">
        <v>55</v>
      </c>
    </row>
    <row r="1955" spans="1:9" x14ac:dyDescent="0.25">
      <c r="A1955" s="125" t="s">
        <v>6040</v>
      </c>
      <c r="B1955" s="125" t="s">
        <v>5964</v>
      </c>
      <c r="C1955" s="125">
        <v>204</v>
      </c>
      <c r="D1955" s="125" t="s">
        <v>5965</v>
      </c>
      <c r="E1955" s="125" t="s">
        <v>5476</v>
      </c>
      <c r="F1955" s="140" t="s">
        <v>5477</v>
      </c>
      <c r="G1955" s="125" t="s">
        <v>5297</v>
      </c>
      <c r="H1955" s="125" t="s">
        <v>371</v>
      </c>
      <c r="I1955" s="125" t="s">
        <v>371</v>
      </c>
    </row>
    <row r="1956" spans="1:9" x14ac:dyDescent="0.25">
      <c r="A1956" s="125" t="s">
        <v>2000</v>
      </c>
      <c r="B1956" s="125" t="s">
        <v>5964</v>
      </c>
      <c r="C1956" s="125">
        <v>204</v>
      </c>
      <c r="D1956" s="125" t="s">
        <v>5965</v>
      </c>
      <c r="E1956" s="125" t="s">
        <v>5476</v>
      </c>
      <c r="F1956" s="140" t="s">
        <v>5477</v>
      </c>
      <c r="G1956" s="125" t="s">
        <v>5297</v>
      </c>
      <c r="H1956" s="125" t="s">
        <v>5759</v>
      </c>
      <c r="I1956" s="125" t="s">
        <v>55</v>
      </c>
    </row>
    <row r="1957" spans="1:9" x14ac:dyDescent="0.25">
      <c r="A1957" s="125" t="s">
        <v>2505</v>
      </c>
      <c r="B1957" s="125" t="s">
        <v>5756</v>
      </c>
      <c r="C1957" s="125">
        <v>246</v>
      </c>
      <c r="D1957" s="140" t="s">
        <v>5757</v>
      </c>
      <c r="E1957" s="125" t="s">
        <v>5476</v>
      </c>
      <c r="F1957" s="140" t="s">
        <v>5477</v>
      </c>
      <c r="G1957" s="125" t="s">
        <v>5297</v>
      </c>
      <c r="H1957" s="125" t="s">
        <v>5758</v>
      </c>
      <c r="I1957" s="125" t="s">
        <v>55</v>
      </c>
    </row>
    <row r="1958" spans="1:9" x14ac:dyDescent="0.25">
      <c r="A1958" s="125" t="s">
        <v>1949</v>
      </c>
      <c r="B1958" s="125" t="s">
        <v>6034</v>
      </c>
      <c r="C1958" s="125">
        <v>213</v>
      </c>
      <c r="D1958" s="125" t="s">
        <v>6035</v>
      </c>
      <c r="E1958" s="125" t="s">
        <v>5476</v>
      </c>
      <c r="F1958" s="140" t="s">
        <v>5477</v>
      </c>
      <c r="G1958" s="125" t="s">
        <v>5297</v>
      </c>
      <c r="H1958" s="125" t="s">
        <v>5759</v>
      </c>
      <c r="I1958" s="125" t="s">
        <v>55</v>
      </c>
    </row>
    <row r="1959" spans="1:9" x14ac:dyDescent="0.25">
      <c r="A1959" s="125" t="s">
        <v>2498</v>
      </c>
      <c r="B1959" s="125" t="s">
        <v>6034</v>
      </c>
      <c r="C1959" s="125">
        <v>213</v>
      </c>
      <c r="D1959" s="125" t="s">
        <v>6035</v>
      </c>
      <c r="E1959" s="125" t="s">
        <v>5476</v>
      </c>
      <c r="F1959" s="140" t="s">
        <v>5477</v>
      </c>
      <c r="G1959" s="125" t="s">
        <v>5297</v>
      </c>
      <c r="H1959" s="125" t="s">
        <v>1165</v>
      </c>
      <c r="I1959" s="125" t="s">
        <v>3700</v>
      </c>
    </row>
    <row r="1960" spans="1:9" x14ac:dyDescent="0.25">
      <c r="A1960" s="125" t="s">
        <v>6041</v>
      </c>
      <c r="B1960" s="125" t="s">
        <v>6034</v>
      </c>
      <c r="C1960" s="125">
        <v>213</v>
      </c>
      <c r="D1960" s="125" t="s">
        <v>6035</v>
      </c>
      <c r="E1960" s="125" t="s">
        <v>5476</v>
      </c>
      <c r="F1960" s="140" t="s">
        <v>5477</v>
      </c>
      <c r="G1960" s="125" t="s">
        <v>5297</v>
      </c>
      <c r="H1960" s="125" t="s">
        <v>1165</v>
      </c>
      <c r="I1960" s="125" t="s">
        <v>3700</v>
      </c>
    </row>
    <row r="1961" spans="1:9" x14ac:dyDescent="0.25">
      <c r="A1961" s="125" t="s">
        <v>1618</v>
      </c>
      <c r="B1961" s="125" t="s">
        <v>6034</v>
      </c>
      <c r="C1961" s="125">
        <v>213</v>
      </c>
      <c r="D1961" s="125" t="s">
        <v>6035</v>
      </c>
      <c r="E1961" s="125" t="s">
        <v>5476</v>
      </c>
      <c r="F1961" s="140" t="s">
        <v>5477</v>
      </c>
      <c r="G1961" s="125" t="s">
        <v>5297</v>
      </c>
      <c r="H1961" s="125" t="s">
        <v>1165</v>
      </c>
      <c r="I1961" s="125" t="s">
        <v>3700</v>
      </c>
    </row>
    <row r="1962" spans="1:9" x14ac:dyDescent="0.25">
      <c r="A1962" s="125" t="s">
        <v>2496</v>
      </c>
      <c r="B1962" s="125" t="s">
        <v>6034</v>
      </c>
      <c r="C1962" s="125">
        <v>213</v>
      </c>
      <c r="D1962" s="125" t="s">
        <v>6035</v>
      </c>
      <c r="E1962" s="125" t="s">
        <v>5476</v>
      </c>
      <c r="F1962" s="140" t="s">
        <v>5477</v>
      </c>
      <c r="G1962" s="125" t="s">
        <v>5297</v>
      </c>
      <c r="H1962" s="125" t="s">
        <v>1165</v>
      </c>
      <c r="I1962" s="125" t="s">
        <v>3700</v>
      </c>
    </row>
    <row r="1963" spans="1:9" x14ac:dyDescent="0.25">
      <c r="A1963" s="125" t="s">
        <v>2945</v>
      </c>
      <c r="B1963" s="125" t="s">
        <v>6034</v>
      </c>
      <c r="C1963" s="125">
        <v>213</v>
      </c>
      <c r="D1963" s="125" t="s">
        <v>6035</v>
      </c>
      <c r="E1963" s="125" t="s">
        <v>5476</v>
      </c>
      <c r="F1963" s="140" t="s">
        <v>5477</v>
      </c>
      <c r="G1963" s="125" t="s">
        <v>5297</v>
      </c>
      <c r="H1963" s="125" t="s">
        <v>6038</v>
      </c>
      <c r="I1963" s="125" t="s">
        <v>3700</v>
      </c>
    </row>
    <row r="1964" spans="1:9" x14ac:dyDescent="0.25">
      <c r="A1964" s="125" t="s">
        <v>2342</v>
      </c>
      <c r="B1964" s="125" t="s">
        <v>5572</v>
      </c>
      <c r="C1964" s="125">
        <v>218</v>
      </c>
      <c r="D1964" s="125" t="s">
        <v>5573</v>
      </c>
      <c r="E1964" s="125" t="s">
        <v>5341</v>
      </c>
      <c r="F1964" s="140" t="s">
        <v>5342</v>
      </c>
      <c r="G1964" s="125" t="s">
        <v>5297</v>
      </c>
      <c r="H1964" s="125" t="s">
        <v>5959</v>
      </c>
      <c r="I1964" s="125" t="s">
        <v>3480</v>
      </c>
    </row>
    <row r="1965" spans="1:9" x14ac:dyDescent="0.25">
      <c r="A1965" s="125" t="s">
        <v>1772</v>
      </c>
      <c r="B1965" s="125" t="s">
        <v>5532</v>
      </c>
      <c r="C1965" s="125">
        <v>704</v>
      </c>
      <c r="D1965" s="125" t="s">
        <v>5533</v>
      </c>
      <c r="E1965" s="125" t="s">
        <v>5270</v>
      </c>
      <c r="F1965" s="125" t="s">
        <v>5271</v>
      </c>
      <c r="G1965" s="125" t="s">
        <v>5270</v>
      </c>
      <c r="H1965" s="125" t="s">
        <v>5852</v>
      </c>
      <c r="I1965" s="125" t="s">
        <v>5852</v>
      </c>
    </row>
    <row r="1966" spans="1:9" x14ac:dyDescent="0.25">
      <c r="A1966" s="125" t="s">
        <v>6042</v>
      </c>
      <c r="B1966" s="125" t="s">
        <v>5268</v>
      </c>
      <c r="C1966" s="125">
        <v>708</v>
      </c>
      <c r="D1966" s="125" t="s">
        <v>5269</v>
      </c>
      <c r="E1966" s="125" t="s">
        <v>5270</v>
      </c>
      <c r="F1966" s="125" t="s">
        <v>5271</v>
      </c>
      <c r="G1966" s="125" t="s">
        <v>5270</v>
      </c>
      <c r="H1966" s="125" t="s">
        <v>5852</v>
      </c>
      <c r="I1966" s="125" t="s">
        <v>5852</v>
      </c>
    </row>
    <row r="1967" spans="1:9" x14ac:dyDescent="0.25">
      <c r="A1967" s="125" t="s">
        <v>6043</v>
      </c>
      <c r="B1967" s="125" t="s">
        <v>5268</v>
      </c>
      <c r="C1967" s="125">
        <v>708</v>
      </c>
      <c r="D1967" s="125" t="s">
        <v>5269</v>
      </c>
      <c r="E1967" s="125" t="s">
        <v>5270</v>
      </c>
      <c r="F1967" s="125" t="s">
        <v>5271</v>
      </c>
      <c r="G1967" s="125" t="s">
        <v>5270</v>
      </c>
      <c r="H1967" s="125" t="s">
        <v>5852</v>
      </c>
      <c r="I1967" s="125" t="s">
        <v>5852</v>
      </c>
    </row>
    <row r="1968" spans="1:9" x14ac:dyDescent="0.25">
      <c r="A1968" s="125" t="s">
        <v>6044</v>
      </c>
      <c r="B1968" s="125" t="s">
        <v>5268</v>
      </c>
      <c r="C1968" s="125">
        <v>708</v>
      </c>
      <c r="D1968" s="125" t="s">
        <v>5269</v>
      </c>
      <c r="E1968" s="125" t="s">
        <v>5270</v>
      </c>
      <c r="F1968" s="125" t="s">
        <v>5271</v>
      </c>
      <c r="G1968" s="125" t="s">
        <v>5270</v>
      </c>
      <c r="H1968" s="125" t="s">
        <v>1102</v>
      </c>
      <c r="I1968" s="125" t="s">
        <v>1102</v>
      </c>
    </row>
    <row r="1969" spans="1:9" x14ac:dyDescent="0.25">
      <c r="A1969" s="125" t="s">
        <v>6045</v>
      </c>
      <c r="B1969" s="125" t="s">
        <v>5268</v>
      </c>
      <c r="C1969" s="125">
        <v>708</v>
      </c>
      <c r="D1969" s="125" t="s">
        <v>5269</v>
      </c>
      <c r="E1969" s="125" t="s">
        <v>5270</v>
      </c>
      <c r="F1969" s="125" t="s">
        <v>5271</v>
      </c>
      <c r="G1969" s="125" t="s">
        <v>5270</v>
      </c>
      <c r="H1969" s="125" t="s">
        <v>5852</v>
      </c>
      <c r="I1969" s="125" t="s">
        <v>5852</v>
      </c>
    </row>
    <row r="1970" spans="1:9" x14ac:dyDescent="0.25">
      <c r="A1970" s="125" t="s">
        <v>6046</v>
      </c>
      <c r="B1970" s="125" t="s">
        <v>5268</v>
      </c>
      <c r="C1970" s="125">
        <v>708</v>
      </c>
      <c r="D1970" s="125" t="s">
        <v>5269</v>
      </c>
      <c r="E1970" s="125" t="s">
        <v>5270</v>
      </c>
      <c r="F1970" s="125" t="s">
        <v>5271</v>
      </c>
      <c r="G1970" s="125" t="s">
        <v>5270</v>
      </c>
      <c r="H1970" s="125" t="s">
        <v>1102</v>
      </c>
      <c r="I1970" s="125" t="s">
        <v>1102</v>
      </c>
    </row>
    <row r="1971" spans="1:9" x14ac:dyDescent="0.25">
      <c r="A1971" s="125" t="s">
        <v>3502</v>
      </c>
      <c r="B1971" s="125" t="s">
        <v>5762</v>
      </c>
      <c r="C1971" s="125">
        <v>703</v>
      </c>
      <c r="D1971" s="125" t="s">
        <v>5763</v>
      </c>
      <c r="E1971" s="125" t="s">
        <v>5270</v>
      </c>
      <c r="F1971" s="125" t="s">
        <v>5271</v>
      </c>
      <c r="G1971" s="125" t="s">
        <v>5270</v>
      </c>
      <c r="H1971" s="125" t="s">
        <v>5852</v>
      </c>
      <c r="I1971" s="125" t="s">
        <v>5852</v>
      </c>
    </row>
    <row r="1972" spans="1:9" x14ac:dyDescent="0.25">
      <c r="A1972" s="125" t="s">
        <v>6047</v>
      </c>
      <c r="B1972" s="125" t="s">
        <v>5762</v>
      </c>
      <c r="C1972" s="125">
        <v>703</v>
      </c>
      <c r="D1972" s="125" t="s">
        <v>5763</v>
      </c>
      <c r="E1972" s="125" t="s">
        <v>5270</v>
      </c>
      <c r="F1972" s="125" t="s">
        <v>5271</v>
      </c>
      <c r="G1972" s="125" t="s">
        <v>5270</v>
      </c>
      <c r="H1972" s="125" t="s">
        <v>5852</v>
      </c>
      <c r="I1972" s="125" t="s">
        <v>5852</v>
      </c>
    </row>
    <row r="1973" spans="1:9" x14ac:dyDescent="0.25">
      <c r="A1973" s="125" t="s">
        <v>6048</v>
      </c>
      <c r="B1973" s="125" t="s">
        <v>5762</v>
      </c>
      <c r="C1973" s="125">
        <v>703</v>
      </c>
      <c r="D1973" s="125" t="s">
        <v>5763</v>
      </c>
      <c r="E1973" s="125" t="s">
        <v>5270</v>
      </c>
      <c r="F1973" s="125" t="s">
        <v>5271</v>
      </c>
      <c r="G1973" s="125" t="s">
        <v>5270</v>
      </c>
      <c r="H1973" s="125" t="s">
        <v>1102</v>
      </c>
      <c r="I1973" s="125" t="s">
        <v>1102</v>
      </c>
    </row>
    <row r="1974" spans="1:9" x14ac:dyDescent="0.25">
      <c r="A1974" s="125" t="s">
        <v>6049</v>
      </c>
      <c r="B1974" s="125" t="s">
        <v>5762</v>
      </c>
      <c r="C1974" s="125">
        <v>703</v>
      </c>
      <c r="D1974" s="125" t="s">
        <v>5763</v>
      </c>
      <c r="E1974" s="125" t="s">
        <v>5270</v>
      </c>
      <c r="F1974" s="125" t="s">
        <v>5271</v>
      </c>
      <c r="G1974" s="125" t="s">
        <v>5270</v>
      </c>
      <c r="H1974" s="125" t="s">
        <v>5852</v>
      </c>
      <c r="I1974" s="125" t="s">
        <v>5852</v>
      </c>
    </row>
    <row r="1975" spans="1:9" x14ac:dyDescent="0.25">
      <c r="A1975" s="125" t="s">
        <v>6050</v>
      </c>
      <c r="B1975" s="125" t="s">
        <v>5762</v>
      </c>
      <c r="C1975" s="125">
        <v>703</v>
      </c>
      <c r="D1975" s="125" t="s">
        <v>5763</v>
      </c>
      <c r="E1975" s="125" t="s">
        <v>5270</v>
      </c>
      <c r="F1975" s="125" t="s">
        <v>5271</v>
      </c>
      <c r="G1975" s="125" t="s">
        <v>5270</v>
      </c>
      <c r="H1975" s="125" t="s">
        <v>1102</v>
      </c>
      <c r="I1975" s="125" t="s">
        <v>1102</v>
      </c>
    </row>
    <row r="1976" spans="1:9" x14ac:dyDescent="0.25">
      <c r="A1976" s="125" t="s">
        <v>1596</v>
      </c>
      <c r="B1976" s="125" t="s">
        <v>5532</v>
      </c>
      <c r="C1976" s="125">
        <v>704</v>
      </c>
      <c r="D1976" s="125" t="s">
        <v>5533</v>
      </c>
      <c r="E1976" s="125" t="s">
        <v>5270</v>
      </c>
      <c r="F1976" s="125" t="s">
        <v>5271</v>
      </c>
      <c r="G1976" s="125" t="s">
        <v>5270</v>
      </c>
      <c r="H1976" s="125" t="s">
        <v>5852</v>
      </c>
      <c r="I1976" s="125" t="s">
        <v>5852</v>
      </c>
    </row>
    <row r="1977" spans="1:9" x14ac:dyDescent="0.25">
      <c r="A1977" s="125" t="s">
        <v>6051</v>
      </c>
      <c r="B1977" s="125" t="s">
        <v>5762</v>
      </c>
      <c r="C1977" s="125">
        <v>703</v>
      </c>
      <c r="D1977" s="125" t="s">
        <v>5763</v>
      </c>
      <c r="E1977" s="125" t="s">
        <v>5270</v>
      </c>
      <c r="F1977" s="125" t="s">
        <v>5271</v>
      </c>
      <c r="G1977" s="125" t="s">
        <v>5270</v>
      </c>
      <c r="H1977" s="125" t="s">
        <v>5764</v>
      </c>
      <c r="I1977" s="125" t="s">
        <v>5764</v>
      </c>
    </row>
    <row r="1978" spans="1:9" x14ac:dyDescent="0.25">
      <c r="A1978" s="125" t="s">
        <v>6052</v>
      </c>
      <c r="B1978" s="125" t="s">
        <v>5762</v>
      </c>
      <c r="C1978" s="125">
        <v>703</v>
      </c>
      <c r="D1978" s="125" t="s">
        <v>5763</v>
      </c>
      <c r="E1978" s="125" t="s">
        <v>5270</v>
      </c>
      <c r="F1978" s="125" t="s">
        <v>5271</v>
      </c>
      <c r="G1978" s="125" t="s">
        <v>5270</v>
      </c>
      <c r="H1978" s="125" t="s">
        <v>5764</v>
      </c>
      <c r="I1978" s="125" t="s">
        <v>5764</v>
      </c>
    </row>
    <row r="1979" spans="1:9" x14ac:dyDescent="0.25">
      <c r="A1979" s="125" t="s">
        <v>2477</v>
      </c>
      <c r="B1979" s="125" t="s">
        <v>5762</v>
      </c>
      <c r="C1979" s="125">
        <v>703</v>
      </c>
      <c r="D1979" s="125" t="s">
        <v>5763</v>
      </c>
      <c r="E1979" s="125" t="s">
        <v>5270</v>
      </c>
      <c r="F1979" s="125" t="s">
        <v>5271</v>
      </c>
      <c r="G1979" s="125" t="s">
        <v>5270</v>
      </c>
      <c r="H1979" s="125" t="s">
        <v>5764</v>
      </c>
      <c r="I1979" s="125" t="s">
        <v>5764</v>
      </c>
    </row>
    <row r="1980" spans="1:9" x14ac:dyDescent="0.25">
      <c r="A1980" s="125" t="s">
        <v>6053</v>
      </c>
      <c r="B1980" s="125" t="s">
        <v>5762</v>
      </c>
      <c r="C1980" s="125">
        <v>703</v>
      </c>
      <c r="D1980" s="125" t="s">
        <v>5763</v>
      </c>
      <c r="E1980" s="125" t="s">
        <v>5270</v>
      </c>
      <c r="F1980" s="125" t="s">
        <v>5271</v>
      </c>
      <c r="G1980" s="125" t="s">
        <v>5270</v>
      </c>
      <c r="H1980" s="125" t="s">
        <v>5764</v>
      </c>
      <c r="I1980" s="125" t="s">
        <v>5764</v>
      </c>
    </row>
    <row r="1981" spans="1:9" x14ac:dyDescent="0.25">
      <c r="A1981" s="125" t="s">
        <v>6054</v>
      </c>
      <c r="B1981" s="125" t="s">
        <v>5762</v>
      </c>
      <c r="C1981" s="125">
        <v>703</v>
      </c>
      <c r="D1981" s="125" t="s">
        <v>5763</v>
      </c>
      <c r="E1981" s="125" t="s">
        <v>5270</v>
      </c>
      <c r="F1981" s="125" t="s">
        <v>5271</v>
      </c>
      <c r="G1981" s="125" t="s">
        <v>5270</v>
      </c>
      <c r="H1981" s="125" t="s">
        <v>1102</v>
      </c>
      <c r="I1981" s="125" t="s">
        <v>1102</v>
      </c>
    </row>
    <row r="1982" spans="1:9" x14ac:dyDescent="0.25">
      <c r="A1982" s="125" t="s">
        <v>6055</v>
      </c>
      <c r="B1982" s="125" t="s">
        <v>5762</v>
      </c>
      <c r="C1982" s="125">
        <v>703</v>
      </c>
      <c r="D1982" s="125" t="s">
        <v>5763</v>
      </c>
      <c r="E1982" s="125" t="s">
        <v>5270</v>
      </c>
      <c r="F1982" s="125" t="s">
        <v>5271</v>
      </c>
      <c r="G1982" s="125" t="s">
        <v>5270</v>
      </c>
      <c r="H1982" s="125" t="s">
        <v>1102</v>
      </c>
      <c r="I1982" s="125" t="s">
        <v>1102</v>
      </c>
    </row>
    <row r="1983" spans="1:9" x14ac:dyDescent="0.25">
      <c r="A1983" s="125" t="s">
        <v>3558</v>
      </c>
      <c r="B1983" s="125" t="s">
        <v>5762</v>
      </c>
      <c r="C1983" s="125">
        <v>703</v>
      </c>
      <c r="D1983" s="125" t="s">
        <v>5763</v>
      </c>
      <c r="E1983" s="125" t="s">
        <v>5270</v>
      </c>
      <c r="F1983" s="125" t="s">
        <v>5271</v>
      </c>
      <c r="G1983" s="125" t="s">
        <v>5270</v>
      </c>
      <c r="H1983" s="125" t="s">
        <v>5764</v>
      </c>
      <c r="I1983" s="125" t="s">
        <v>5764</v>
      </c>
    </row>
    <row r="1984" spans="1:9" x14ac:dyDescent="0.25">
      <c r="A1984" s="125" t="s">
        <v>1556</v>
      </c>
      <c r="B1984" s="125" t="s">
        <v>5532</v>
      </c>
      <c r="C1984" s="125">
        <v>704</v>
      </c>
      <c r="D1984" s="125" t="s">
        <v>5533</v>
      </c>
      <c r="E1984" s="125" t="s">
        <v>5270</v>
      </c>
      <c r="F1984" s="125" t="s">
        <v>5271</v>
      </c>
      <c r="G1984" s="125" t="s">
        <v>5270</v>
      </c>
      <c r="H1984" s="125" t="s">
        <v>5852</v>
      </c>
      <c r="I1984" s="125" t="s">
        <v>5852</v>
      </c>
    </row>
    <row r="1985" spans="1:9" x14ac:dyDescent="0.25">
      <c r="A1985" s="125" t="s">
        <v>6056</v>
      </c>
      <c r="B1985" s="125" t="s">
        <v>5762</v>
      </c>
      <c r="C1985" s="125">
        <v>703</v>
      </c>
      <c r="D1985" s="125" t="s">
        <v>5763</v>
      </c>
      <c r="E1985" s="125" t="s">
        <v>5270</v>
      </c>
      <c r="F1985" s="125" t="s">
        <v>5271</v>
      </c>
      <c r="G1985" s="125" t="s">
        <v>5270</v>
      </c>
      <c r="H1985" s="125" t="s">
        <v>1102</v>
      </c>
      <c r="I1985" s="125" t="s">
        <v>1102</v>
      </c>
    </row>
    <row r="1986" spans="1:9" x14ac:dyDescent="0.25">
      <c r="A1986" s="125" t="s">
        <v>6057</v>
      </c>
      <c r="B1986" s="125" t="s">
        <v>5762</v>
      </c>
      <c r="C1986" s="125">
        <v>703</v>
      </c>
      <c r="D1986" s="125" t="s">
        <v>5763</v>
      </c>
      <c r="E1986" s="125" t="s">
        <v>5270</v>
      </c>
      <c r="F1986" s="125" t="s">
        <v>5271</v>
      </c>
      <c r="G1986" s="125" t="s">
        <v>5270</v>
      </c>
      <c r="H1986" s="125" t="s">
        <v>5764</v>
      </c>
      <c r="I1986" s="125" t="s">
        <v>5764</v>
      </c>
    </row>
    <row r="1987" spans="1:9" x14ac:dyDescent="0.25">
      <c r="A1987" s="125" t="s">
        <v>6058</v>
      </c>
      <c r="B1987" s="125" t="s">
        <v>5762</v>
      </c>
      <c r="C1987" s="125">
        <v>703</v>
      </c>
      <c r="D1987" s="125" t="s">
        <v>5763</v>
      </c>
      <c r="E1987" s="125" t="s">
        <v>5465</v>
      </c>
      <c r="F1987" s="125" t="s">
        <v>5466</v>
      </c>
      <c r="G1987" s="125" t="s">
        <v>5270</v>
      </c>
      <c r="H1987" s="125" t="s">
        <v>5764</v>
      </c>
      <c r="I1987" s="125" t="s">
        <v>5764</v>
      </c>
    </row>
    <row r="1988" spans="1:9" x14ac:dyDescent="0.25">
      <c r="A1988" s="125" t="s">
        <v>2866</v>
      </c>
      <c r="B1988" s="125" t="s">
        <v>5762</v>
      </c>
      <c r="C1988" s="125">
        <v>703</v>
      </c>
      <c r="D1988" s="125" t="s">
        <v>5763</v>
      </c>
      <c r="E1988" s="125" t="s">
        <v>5465</v>
      </c>
      <c r="F1988" s="125" t="s">
        <v>5466</v>
      </c>
      <c r="G1988" s="125" t="s">
        <v>5270</v>
      </c>
      <c r="H1988" s="125" t="s">
        <v>5764</v>
      </c>
      <c r="I1988" s="125" t="s">
        <v>5764</v>
      </c>
    </row>
    <row r="1989" spans="1:9" x14ac:dyDescent="0.25">
      <c r="A1989" s="125" t="s">
        <v>6059</v>
      </c>
      <c r="B1989" s="125" t="s">
        <v>5762</v>
      </c>
      <c r="C1989" s="125">
        <v>703</v>
      </c>
      <c r="D1989" s="125" t="s">
        <v>5763</v>
      </c>
      <c r="E1989" s="125" t="s">
        <v>5465</v>
      </c>
      <c r="F1989" s="125" t="s">
        <v>5466</v>
      </c>
      <c r="G1989" s="125" t="s">
        <v>5270</v>
      </c>
      <c r="H1989" s="125" t="s">
        <v>5764</v>
      </c>
      <c r="I1989" s="125" t="s">
        <v>5764</v>
      </c>
    </row>
    <row r="1990" spans="1:9" x14ac:dyDescent="0.25">
      <c r="A1990" s="125" t="s">
        <v>6060</v>
      </c>
      <c r="B1990" s="125" t="s">
        <v>5762</v>
      </c>
      <c r="C1990" s="125">
        <v>703</v>
      </c>
      <c r="D1990" s="125" t="s">
        <v>5763</v>
      </c>
      <c r="E1990" s="125" t="s">
        <v>5465</v>
      </c>
      <c r="F1990" s="125" t="s">
        <v>5466</v>
      </c>
      <c r="G1990" s="125" t="s">
        <v>5270</v>
      </c>
      <c r="H1990" s="125" t="s">
        <v>5764</v>
      </c>
      <c r="I1990" s="125" t="s">
        <v>5764</v>
      </c>
    </row>
    <row r="1991" spans="1:9" x14ac:dyDescent="0.25">
      <c r="A1991" s="125" t="s">
        <v>6061</v>
      </c>
      <c r="B1991" s="125" t="s">
        <v>5762</v>
      </c>
      <c r="C1991" s="125">
        <v>703</v>
      </c>
      <c r="D1991" s="125" t="s">
        <v>5763</v>
      </c>
      <c r="E1991" s="125" t="s">
        <v>5465</v>
      </c>
      <c r="F1991" s="125" t="s">
        <v>5466</v>
      </c>
      <c r="G1991" s="125" t="s">
        <v>5270</v>
      </c>
      <c r="H1991" s="125" t="s">
        <v>5764</v>
      </c>
      <c r="I1991" s="125" t="s">
        <v>5764</v>
      </c>
    </row>
    <row r="1992" spans="1:9" x14ac:dyDescent="0.25">
      <c r="A1992" s="125" t="s">
        <v>6062</v>
      </c>
      <c r="B1992" s="125" t="s">
        <v>5762</v>
      </c>
      <c r="C1992" s="125">
        <v>703</v>
      </c>
      <c r="D1992" s="125" t="s">
        <v>5763</v>
      </c>
      <c r="E1992" s="125" t="s">
        <v>5465</v>
      </c>
      <c r="F1992" s="125" t="s">
        <v>5466</v>
      </c>
      <c r="G1992" s="125" t="s">
        <v>5270</v>
      </c>
      <c r="H1992" s="125" t="s">
        <v>5764</v>
      </c>
      <c r="I1992" s="125" t="s">
        <v>5764</v>
      </c>
    </row>
    <row r="1993" spans="1:9" x14ac:dyDescent="0.25">
      <c r="A1993" s="125" t="s">
        <v>6063</v>
      </c>
      <c r="B1993" s="125" t="s">
        <v>5762</v>
      </c>
      <c r="C1993" s="125">
        <v>703</v>
      </c>
      <c r="D1993" s="125" t="s">
        <v>5763</v>
      </c>
      <c r="E1993" s="125" t="s">
        <v>5465</v>
      </c>
      <c r="F1993" s="125" t="s">
        <v>5466</v>
      </c>
      <c r="G1993" s="125" t="s">
        <v>5270</v>
      </c>
      <c r="H1993" s="125" t="s">
        <v>1102</v>
      </c>
      <c r="I1993" s="125" t="s">
        <v>1102</v>
      </c>
    </row>
    <row r="1994" spans="1:9" x14ac:dyDescent="0.25">
      <c r="A1994" s="125" t="s">
        <v>6064</v>
      </c>
      <c r="B1994" s="125" t="s">
        <v>5762</v>
      </c>
      <c r="C1994" s="125">
        <v>703</v>
      </c>
      <c r="D1994" s="125" t="s">
        <v>5763</v>
      </c>
      <c r="E1994" s="125" t="s">
        <v>5465</v>
      </c>
      <c r="F1994" s="125" t="s">
        <v>5466</v>
      </c>
      <c r="G1994" s="125" t="s">
        <v>5270</v>
      </c>
      <c r="H1994" s="125" t="s">
        <v>5764</v>
      </c>
      <c r="I1994" s="125" t="s">
        <v>5764</v>
      </c>
    </row>
    <row r="1995" spans="1:9" x14ac:dyDescent="0.25">
      <c r="A1995" s="125" t="s">
        <v>6065</v>
      </c>
      <c r="B1995" s="125" t="s">
        <v>5532</v>
      </c>
      <c r="C1995" s="125">
        <v>704</v>
      </c>
      <c r="D1995" s="125" t="s">
        <v>5533</v>
      </c>
      <c r="E1995" s="125" t="s">
        <v>5270</v>
      </c>
      <c r="F1995" s="125" t="s">
        <v>5271</v>
      </c>
      <c r="G1995" s="125" t="s">
        <v>5270</v>
      </c>
      <c r="H1995" s="125" t="s">
        <v>1102</v>
      </c>
      <c r="I1995" s="125" t="s">
        <v>1102</v>
      </c>
    </row>
    <row r="1996" spans="1:9" x14ac:dyDescent="0.25">
      <c r="A1996" s="125" t="s">
        <v>6066</v>
      </c>
      <c r="B1996" s="125" t="s">
        <v>5762</v>
      </c>
      <c r="C1996" s="125">
        <v>703</v>
      </c>
      <c r="D1996" s="125" t="s">
        <v>5763</v>
      </c>
      <c r="E1996" s="125" t="s">
        <v>5465</v>
      </c>
      <c r="F1996" s="125" t="s">
        <v>5466</v>
      </c>
      <c r="G1996" s="125" t="s">
        <v>5270</v>
      </c>
      <c r="H1996" s="125" t="s">
        <v>1102</v>
      </c>
      <c r="I1996" s="125" t="s">
        <v>1102</v>
      </c>
    </row>
    <row r="1997" spans="1:9" x14ac:dyDescent="0.25">
      <c r="A1997" s="125" t="s">
        <v>6067</v>
      </c>
      <c r="B1997" s="125" t="s">
        <v>5762</v>
      </c>
      <c r="C1997" s="125">
        <v>703</v>
      </c>
      <c r="D1997" s="125" t="s">
        <v>5763</v>
      </c>
      <c r="E1997" s="125" t="s">
        <v>5465</v>
      </c>
      <c r="F1997" s="125" t="s">
        <v>5466</v>
      </c>
      <c r="G1997" s="125" t="s">
        <v>5270</v>
      </c>
      <c r="H1997" s="125" t="s">
        <v>5764</v>
      </c>
      <c r="I1997" s="125" t="s">
        <v>5764</v>
      </c>
    </row>
    <row r="1998" spans="1:9" x14ac:dyDescent="0.25">
      <c r="A1998" s="125" t="s">
        <v>6068</v>
      </c>
      <c r="B1998" s="125" t="s">
        <v>5382</v>
      </c>
      <c r="C1998" s="125" t="s">
        <v>5383</v>
      </c>
      <c r="D1998" s="125"/>
      <c r="E1998" s="125" t="s">
        <v>5384</v>
      </c>
      <c r="F1998" s="125" t="s">
        <v>5384</v>
      </c>
      <c r="G1998" s="125" t="s">
        <v>5384</v>
      </c>
      <c r="H1998" s="125" t="s">
        <v>371</v>
      </c>
      <c r="I1998" s="125" t="s">
        <v>371</v>
      </c>
    </row>
    <row r="1999" spans="1:9" x14ac:dyDescent="0.25">
      <c r="A1999" s="125" t="s">
        <v>6069</v>
      </c>
      <c r="B1999" s="125" t="s">
        <v>5382</v>
      </c>
      <c r="C1999" s="125" t="s">
        <v>5383</v>
      </c>
      <c r="D1999" s="125"/>
      <c r="E1999" s="125" t="s">
        <v>5384</v>
      </c>
      <c r="F1999" s="125" t="s">
        <v>5384</v>
      </c>
      <c r="G1999" s="125" t="s">
        <v>5384</v>
      </c>
      <c r="H1999" s="125" t="s">
        <v>371</v>
      </c>
      <c r="I1999" s="125" t="s">
        <v>371</v>
      </c>
    </row>
    <row r="2000" spans="1:9" x14ac:dyDescent="0.25">
      <c r="A2000" s="125" t="s">
        <v>6070</v>
      </c>
      <c r="B2000" s="125" t="s">
        <v>5382</v>
      </c>
      <c r="C2000" s="125" t="s">
        <v>5383</v>
      </c>
      <c r="D2000" s="125"/>
      <c r="E2000" s="125" t="s">
        <v>5384</v>
      </c>
      <c r="F2000" s="125" t="s">
        <v>5384</v>
      </c>
      <c r="G2000" s="125" t="s">
        <v>5384</v>
      </c>
      <c r="H2000" s="125" t="s">
        <v>371</v>
      </c>
      <c r="I2000" s="125" t="s">
        <v>371</v>
      </c>
    </row>
    <row r="2001" spans="1:9" x14ac:dyDescent="0.25">
      <c r="A2001" s="125" t="s">
        <v>3335</v>
      </c>
      <c r="B2001" s="125" t="s">
        <v>5648</v>
      </c>
      <c r="C2001" s="125">
        <v>714</v>
      </c>
      <c r="D2001" s="125" t="s">
        <v>5649</v>
      </c>
      <c r="E2001" s="125" t="s">
        <v>5465</v>
      </c>
      <c r="F2001" s="125" t="s">
        <v>5466</v>
      </c>
      <c r="G2001" s="125" t="s">
        <v>5270</v>
      </c>
      <c r="H2001" s="125" t="s">
        <v>5764</v>
      </c>
      <c r="I2001" s="125" t="s">
        <v>5764</v>
      </c>
    </row>
    <row r="2002" spans="1:9" x14ac:dyDescent="0.25">
      <c r="A2002" s="125" t="s">
        <v>6071</v>
      </c>
      <c r="B2002" s="125" t="s">
        <v>5532</v>
      </c>
      <c r="C2002" s="125">
        <v>704</v>
      </c>
      <c r="D2002" s="125" t="s">
        <v>5533</v>
      </c>
      <c r="E2002" s="125" t="s">
        <v>5270</v>
      </c>
      <c r="F2002" s="125" t="s">
        <v>5271</v>
      </c>
      <c r="G2002" s="125" t="s">
        <v>5270</v>
      </c>
      <c r="H2002" s="125" t="s">
        <v>1102</v>
      </c>
      <c r="I2002" s="125" t="s">
        <v>1102</v>
      </c>
    </row>
    <row r="2003" spans="1:9" x14ac:dyDescent="0.25">
      <c r="A2003" s="125" t="s">
        <v>3077</v>
      </c>
      <c r="B2003" s="125" t="s">
        <v>5762</v>
      </c>
      <c r="C2003" s="125">
        <v>703</v>
      </c>
      <c r="D2003" s="125" t="s">
        <v>5763</v>
      </c>
      <c r="E2003" s="125" t="s">
        <v>5465</v>
      </c>
      <c r="F2003" s="125" t="s">
        <v>5466</v>
      </c>
      <c r="G2003" s="125" t="s">
        <v>5270</v>
      </c>
      <c r="H2003" s="125" t="s">
        <v>5764</v>
      </c>
      <c r="I2003" s="125" t="s">
        <v>5764</v>
      </c>
    </row>
    <row r="2004" spans="1:9" x14ac:dyDescent="0.25">
      <c r="A2004" s="125" t="s">
        <v>6072</v>
      </c>
      <c r="B2004" s="125" t="s">
        <v>5532</v>
      </c>
      <c r="C2004" s="125">
        <v>704</v>
      </c>
      <c r="D2004" s="125" t="s">
        <v>5533</v>
      </c>
      <c r="E2004" s="125" t="s">
        <v>5270</v>
      </c>
      <c r="F2004" s="125" t="s">
        <v>5271</v>
      </c>
      <c r="G2004" s="125" t="s">
        <v>5270</v>
      </c>
      <c r="H2004" s="125" t="s">
        <v>5852</v>
      </c>
      <c r="I2004" s="125" t="s">
        <v>5852</v>
      </c>
    </row>
    <row r="2005" spans="1:9" x14ac:dyDescent="0.25">
      <c r="A2005" s="125" t="s">
        <v>3522</v>
      </c>
      <c r="B2005" s="125" t="s">
        <v>5532</v>
      </c>
      <c r="C2005" s="125">
        <v>704</v>
      </c>
      <c r="D2005" s="125" t="s">
        <v>5533</v>
      </c>
      <c r="E2005" s="125" t="s">
        <v>5270</v>
      </c>
      <c r="F2005" s="125" t="s">
        <v>5271</v>
      </c>
      <c r="G2005" s="125" t="s">
        <v>5270</v>
      </c>
      <c r="H2005" s="125" t="s">
        <v>5852</v>
      </c>
      <c r="I2005" s="125" t="s">
        <v>5852</v>
      </c>
    </row>
    <row r="2006" spans="1:9" x14ac:dyDescent="0.25">
      <c r="A2006" s="125" t="s">
        <v>6073</v>
      </c>
      <c r="B2006" s="125" t="s">
        <v>5762</v>
      </c>
      <c r="C2006" s="125">
        <v>703</v>
      </c>
      <c r="D2006" s="125" t="s">
        <v>5763</v>
      </c>
      <c r="E2006" s="125" t="s">
        <v>5270</v>
      </c>
      <c r="F2006" s="125" t="s">
        <v>5271</v>
      </c>
      <c r="G2006" s="125" t="s">
        <v>5270</v>
      </c>
      <c r="H2006" s="125" t="s">
        <v>5852</v>
      </c>
      <c r="I2006" s="125" t="s">
        <v>5852</v>
      </c>
    </row>
    <row r="2007" spans="1:9" x14ac:dyDescent="0.25">
      <c r="A2007" s="125" t="s">
        <v>6074</v>
      </c>
      <c r="B2007" s="125" t="s">
        <v>5762</v>
      </c>
      <c r="C2007" s="125">
        <v>703</v>
      </c>
      <c r="D2007" s="125" t="s">
        <v>5763</v>
      </c>
      <c r="E2007" s="125" t="s">
        <v>5270</v>
      </c>
      <c r="F2007" s="125" t="s">
        <v>5271</v>
      </c>
      <c r="G2007" s="125" t="s">
        <v>5270</v>
      </c>
      <c r="H2007" s="125" t="s">
        <v>1102</v>
      </c>
      <c r="I2007" s="125" t="s">
        <v>1102</v>
      </c>
    </row>
    <row r="2008" spans="1:9" x14ac:dyDescent="0.25">
      <c r="A2008" s="125" t="s">
        <v>1961</v>
      </c>
      <c r="B2008" s="125" t="s">
        <v>5336</v>
      </c>
      <c r="C2008" s="125">
        <v>222</v>
      </c>
      <c r="D2008" s="125" t="s">
        <v>5337</v>
      </c>
      <c r="E2008" s="125" t="s">
        <v>5303</v>
      </c>
      <c r="F2008" s="125" t="s">
        <v>5304</v>
      </c>
      <c r="G2008" s="125" t="s">
        <v>5297</v>
      </c>
      <c r="H2008" s="125" t="s">
        <v>1394</v>
      </c>
      <c r="I2008" s="125" t="s">
        <v>5633</v>
      </c>
    </row>
    <row r="2009" spans="1:9" x14ac:dyDescent="0.25">
      <c r="A2009" s="125" t="s">
        <v>2973</v>
      </c>
      <c r="B2009" s="125" t="s">
        <v>5336</v>
      </c>
      <c r="C2009" s="125">
        <v>222</v>
      </c>
      <c r="D2009" s="125" t="s">
        <v>5337</v>
      </c>
      <c r="E2009" s="125" t="s">
        <v>5303</v>
      </c>
      <c r="F2009" s="125" t="s">
        <v>5304</v>
      </c>
      <c r="G2009" s="125" t="s">
        <v>5297</v>
      </c>
      <c r="H2009" s="125" t="s">
        <v>371</v>
      </c>
      <c r="I2009" s="125" t="s">
        <v>371</v>
      </c>
    </row>
    <row r="2010" spans="1:9" x14ac:dyDescent="0.25">
      <c r="A2010" s="125" t="s">
        <v>2328</v>
      </c>
      <c r="B2010" s="125" t="s">
        <v>5336</v>
      </c>
      <c r="C2010" s="125">
        <v>222</v>
      </c>
      <c r="D2010" s="125" t="s">
        <v>5337</v>
      </c>
      <c r="E2010" s="125" t="s">
        <v>5303</v>
      </c>
      <c r="F2010" s="125" t="s">
        <v>5304</v>
      </c>
      <c r="G2010" s="125" t="s">
        <v>5297</v>
      </c>
      <c r="H2010" s="125" t="s">
        <v>371</v>
      </c>
      <c r="I2010" s="125" t="s">
        <v>371</v>
      </c>
    </row>
    <row r="2011" spans="1:9" x14ac:dyDescent="0.25">
      <c r="A2011" s="125" t="s">
        <v>2004</v>
      </c>
      <c r="B2011" s="125" t="s">
        <v>5336</v>
      </c>
      <c r="C2011" s="125">
        <v>222</v>
      </c>
      <c r="D2011" s="125" t="s">
        <v>5337</v>
      </c>
      <c r="E2011" s="125" t="s">
        <v>5303</v>
      </c>
      <c r="F2011" s="125" t="s">
        <v>5304</v>
      </c>
      <c r="G2011" s="125" t="s">
        <v>5297</v>
      </c>
      <c r="H2011" s="125" t="s">
        <v>371</v>
      </c>
      <c r="I2011" s="125" t="s">
        <v>371</v>
      </c>
    </row>
    <row r="2012" spans="1:9" x14ac:dyDescent="0.25">
      <c r="A2012" s="125" t="s">
        <v>2447</v>
      </c>
      <c r="B2012" s="125" t="s">
        <v>5336</v>
      </c>
      <c r="C2012" s="125">
        <v>222</v>
      </c>
      <c r="D2012" s="125" t="s">
        <v>5337</v>
      </c>
      <c r="E2012" s="125" t="s">
        <v>5303</v>
      </c>
      <c r="F2012" s="125" t="s">
        <v>5304</v>
      </c>
      <c r="G2012" s="125" t="s">
        <v>5297</v>
      </c>
      <c r="H2012" s="125" t="s">
        <v>371</v>
      </c>
      <c r="I2012" s="125" t="s">
        <v>371</v>
      </c>
    </row>
    <row r="2013" spans="1:9" x14ac:dyDescent="0.25">
      <c r="A2013" s="125" t="s">
        <v>1272</v>
      </c>
      <c r="B2013" s="125" t="s">
        <v>5336</v>
      </c>
      <c r="C2013" s="125">
        <v>222</v>
      </c>
      <c r="D2013" s="125" t="s">
        <v>5337</v>
      </c>
      <c r="E2013" s="125" t="s">
        <v>5303</v>
      </c>
      <c r="F2013" s="125" t="s">
        <v>5304</v>
      </c>
      <c r="G2013" s="125" t="s">
        <v>5297</v>
      </c>
      <c r="H2013" s="125" t="s">
        <v>371</v>
      </c>
      <c r="I2013" s="125" t="s">
        <v>371</v>
      </c>
    </row>
    <row r="2014" spans="1:9" x14ac:dyDescent="0.25">
      <c r="A2014" s="125" t="s">
        <v>2200</v>
      </c>
      <c r="B2014" s="125" t="s">
        <v>5336</v>
      </c>
      <c r="C2014" s="125">
        <v>222</v>
      </c>
      <c r="D2014" s="125" t="s">
        <v>5337</v>
      </c>
      <c r="E2014" s="125" t="s">
        <v>5303</v>
      </c>
      <c r="F2014" s="125" t="s">
        <v>5304</v>
      </c>
      <c r="G2014" s="125" t="s">
        <v>5297</v>
      </c>
      <c r="H2014" s="125" t="s">
        <v>371</v>
      </c>
      <c r="I2014" s="125" t="s">
        <v>371</v>
      </c>
    </row>
    <row r="2015" spans="1:9" x14ac:dyDescent="0.25">
      <c r="A2015" s="125" t="s">
        <v>6075</v>
      </c>
      <c r="B2015" s="125" t="s">
        <v>5336</v>
      </c>
      <c r="C2015" s="125">
        <v>222</v>
      </c>
      <c r="D2015" s="125" t="s">
        <v>5337</v>
      </c>
      <c r="E2015" s="125" t="s">
        <v>5303</v>
      </c>
      <c r="F2015" s="125" t="s">
        <v>5304</v>
      </c>
      <c r="G2015" s="125" t="s">
        <v>5297</v>
      </c>
      <c r="H2015" s="125" t="s">
        <v>371</v>
      </c>
      <c r="I2015" s="125" t="s">
        <v>371</v>
      </c>
    </row>
    <row r="2016" spans="1:9" x14ac:dyDescent="0.25">
      <c r="A2016" s="125" t="s">
        <v>2921</v>
      </c>
      <c r="B2016" s="125" t="s">
        <v>5336</v>
      </c>
      <c r="C2016" s="125">
        <v>222</v>
      </c>
      <c r="D2016" s="125" t="s">
        <v>5337</v>
      </c>
      <c r="E2016" s="125" t="s">
        <v>5303</v>
      </c>
      <c r="F2016" s="125" t="s">
        <v>5304</v>
      </c>
      <c r="G2016" s="125" t="s">
        <v>5297</v>
      </c>
      <c r="H2016" s="125" t="s">
        <v>371</v>
      </c>
      <c r="I2016" s="125" t="s">
        <v>371</v>
      </c>
    </row>
    <row r="2017" spans="1:9" x14ac:dyDescent="0.25">
      <c r="A2017" s="125" t="s">
        <v>6076</v>
      </c>
      <c r="B2017" s="125" t="s">
        <v>5336</v>
      </c>
      <c r="C2017" s="125">
        <v>222</v>
      </c>
      <c r="D2017" s="125" t="s">
        <v>5337</v>
      </c>
      <c r="E2017" s="125" t="s">
        <v>5303</v>
      </c>
      <c r="F2017" s="125" t="s">
        <v>5304</v>
      </c>
      <c r="G2017" s="125" t="s">
        <v>5297</v>
      </c>
      <c r="H2017" s="125" t="s">
        <v>371</v>
      </c>
      <c r="I2017" s="125" t="s">
        <v>371</v>
      </c>
    </row>
    <row r="2018" spans="1:9" x14ac:dyDescent="0.25">
      <c r="A2018" s="125" t="s">
        <v>1098</v>
      </c>
      <c r="B2018" s="125" t="s">
        <v>5336</v>
      </c>
      <c r="C2018" s="125">
        <v>222</v>
      </c>
      <c r="D2018" s="125" t="s">
        <v>5337</v>
      </c>
      <c r="E2018" s="125" t="s">
        <v>5303</v>
      </c>
      <c r="F2018" s="125" t="s">
        <v>5304</v>
      </c>
      <c r="G2018" s="125" t="s">
        <v>5297</v>
      </c>
      <c r="H2018" s="125" t="s">
        <v>371</v>
      </c>
      <c r="I2018" s="125" t="s">
        <v>371</v>
      </c>
    </row>
    <row r="2019" spans="1:9" x14ac:dyDescent="0.25">
      <c r="A2019" s="125" t="s">
        <v>3362</v>
      </c>
      <c r="B2019" s="125" t="s">
        <v>5336</v>
      </c>
      <c r="C2019" s="125">
        <v>222</v>
      </c>
      <c r="D2019" s="125" t="s">
        <v>5337</v>
      </c>
      <c r="E2019" s="125" t="s">
        <v>5303</v>
      </c>
      <c r="F2019" s="125" t="s">
        <v>5304</v>
      </c>
      <c r="G2019" s="125" t="s">
        <v>5297</v>
      </c>
      <c r="H2019" s="125" t="s">
        <v>1394</v>
      </c>
      <c r="I2019" s="125" t="s">
        <v>5633</v>
      </c>
    </row>
    <row r="2020" spans="1:9" x14ac:dyDescent="0.25">
      <c r="A2020" s="125" t="s">
        <v>1768</v>
      </c>
      <c r="B2020" s="125" t="s">
        <v>5336</v>
      </c>
      <c r="C2020" s="125">
        <v>222</v>
      </c>
      <c r="D2020" s="125" t="s">
        <v>5337</v>
      </c>
      <c r="E2020" s="125" t="s">
        <v>5303</v>
      </c>
      <c r="F2020" s="125" t="s">
        <v>5304</v>
      </c>
      <c r="G2020" s="125" t="s">
        <v>5297</v>
      </c>
      <c r="H2020" s="125" t="s">
        <v>371</v>
      </c>
      <c r="I2020" s="125" t="s">
        <v>371</v>
      </c>
    </row>
    <row r="2021" spans="1:9" x14ac:dyDescent="0.25">
      <c r="A2021" s="125" t="s">
        <v>1831</v>
      </c>
      <c r="B2021" s="125" t="s">
        <v>5336</v>
      </c>
      <c r="C2021" s="125">
        <v>222</v>
      </c>
      <c r="D2021" s="125" t="s">
        <v>5337</v>
      </c>
      <c r="E2021" s="125" t="s">
        <v>5303</v>
      </c>
      <c r="F2021" s="125" t="s">
        <v>5304</v>
      </c>
      <c r="G2021" s="125" t="s">
        <v>5297</v>
      </c>
      <c r="H2021" s="125" t="s">
        <v>371</v>
      </c>
      <c r="I2021" s="125" t="s">
        <v>371</v>
      </c>
    </row>
    <row r="2022" spans="1:9" x14ac:dyDescent="0.25">
      <c r="A2022" s="125" t="s">
        <v>2918</v>
      </c>
      <c r="B2022" s="125" t="s">
        <v>5336</v>
      </c>
      <c r="C2022" s="125">
        <v>222</v>
      </c>
      <c r="D2022" s="125" t="s">
        <v>5337</v>
      </c>
      <c r="E2022" s="125" t="s">
        <v>5303</v>
      </c>
      <c r="F2022" s="125" t="s">
        <v>5304</v>
      </c>
      <c r="G2022" s="125" t="s">
        <v>5297</v>
      </c>
      <c r="H2022" s="125" t="s">
        <v>371</v>
      </c>
      <c r="I2022" s="125" t="s">
        <v>371</v>
      </c>
    </row>
    <row r="2023" spans="1:9" x14ac:dyDescent="0.25">
      <c r="A2023" s="125" t="s">
        <v>1656</v>
      </c>
      <c r="B2023" s="125" t="s">
        <v>5336</v>
      </c>
      <c r="C2023" s="125">
        <v>222</v>
      </c>
      <c r="D2023" s="125" t="s">
        <v>5337</v>
      </c>
      <c r="E2023" s="125" t="s">
        <v>5303</v>
      </c>
      <c r="F2023" s="125" t="s">
        <v>5304</v>
      </c>
      <c r="G2023" s="125" t="s">
        <v>5297</v>
      </c>
      <c r="H2023" s="125" t="s">
        <v>371</v>
      </c>
      <c r="I2023" s="125" t="s">
        <v>371</v>
      </c>
    </row>
    <row r="2024" spans="1:9" x14ac:dyDescent="0.25">
      <c r="A2024" s="125" t="s">
        <v>2756</v>
      </c>
      <c r="B2024" s="125" t="s">
        <v>5336</v>
      </c>
      <c r="C2024" s="125">
        <v>222</v>
      </c>
      <c r="D2024" s="125" t="s">
        <v>5337</v>
      </c>
      <c r="E2024" s="125" t="s">
        <v>5303</v>
      </c>
      <c r="F2024" s="125" t="s">
        <v>5304</v>
      </c>
      <c r="G2024" s="125" t="s">
        <v>5297</v>
      </c>
      <c r="H2024" s="125" t="s">
        <v>371</v>
      </c>
      <c r="I2024" s="125" t="s">
        <v>371</v>
      </c>
    </row>
    <row r="2025" spans="1:9" x14ac:dyDescent="0.25">
      <c r="A2025" s="125" t="s">
        <v>2671</v>
      </c>
      <c r="B2025" s="125" t="s">
        <v>5336</v>
      </c>
      <c r="C2025" s="125">
        <v>222</v>
      </c>
      <c r="D2025" s="125" t="s">
        <v>5337</v>
      </c>
      <c r="E2025" s="125" t="s">
        <v>5303</v>
      </c>
      <c r="F2025" s="125" t="s">
        <v>5304</v>
      </c>
      <c r="G2025" s="125" t="s">
        <v>5297</v>
      </c>
      <c r="H2025" s="125" t="s">
        <v>371</v>
      </c>
      <c r="I2025" s="125" t="s">
        <v>371</v>
      </c>
    </row>
    <row r="2026" spans="1:9" x14ac:dyDescent="0.25">
      <c r="A2026" s="125" t="s">
        <v>2421</v>
      </c>
      <c r="B2026" s="125" t="s">
        <v>5336</v>
      </c>
      <c r="C2026" s="125">
        <v>222</v>
      </c>
      <c r="D2026" s="125" t="s">
        <v>5337</v>
      </c>
      <c r="E2026" s="125" t="s">
        <v>5303</v>
      </c>
      <c r="F2026" s="125" t="s">
        <v>5304</v>
      </c>
      <c r="G2026" s="125" t="s">
        <v>5297</v>
      </c>
      <c r="H2026" s="125" t="s">
        <v>371</v>
      </c>
      <c r="I2026" s="125" t="s">
        <v>371</v>
      </c>
    </row>
    <row r="2027" spans="1:9" x14ac:dyDescent="0.25">
      <c r="A2027" s="125" t="s">
        <v>2991</v>
      </c>
      <c r="B2027" s="125" t="s">
        <v>5336</v>
      </c>
      <c r="C2027" s="125">
        <v>222</v>
      </c>
      <c r="D2027" s="125" t="s">
        <v>5337</v>
      </c>
      <c r="E2027" s="125" t="s">
        <v>5303</v>
      </c>
      <c r="F2027" s="125" t="s">
        <v>5304</v>
      </c>
      <c r="G2027" s="125" t="s">
        <v>5297</v>
      </c>
      <c r="H2027" s="125" t="s">
        <v>371</v>
      </c>
      <c r="I2027" s="125" t="s">
        <v>371</v>
      </c>
    </row>
    <row r="2028" spans="1:9" x14ac:dyDescent="0.25">
      <c r="A2028" s="125" t="s">
        <v>1854</v>
      </c>
      <c r="B2028" s="125" t="s">
        <v>5336</v>
      </c>
      <c r="C2028" s="125">
        <v>222</v>
      </c>
      <c r="D2028" s="125" t="s">
        <v>5337</v>
      </c>
      <c r="E2028" s="125" t="s">
        <v>5303</v>
      </c>
      <c r="F2028" s="125" t="s">
        <v>5304</v>
      </c>
      <c r="G2028" s="125" t="s">
        <v>5297</v>
      </c>
      <c r="H2028" s="125" t="s">
        <v>371</v>
      </c>
      <c r="I2028" s="125" t="s">
        <v>371</v>
      </c>
    </row>
    <row r="2029" spans="1:9" x14ac:dyDescent="0.25">
      <c r="A2029" s="125" t="s">
        <v>2229</v>
      </c>
      <c r="B2029" s="125" t="s">
        <v>5336</v>
      </c>
      <c r="C2029" s="125">
        <v>222</v>
      </c>
      <c r="D2029" s="125" t="s">
        <v>5337</v>
      </c>
      <c r="E2029" s="125" t="s">
        <v>5303</v>
      </c>
      <c r="F2029" s="125" t="s">
        <v>5304</v>
      </c>
      <c r="G2029" s="125" t="s">
        <v>5297</v>
      </c>
      <c r="H2029" s="125" t="s">
        <v>371</v>
      </c>
      <c r="I2029" s="125" t="s">
        <v>371</v>
      </c>
    </row>
    <row r="2030" spans="1:9" x14ac:dyDescent="0.25">
      <c r="A2030" s="125" t="s">
        <v>1963</v>
      </c>
      <c r="B2030" s="125" t="s">
        <v>5336</v>
      </c>
      <c r="C2030" s="125">
        <v>222</v>
      </c>
      <c r="D2030" s="125" t="s">
        <v>5337</v>
      </c>
      <c r="E2030" s="125" t="s">
        <v>5303</v>
      </c>
      <c r="F2030" s="125" t="s">
        <v>5304</v>
      </c>
      <c r="G2030" s="125" t="s">
        <v>5297</v>
      </c>
      <c r="H2030" s="125" t="s">
        <v>1394</v>
      </c>
      <c r="I2030" s="125" t="s">
        <v>5633</v>
      </c>
    </row>
    <row r="2031" spans="1:9" x14ac:dyDescent="0.25">
      <c r="A2031" s="125" t="s">
        <v>3236</v>
      </c>
      <c r="B2031" s="125" t="s">
        <v>5336</v>
      </c>
      <c r="C2031" s="125">
        <v>222</v>
      </c>
      <c r="D2031" s="125" t="s">
        <v>5337</v>
      </c>
      <c r="E2031" s="125" t="s">
        <v>5303</v>
      </c>
      <c r="F2031" s="125" t="s">
        <v>5304</v>
      </c>
      <c r="G2031" s="125" t="s">
        <v>5297</v>
      </c>
      <c r="H2031" s="125" t="s">
        <v>371</v>
      </c>
      <c r="I2031" s="125" t="s">
        <v>371</v>
      </c>
    </row>
    <row r="2032" spans="1:9" x14ac:dyDescent="0.25">
      <c r="A2032" s="125" t="s">
        <v>2214</v>
      </c>
      <c r="B2032" s="125" t="s">
        <v>5336</v>
      </c>
      <c r="C2032" s="125">
        <v>222</v>
      </c>
      <c r="D2032" s="125" t="s">
        <v>5337</v>
      </c>
      <c r="E2032" s="125" t="s">
        <v>5303</v>
      </c>
      <c r="F2032" s="125" t="s">
        <v>5304</v>
      </c>
      <c r="G2032" s="125" t="s">
        <v>5297</v>
      </c>
      <c r="H2032" s="125" t="s">
        <v>371</v>
      </c>
      <c r="I2032" s="125" t="s">
        <v>371</v>
      </c>
    </row>
    <row r="2033" spans="1:9" x14ac:dyDescent="0.25">
      <c r="A2033" s="125" t="s">
        <v>1855</v>
      </c>
      <c r="B2033" s="125" t="s">
        <v>5336</v>
      </c>
      <c r="C2033" s="125">
        <v>222</v>
      </c>
      <c r="D2033" s="125" t="s">
        <v>5337</v>
      </c>
      <c r="E2033" s="125" t="s">
        <v>5303</v>
      </c>
      <c r="F2033" s="125" t="s">
        <v>5304</v>
      </c>
      <c r="G2033" s="125" t="s">
        <v>5297</v>
      </c>
      <c r="H2033" s="125" t="s">
        <v>371</v>
      </c>
      <c r="I2033" s="125" t="s">
        <v>371</v>
      </c>
    </row>
    <row r="2034" spans="1:9" x14ac:dyDescent="0.25">
      <c r="A2034" s="125" t="s">
        <v>3557</v>
      </c>
      <c r="B2034" s="125" t="s">
        <v>5336</v>
      </c>
      <c r="C2034" s="125">
        <v>222</v>
      </c>
      <c r="D2034" s="125" t="s">
        <v>5337</v>
      </c>
      <c r="E2034" s="125" t="s">
        <v>5303</v>
      </c>
      <c r="F2034" s="125" t="s">
        <v>5304</v>
      </c>
      <c r="G2034" s="125" t="s">
        <v>5297</v>
      </c>
      <c r="H2034" s="125" t="s">
        <v>371</v>
      </c>
      <c r="I2034" s="125" t="s">
        <v>371</v>
      </c>
    </row>
    <row r="2035" spans="1:9" x14ac:dyDescent="0.25">
      <c r="A2035" s="125" t="s">
        <v>6077</v>
      </c>
      <c r="B2035" s="125" t="s">
        <v>5336</v>
      </c>
      <c r="C2035" s="125">
        <v>222</v>
      </c>
      <c r="D2035" s="125" t="s">
        <v>5337</v>
      </c>
      <c r="E2035" s="125" t="s">
        <v>5303</v>
      </c>
      <c r="F2035" s="125" t="s">
        <v>5304</v>
      </c>
      <c r="G2035" s="125" t="s">
        <v>5297</v>
      </c>
      <c r="H2035" s="125" t="s">
        <v>371</v>
      </c>
      <c r="I2035" s="125" t="s">
        <v>371</v>
      </c>
    </row>
    <row r="2036" spans="1:9" x14ac:dyDescent="0.25">
      <c r="A2036" s="125" t="s">
        <v>3556</v>
      </c>
      <c r="B2036" s="125" t="s">
        <v>5336</v>
      </c>
      <c r="C2036" s="125">
        <v>222</v>
      </c>
      <c r="D2036" s="125" t="s">
        <v>5337</v>
      </c>
      <c r="E2036" s="125" t="s">
        <v>5303</v>
      </c>
      <c r="F2036" s="125" t="s">
        <v>5304</v>
      </c>
      <c r="G2036" s="125" t="s">
        <v>5297</v>
      </c>
      <c r="H2036" s="125" t="s">
        <v>371</v>
      </c>
      <c r="I2036" s="125" t="s">
        <v>371</v>
      </c>
    </row>
    <row r="2037" spans="1:9" x14ac:dyDescent="0.25">
      <c r="A2037" s="125" t="s">
        <v>2215</v>
      </c>
      <c r="B2037" s="125" t="s">
        <v>5336</v>
      </c>
      <c r="C2037" s="125">
        <v>222</v>
      </c>
      <c r="D2037" s="125" t="s">
        <v>5337</v>
      </c>
      <c r="E2037" s="125" t="s">
        <v>5303</v>
      </c>
      <c r="F2037" s="125" t="s">
        <v>5304</v>
      </c>
      <c r="G2037" s="125" t="s">
        <v>5297</v>
      </c>
      <c r="H2037" s="125" t="s">
        <v>1394</v>
      </c>
      <c r="I2037" s="125" t="s">
        <v>5633</v>
      </c>
    </row>
    <row r="2038" spans="1:9" x14ac:dyDescent="0.25">
      <c r="A2038" s="125" t="s">
        <v>3019</v>
      </c>
      <c r="B2038" s="125" t="s">
        <v>5336</v>
      </c>
      <c r="C2038" s="125">
        <v>222</v>
      </c>
      <c r="D2038" s="125" t="s">
        <v>5337</v>
      </c>
      <c r="E2038" s="125" t="s">
        <v>5303</v>
      </c>
      <c r="F2038" s="125" t="s">
        <v>5304</v>
      </c>
      <c r="G2038" s="125" t="s">
        <v>5297</v>
      </c>
      <c r="H2038" s="125" t="s">
        <v>1394</v>
      </c>
      <c r="I2038" s="125" t="s">
        <v>5633</v>
      </c>
    </row>
    <row r="2039" spans="1:9" x14ac:dyDescent="0.25">
      <c r="A2039" s="125" t="s">
        <v>1395</v>
      </c>
      <c r="B2039" s="125" t="s">
        <v>5336</v>
      </c>
      <c r="C2039" s="125">
        <v>222</v>
      </c>
      <c r="D2039" s="125" t="s">
        <v>5337</v>
      </c>
      <c r="E2039" s="125" t="s">
        <v>5303</v>
      </c>
      <c r="F2039" s="125" t="s">
        <v>5304</v>
      </c>
      <c r="G2039" s="125" t="s">
        <v>5297</v>
      </c>
      <c r="H2039" s="125" t="s">
        <v>1394</v>
      </c>
      <c r="I2039" s="125" t="s">
        <v>5633</v>
      </c>
    </row>
    <row r="2040" spans="1:9" x14ac:dyDescent="0.25">
      <c r="A2040" s="125" t="s">
        <v>3055</v>
      </c>
      <c r="B2040" s="125" t="s">
        <v>5336</v>
      </c>
      <c r="C2040" s="125">
        <v>222</v>
      </c>
      <c r="D2040" s="125" t="s">
        <v>5337</v>
      </c>
      <c r="E2040" s="125" t="s">
        <v>5303</v>
      </c>
      <c r="F2040" s="125" t="s">
        <v>5304</v>
      </c>
      <c r="G2040" s="125" t="s">
        <v>5297</v>
      </c>
      <c r="H2040" s="125" t="s">
        <v>1394</v>
      </c>
      <c r="I2040" s="125" t="s">
        <v>5633</v>
      </c>
    </row>
    <row r="2041" spans="1:9" x14ac:dyDescent="0.25">
      <c r="A2041" s="125" t="s">
        <v>3363</v>
      </c>
      <c r="B2041" s="125" t="s">
        <v>5336</v>
      </c>
      <c r="C2041" s="125">
        <v>222</v>
      </c>
      <c r="D2041" s="125" t="s">
        <v>5337</v>
      </c>
      <c r="E2041" s="125" t="s">
        <v>5303</v>
      </c>
      <c r="F2041" s="125" t="s">
        <v>5304</v>
      </c>
      <c r="G2041" s="125" t="s">
        <v>5297</v>
      </c>
      <c r="H2041" s="125" t="s">
        <v>6078</v>
      </c>
      <c r="I2041" s="125" t="s">
        <v>5633</v>
      </c>
    </row>
    <row r="2042" spans="1:9" x14ac:dyDescent="0.25">
      <c r="A2042" s="125" t="s">
        <v>2081</v>
      </c>
      <c r="B2042" s="125" t="s">
        <v>5336</v>
      </c>
      <c r="C2042" s="125">
        <v>222</v>
      </c>
      <c r="D2042" s="125" t="s">
        <v>5337</v>
      </c>
      <c r="E2042" s="125" t="s">
        <v>5303</v>
      </c>
      <c r="F2042" s="125" t="s">
        <v>5304</v>
      </c>
      <c r="G2042" s="125" t="s">
        <v>5297</v>
      </c>
      <c r="H2042" s="125" t="s">
        <v>6078</v>
      </c>
      <c r="I2042" s="125" t="s">
        <v>5633</v>
      </c>
    </row>
    <row r="2043" spans="1:9" x14ac:dyDescent="0.25">
      <c r="A2043" s="125" t="s">
        <v>2238</v>
      </c>
      <c r="B2043" s="125" t="s">
        <v>5691</v>
      </c>
      <c r="C2043" s="125">
        <v>210</v>
      </c>
      <c r="D2043" s="125" t="s">
        <v>6079</v>
      </c>
      <c r="E2043" s="125" t="s">
        <v>5364</v>
      </c>
      <c r="F2043" s="125" t="s">
        <v>5365</v>
      </c>
      <c r="G2043" s="125" t="s">
        <v>5297</v>
      </c>
      <c r="H2043" s="125" t="s">
        <v>1585</v>
      </c>
      <c r="I2043" s="125" t="s">
        <v>3017</v>
      </c>
    </row>
    <row r="2044" spans="1:9" x14ac:dyDescent="0.25">
      <c r="A2044" s="125" t="s">
        <v>1633</v>
      </c>
      <c r="B2044" s="125" t="s">
        <v>5691</v>
      </c>
      <c r="C2044" s="125">
        <v>210</v>
      </c>
      <c r="D2044" s="125" t="s">
        <v>6079</v>
      </c>
      <c r="E2044" s="125" t="s">
        <v>5364</v>
      </c>
      <c r="F2044" s="125" t="s">
        <v>5365</v>
      </c>
      <c r="G2044" s="125" t="s">
        <v>5297</v>
      </c>
      <c r="H2044" s="125" t="s">
        <v>1390</v>
      </c>
      <c r="I2044" s="125" t="s">
        <v>1988</v>
      </c>
    </row>
    <row r="2045" spans="1:9" x14ac:dyDescent="0.25">
      <c r="A2045" s="125" t="s">
        <v>2378</v>
      </c>
      <c r="B2045" s="125" t="s">
        <v>5691</v>
      </c>
      <c r="C2045" s="125">
        <v>210</v>
      </c>
      <c r="D2045" s="125" t="s">
        <v>6079</v>
      </c>
      <c r="E2045" s="125" t="s">
        <v>5364</v>
      </c>
      <c r="F2045" s="125" t="s">
        <v>5365</v>
      </c>
      <c r="G2045" s="125" t="s">
        <v>5297</v>
      </c>
      <c r="H2045" s="125" t="s">
        <v>1625</v>
      </c>
      <c r="I2045" s="125" t="s">
        <v>3017</v>
      </c>
    </row>
    <row r="2046" spans="1:9" x14ac:dyDescent="0.25">
      <c r="A2046" s="125" t="s">
        <v>1344</v>
      </c>
      <c r="B2046" s="125" t="s">
        <v>5691</v>
      </c>
      <c r="C2046" s="125">
        <v>210</v>
      </c>
      <c r="D2046" s="125" t="s">
        <v>6079</v>
      </c>
      <c r="E2046" s="125" t="s">
        <v>5364</v>
      </c>
      <c r="F2046" s="125" t="s">
        <v>5365</v>
      </c>
      <c r="G2046" s="125" t="s">
        <v>5297</v>
      </c>
      <c r="H2046" s="125" t="s">
        <v>1343</v>
      </c>
      <c r="I2046" s="125" t="s">
        <v>3017</v>
      </c>
    </row>
    <row r="2047" spans="1:9" x14ac:dyDescent="0.25">
      <c r="A2047" s="125" t="s">
        <v>2981</v>
      </c>
      <c r="B2047" s="125" t="s">
        <v>5691</v>
      </c>
      <c r="C2047" s="125">
        <v>210</v>
      </c>
      <c r="D2047" s="125" t="s">
        <v>6079</v>
      </c>
      <c r="E2047" s="125" t="s">
        <v>5364</v>
      </c>
      <c r="F2047" s="125" t="s">
        <v>5365</v>
      </c>
      <c r="G2047" s="125" t="s">
        <v>5297</v>
      </c>
      <c r="H2047" s="125" t="s">
        <v>2118</v>
      </c>
      <c r="I2047" s="125" t="s">
        <v>3017</v>
      </c>
    </row>
    <row r="2048" spans="1:9" x14ac:dyDescent="0.25">
      <c r="A2048" s="125" t="s">
        <v>1938</v>
      </c>
      <c r="B2048" s="125" t="s">
        <v>5691</v>
      </c>
      <c r="C2048" s="125">
        <v>210</v>
      </c>
      <c r="D2048" s="125" t="s">
        <v>6079</v>
      </c>
      <c r="E2048" s="125" t="s">
        <v>5364</v>
      </c>
      <c r="F2048" s="125" t="s">
        <v>5365</v>
      </c>
      <c r="G2048" s="125" t="s">
        <v>5297</v>
      </c>
      <c r="H2048" s="125" t="s">
        <v>2118</v>
      </c>
      <c r="I2048" s="125" t="s">
        <v>3017</v>
      </c>
    </row>
    <row r="2049" spans="1:9" x14ac:dyDescent="0.25">
      <c r="A2049" s="125" t="s">
        <v>2687</v>
      </c>
      <c r="B2049" s="125" t="s">
        <v>5691</v>
      </c>
      <c r="C2049" s="125">
        <v>210</v>
      </c>
      <c r="D2049" s="125" t="s">
        <v>6079</v>
      </c>
      <c r="E2049" s="125" t="s">
        <v>5364</v>
      </c>
      <c r="F2049" s="125" t="s">
        <v>5365</v>
      </c>
      <c r="G2049" s="125" t="s">
        <v>5297</v>
      </c>
      <c r="H2049" s="125" t="s">
        <v>2118</v>
      </c>
      <c r="I2049" s="125" t="s">
        <v>3017</v>
      </c>
    </row>
    <row r="2050" spans="1:9" x14ac:dyDescent="0.25">
      <c r="A2050" s="125" t="s">
        <v>2119</v>
      </c>
      <c r="B2050" s="125" t="s">
        <v>5691</v>
      </c>
      <c r="C2050" s="125">
        <v>210</v>
      </c>
      <c r="D2050" s="125" t="s">
        <v>6079</v>
      </c>
      <c r="E2050" s="125" t="s">
        <v>5364</v>
      </c>
      <c r="F2050" s="125" t="s">
        <v>5365</v>
      </c>
      <c r="G2050" s="125" t="s">
        <v>5297</v>
      </c>
      <c r="H2050" s="125" t="s">
        <v>2118</v>
      </c>
      <c r="I2050" s="125" t="s">
        <v>3017</v>
      </c>
    </row>
    <row r="2051" spans="1:9" x14ac:dyDescent="0.25">
      <c r="A2051" s="125" t="s">
        <v>3295</v>
      </c>
      <c r="B2051" s="125" t="s">
        <v>5691</v>
      </c>
      <c r="C2051" s="125">
        <v>210</v>
      </c>
      <c r="D2051" s="125" t="s">
        <v>6079</v>
      </c>
      <c r="E2051" s="125" t="s">
        <v>5364</v>
      </c>
      <c r="F2051" s="125" t="s">
        <v>5365</v>
      </c>
      <c r="G2051" s="125" t="s">
        <v>5297</v>
      </c>
      <c r="H2051" s="125" t="s">
        <v>1425</v>
      </c>
      <c r="I2051" s="125" t="s">
        <v>3017</v>
      </c>
    </row>
    <row r="2052" spans="1:9" x14ac:dyDescent="0.25">
      <c r="A2052" s="125" t="s">
        <v>1692</v>
      </c>
      <c r="B2052" s="125" t="s">
        <v>5691</v>
      </c>
      <c r="C2052" s="125">
        <v>210</v>
      </c>
      <c r="D2052" s="125" t="s">
        <v>6079</v>
      </c>
      <c r="E2052" s="125" t="s">
        <v>5364</v>
      </c>
      <c r="F2052" s="125" t="s">
        <v>5365</v>
      </c>
      <c r="G2052" s="125" t="s">
        <v>5297</v>
      </c>
      <c r="H2052" s="125" t="s">
        <v>1390</v>
      </c>
      <c r="I2052" s="125" t="s">
        <v>1988</v>
      </c>
    </row>
    <row r="2053" spans="1:9" x14ac:dyDescent="0.25">
      <c r="A2053" s="125" t="s">
        <v>1391</v>
      </c>
      <c r="B2053" s="125" t="s">
        <v>5691</v>
      </c>
      <c r="C2053" s="125">
        <v>210</v>
      </c>
      <c r="D2053" s="125" t="s">
        <v>6079</v>
      </c>
      <c r="E2053" s="125" t="s">
        <v>5364</v>
      </c>
      <c r="F2053" s="125" t="s">
        <v>5365</v>
      </c>
      <c r="G2053" s="125" t="s">
        <v>5297</v>
      </c>
      <c r="H2053" s="125" t="s">
        <v>1390</v>
      </c>
      <c r="I2053" s="125" t="s">
        <v>1988</v>
      </c>
    </row>
    <row r="2054" spans="1:9" x14ac:dyDescent="0.25">
      <c r="A2054" s="125" t="s">
        <v>1586</v>
      </c>
      <c r="B2054" s="125" t="s">
        <v>5691</v>
      </c>
      <c r="C2054" s="125">
        <v>210</v>
      </c>
      <c r="D2054" s="125" t="s">
        <v>6079</v>
      </c>
      <c r="E2054" s="125" t="s">
        <v>5364</v>
      </c>
      <c r="F2054" s="125" t="s">
        <v>5365</v>
      </c>
      <c r="G2054" s="125" t="s">
        <v>5297</v>
      </c>
      <c r="H2054" s="125" t="s">
        <v>1585</v>
      </c>
      <c r="I2054" s="125" t="s">
        <v>3017</v>
      </c>
    </row>
    <row r="2055" spans="1:9" x14ac:dyDescent="0.25">
      <c r="A2055" s="125" t="s">
        <v>1870</v>
      </c>
      <c r="B2055" s="125" t="s">
        <v>5691</v>
      </c>
      <c r="C2055" s="125">
        <v>210</v>
      </c>
      <c r="D2055" s="125" t="s">
        <v>6079</v>
      </c>
      <c r="E2055" s="125" t="s">
        <v>5364</v>
      </c>
      <c r="F2055" s="125" t="s">
        <v>5365</v>
      </c>
      <c r="G2055" s="125" t="s">
        <v>5297</v>
      </c>
      <c r="H2055" s="125" t="s">
        <v>5370</v>
      </c>
      <c r="I2055" s="125" t="s">
        <v>1988</v>
      </c>
    </row>
    <row r="2056" spans="1:9" x14ac:dyDescent="0.25">
      <c r="A2056" s="125" t="s">
        <v>1580</v>
      </c>
      <c r="B2056" s="125" t="s">
        <v>5691</v>
      </c>
      <c r="C2056" s="125">
        <v>210</v>
      </c>
      <c r="D2056" s="125" t="s">
        <v>6079</v>
      </c>
      <c r="E2056" s="125" t="s">
        <v>5364</v>
      </c>
      <c r="F2056" s="125" t="s">
        <v>5365</v>
      </c>
      <c r="G2056" s="125" t="s">
        <v>5297</v>
      </c>
      <c r="H2056" s="125" t="s">
        <v>5370</v>
      </c>
      <c r="I2056" s="125" t="s">
        <v>1988</v>
      </c>
    </row>
    <row r="2057" spans="1:9" x14ac:dyDescent="0.25">
      <c r="A2057" s="125" t="s">
        <v>2665</v>
      </c>
      <c r="B2057" s="125" t="s">
        <v>5691</v>
      </c>
      <c r="C2057" s="125">
        <v>210</v>
      </c>
      <c r="D2057" s="125" t="s">
        <v>6079</v>
      </c>
      <c r="E2057" s="125" t="s">
        <v>5364</v>
      </c>
      <c r="F2057" s="125" t="s">
        <v>5365</v>
      </c>
      <c r="G2057" s="125" t="s">
        <v>5297</v>
      </c>
      <c r="H2057" s="125" t="s">
        <v>5370</v>
      </c>
      <c r="I2057" s="125" t="s">
        <v>1988</v>
      </c>
    </row>
    <row r="2058" spans="1:9" x14ac:dyDescent="0.25">
      <c r="A2058" s="125" t="s">
        <v>2457</v>
      </c>
      <c r="B2058" s="125" t="s">
        <v>5691</v>
      </c>
      <c r="C2058" s="125">
        <v>210</v>
      </c>
      <c r="D2058" s="125" t="s">
        <v>6079</v>
      </c>
      <c r="E2058" s="125" t="s">
        <v>5364</v>
      </c>
      <c r="F2058" s="125" t="s">
        <v>5365</v>
      </c>
      <c r="G2058" s="125" t="s">
        <v>5297</v>
      </c>
      <c r="H2058" s="125" t="s">
        <v>1585</v>
      </c>
      <c r="I2058" s="125" t="s">
        <v>3017</v>
      </c>
    </row>
    <row r="2059" spans="1:9" x14ac:dyDescent="0.25">
      <c r="A2059" s="125" t="s">
        <v>1664</v>
      </c>
      <c r="B2059" s="125" t="s">
        <v>5333</v>
      </c>
      <c r="C2059" s="125">
        <v>233</v>
      </c>
      <c r="D2059" s="125" t="s">
        <v>5334</v>
      </c>
      <c r="E2059" s="125" t="s">
        <v>5303</v>
      </c>
      <c r="F2059" s="125" t="s">
        <v>5304</v>
      </c>
      <c r="G2059" s="125" t="s">
        <v>5297</v>
      </c>
      <c r="H2059" s="125" t="s">
        <v>3034</v>
      </c>
      <c r="I2059" s="125" t="s">
        <v>3034</v>
      </c>
    </row>
    <row r="2060" spans="1:9" x14ac:dyDescent="0.25">
      <c r="A2060" s="125" t="s">
        <v>1627</v>
      </c>
      <c r="B2060" s="125" t="s">
        <v>5333</v>
      </c>
      <c r="C2060" s="125">
        <v>233</v>
      </c>
      <c r="D2060" s="125" t="s">
        <v>5334</v>
      </c>
      <c r="E2060" s="125" t="s">
        <v>5303</v>
      </c>
      <c r="F2060" s="125" t="s">
        <v>5304</v>
      </c>
      <c r="G2060" s="125" t="s">
        <v>5297</v>
      </c>
      <c r="H2060" s="125" t="s">
        <v>3034</v>
      </c>
      <c r="I2060" s="125" t="s">
        <v>3034</v>
      </c>
    </row>
    <row r="2061" spans="1:9" x14ac:dyDescent="0.25">
      <c r="A2061" s="125" t="s">
        <v>3461</v>
      </c>
      <c r="B2061" s="125" t="s">
        <v>5333</v>
      </c>
      <c r="C2061" s="125">
        <v>233</v>
      </c>
      <c r="D2061" s="125" t="s">
        <v>5334</v>
      </c>
      <c r="E2061" s="125" t="s">
        <v>5303</v>
      </c>
      <c r="F2061" s="125" t="s">
        <v>5304</v>
      </c>
      <c r="G2061" s="125" t="s">
        <v>5297</v>
      </c>
      <c r="H2061" s="125" t="s">
        <v>3034</v>
      </c>
      <c r="I2061" s="125" t="s">
        <v>3034</v>
      </c>
    </row>
    <row r="2062" spans="1:9" x14ac:dyDescent="0.25">
      <c r="A2062" s="125" t="s">
        <v>1446</v>
      </c>
      <c r="B2062" s="125" t="s">
        <v>5333</v>
      </c>
      <c r="C2062" s="125">
        <v>233</v>
      </c>
      <c r="D2062" s="125" t="s">
        <v>5334</v>
      </c>
      <c r="E2062" s="125" t="s">
        <v>5303</v>
      </c>
      <c r="F2062" s="125" t="s">
        <v>5304</v>
      </c>
      <c r="G2062" s="125" t="s">
        <v>5297</v>
      </c>
      <c r="H2062" s="125" t="s">
        <v>3034</v>
      </c>
      <c r="I2062" s="125" t="s">
        <v>3034</v>
      </c>
    </row>
    <row r="2063" spans="1:9" x14ac:dyDescent="0.25">
      <c r="A2063" s="125" t="s">
        <v>3337</v>
      </c>
      <c r="B2063" s="125" t="s">
        <v>5333</v>
      </c>
      <c r="C2063" s="125">
        <v>233</v>
      </c>
      <c r="D2063" s="125" t="s">
        <v>5334</v>
      </c>
      <c r="E2063" s="125" t="s">
        <v>5303</v>
      </c>
      <c r="F2063" s="125" t="s">
        <v>5304</v>
      </c>
      <c r="G2063" s="125" t="s">
        <v>5297</v>
      </c>
      <c r="H2063" s="125" t="s">
        <v>3034</v>
      </c>
      <c r="I2063" s="125" t="s">
        <v>3034</v>
      </c>
    </row>
    <row r="2064" spans="1:9" x14ac:dyDescent="0.25">
      <c r="A2064" s="125" t="s">
        <v>3035</v>
      </c>
      <c r="B2064" s="125" t="s">
        <v>5333</v>
      </c>
      <c r="C2064" s="125">
        <v>233</v>
      </c>
      <c r="D2064" s="125" t="s">
        <v>5334</v>
      </c>
      <c r="E2064" s="125" t="s">
        <v>5303</v>
      </c>
      <c r="F2064" s="125" t="s">
        <v>5304</v>
      </c>
      <c r="G2064" s="125" t="s">
        <v>5297</v>
      </c>
      <c r="H2064" s="125" t="s">
        <v>371</v>
      </c>
      <c r="I2064" s="125" t="s">
        <v>371</v>
      </c>
    </row>
    <row r="2065" spans="1:9" x14ac:dyDescent="0.25">
      <c r="A2065" s="125" t="s">
        <v>1712</v>
      </c>
      <c r="B2065" s="125" t="s">
        <v>5333</v>
      </c>
      <c r="C2065" s="125">
        <v>233</v>
      </c>
      <c r="D2065" s="125" t="s">
        <v>5334</v>
      </c>
      <c r="E2065" s="125" t="s">
        <v>5303</v>
      </c>
      <c r="F2065" s="125" t="s">
        <v>5304</v>
      </c>
      <c r="G2065" s="125" t="s">
        <v>5297</v>
      </c>
      <c r="H2065" s="125" t="s">
        <v>3034</v>
      </c>
      <c r="I2065" s="125" t="s">
        <v>3034</v>
      </c>
    </row>
    <row r="2066" spans="1:9" x14ac:dyDescent="0.25">
      <c r="A2066" s="125" t="s">
        <v>3144</v>
      </c>
      <c r="B2066" s="125" t="s">
        <v>5333</v>
      </c>
      <c r="C2066" s="125">
        <v>233</v>
      </c>
      <c r="D2066" s="125" t="s">
        <v>5334</v>
      </c>
      <c r="E2066" s="125" t="s">
        <v>5303</v>
      </c>
      <c r="F2066" s="125" t="s">
        <v>5304</v>
      </c>
      <c r="G2066" s="125" t="s">
        <v>5297</v>
      </c>
      <c r="H2066" s="125" t="s">
        <v>3034</v>
      </c>
      <c r="I2066" s="125" t="s">
        <v>3034</v>
      </c>
    </row>
    <row r="2067" spans="1:9" x14ac:dyDescent="0.25">
      <c r="A2067" s="125" t="s">
        <v>2887</v>
      </c>
      <c r="B2067" s="125" t="s">
        <v>5333</v>
      </c>
      <c r="C2067" s="125">
        <v>233</v>
      </c>
      <c r="D2067" s="125" t="s">
        <v>5334</v>
      </c>
      <c r="E2067" s="125" t="s">
        <v>5303</v>
      </c>
      <c r="F2067" s="125" t="s">
        <v>5304</v>
      </c>
      <c r="G2067" s="125" t="s">
        <v>5297</v>
      </c>
      <c r="H2067" s="125" t="s">
        <v>371</v>
      </c>
      <c r="I2067" s="125" t="s">
        <v>371</v>
      </c>
    </row>
    <row r="2068" spans="1:9" x14ac:dyDescent="0.25">
      <c r="A2068" s="125" t="s">
        <v>6080</v>
      </c>
      <c r="B2068" s="125" t="s">
        <v>5333</v>
      </c>
      <c r="C2068" s="125">
        <v>233</v>
      </c>
      <c r="D2068" s="125" t="s">
        <v>5334</v>
      </c>
      <c r="E2068" s="125" t="s">
        <v>5303</v>
      </c>
      <c r="F2068" s="125" t="s">
        <v>5304</v>
      </c>
      <c r="G2068" s="125" t="s">
        <v>5297</v>
      </c>
      <c r="H2068" s="125" t="s">
        <v>371</v>
      </c>
      <c r="I2068" s="125" t="s">
        <v>371</v>
      </c>
    </row>
    <row r="2069" spans="1:9" x14ac:dyDescent="0.25">
      <c r="A2069" s="125" t="s">
        <v>1686</v>
      </c>
      <c r="B2069" s="125" t="s">
        <v>5691</v>
      </c>
      <c r="C2069" s="125">
        <v>210</v>
      </c>
      <c r="D2069" s="125" t="s">
        <v>6079</v>
      </c>
      <c r="E2069" s="125" t="s">
        <v>5364</v>
      </c>
      <c r="F2069" s="125" t="s">
        <v>5365</v>
      </c>
      <c r="G2069" s="125" t="s">
        <v>5297</v>
      </c>
      <c r="H2069" s="125" t="s">
        <v>1585</v>
      </c>
      <c r="I2069" s="125" t="s">
        <v>3017</v>
      </c>
    </row>
    <row r="2070" spans="1:9" x14ac:dyDescent="0.25">
      <c r="A2070" s="125" t="s">
        <v>3458</v>
      </c>
      <c r="B2070" s="125" t="s">
        <v>5333</v>
      </c>
      <c r="C2070" s="125">
        <v>233</v>
      </c>
      <c r="D2070" s="125" t="s">
        <v>5334</v>
      </c>
      <c r="E2070" s="125" t="s">
        <v>5303</v>
      </c>
      <c r="F2070" s="125" t="s">
        <v>5304</v>
      </c>
      <c r="G2070" s="125" t="s">
        <v>5297</v>
      </c>
      <c r="H2070" s="125" t="s">
        <v>371</v>
      </c>
      <c r="I2070" s="125" t="s">
        <v>371</v>
      </c>
    </row>
    <row r="2071" spans="1:9" x14ac:dyDescent="0.25">
      <c r="A2071" s="125" t="s">
        <v>3016</v>
      </c>
      <c r="B2071" s="125" t="s">
        <v>5333</v>
      </c>
      <c r="C2071" s="125">
        <v>233</v>
      </c>
      <c r="D2071" s="125" t="s">
        <v>5334</v>
      </c>
      <c r="E2071" s="125" t="s">
        <v>5303</v>
      </c>
      <c r="F2071" s="125" t="s">
        <v>5304</v>
      </c>
      <c r="G2071" s="125" t="s">
        <v>5297</v>
      </c>
      <c r="H2071" s="125" t="s">
        <v>371</v>
      </c>
      <c r="I2071" s="125" t="s">
        <v>371</v>
      </c>
    </row>
    <row r="2072" spans="1:9" x14ac:dyDescent="0.25">
      <c r="A2072" s="125" t="s">
        <v>1738</v>
      </c>
      <c r="B2072" s="125" t="s">
        <v>5691</v>
      </c>
      <c r="C2072" s="125">
        <v>210</v>
      </c>
      <c r="D2072" s="125" t="s">
        <v>6079</v>
      </c>
      <c r="E2072" s="125" t="s">
        <v>5364</v>
      </c>
      <c r="F2072" s="125" t="s">
        <v>5365</v>
      </c>
      <c r="G2072" s="125" t="s">
        <v>5297</v>
      </c>
      <c r="H2072" s="125" t="s">
        <v>1585</v>
      </c>
      <c r="I2072" s="125" t="s">
        <v>3017</v>
      </c>
    </row>
    <row r="2073" spans="1:9" x14ac:dyDescent="0.25">
      <c r="A2073" s="125" t="s">
        <v>1809</v>
      </c>
      <c r="B2073" s="125" t="s">
        <v>5691</v>
      </c>
      <c r="C2073" s="125">
        <v>210</v>
      </c>
      <c r="D2073" s="125" t="s">
        <v>6079</v>
      </c>
      <c r="E2073" s="125" t="s">
        <v>5364</v>
      </c>
      <c r="F2073" s="125" t="s">
        <v>5365</v>
      </c>
      <c r="G2073" s="125" t="s">
        <v>5297</v>
      </c>
      <c r="H2073" s="125" t="s">
        <v>1585</v>
      </c>
      <c r="I2073" s="125" t="s">
        <v>3017</v>
      </c>
    </row>
    <row r="2074" spans="1:9" x14ac:dyDescent="0.25">
      <c r="A2074" s="125" t="s">
        <v>1793</v>
      </c>
      <c r="B2074" s="125" t="s">
        <v>5691</v>
      </c>
      <c r="C2074" s="125">
        <v>210</v>
      </c>
      <c r="D2074" s="125" t="s">
        <v>6079</v>
      </c>
      <c r="E2074" s="125" t="s">
        <v>5364</v>
      </c>
      <c r="F2074" s="125" t="s">
        <v>5365</v>
      </c>
      <c r="G2074" s="125" t="s">
        <v>5297</v>
      </c>
      <c r="H2074" s="125" t="s">
        <v>1425</v>
      </c>
      <c r="I2074" s="125" t="s">
        <v>3017</v>
      </c>
    </row>
    <row r="2075" spans="1:9" x14ac:dyDescent="0.25">
      <c r="A2075" s="125" t="s">
        <v>2176</v>
      </c>
      <c r="B2075" s="125" t="s">
        <v>5691</v>
      </c>
      <c r="C2075" s="125">
        <v>210</v>
      </c>
      <c r="D2075" s="125" t="s">
        <v>6079</v>
      </c>
      <c r="E2075" s="125" t="s">
        <v>5364</v>
      </c>
      <c r="F2075" s="125" t="s">
        <v>5365</v>
      </c>
      <c r="G2075" s="125" t="s">
        <v>5297</v>
      </c>
      <c r="H2075" s="125" t="s">
        <v>1625</v>
      </c>
      <c r="I2075" s="125" t="s">
        <v>3017</v>
      </c>
    </row>
    <row r="2076" spans="1:9" x14ac:dyDescent="0.25">
      <c r="A2076" s="125" t="s">
        <v>1626</v>
      </c>
      <c r="B2076" s="125" t="s">
        <v>5691</v>
      </c>
      <c r="C2076" s="125">
        <v>210</v>
      </c>
      <c r="D2076" s="125" t="s">
        <v>6079</v>
      </c>
      <c r="E2076" s="125" t="s">
        <v>5364</v>
      </c>
      <c r="F2076" s="125" t="s">
        <v>5365</v>
      </c>
      <c r="G2076" s="125" t="s">
        <v>5297</v>
      </c>
      <c r="H2076" s="125" t="s">
        <v>1625</v>
      </c>
      <c r="I2076" s="125" t="s">
        <v>3017</v>
      </c>
    </row>
    <row r="2077" spans="1:9" x14ac:dyDescent="0.25">
      <c r="A2077" s="125" t="s">
        <v>2506</v>
      </c>
      <c r="B2077" s="125" t="s">
        <v>5339</v>
      </c>
      <c r="C2077" s="125">
        <v>235</v>
      </c>
      <c r="D2077" s="139" t="s">
        <v>5340</v>
      </c>
      <c r="E2077" s="125" t="s">
        <v>5341</v>
      </c>
      <c r="F2077" s="140" t="s">
        <v>5342</v>
      </c>
      <c r="G2077" s="125" t="s">
        <v>5297</v>
      </c>
      <c r="H2077" s="125" t="s">
        <v>6081</v>
      </c>
      <c r="I2077" s="125" t="s">
        <v>5344</v>
      </c>
    </row>
    <row r="2078" spans="1:9" x14ac:dyDescent="0.25">
      <c r="A2078" s="125" t="s">
        <v>2680</v>
      </c>
      <c r="B2078" s="125" t="s">
        <v>5339</v>
      </c>
      <c r="C2078" s="125">
        <v>235</v>
      </c>
      <c r="D2078" s="139" t="s">
        <v>5340</v>
      </c>
      <c r="E2078" s="125" t="s">
        <v>5341</v>
      </c>
      <c r="F2078" s="140" t="s">
        <v>5342</v>
      </c>
      <c r="G2078" s="125" t="s">
        <v>5297</v>
      </c>
      <c r="H2078" s="125" t="s">
        <v>1236</v>
      </c>
      <c r="I2078" s="125" t="s">
        <v>5344</v>
      </c>
    </row>
    <row r="2079" spans="1:9" x14ac:dyDescent="0.25">
      <c r="A2079" s="125" t="s">
        <v>1175</v>
      </c>
      <c r="B2079" s="125" t="s">
        <v>5339</v>
      </c>
      <c r="C2079" s="125">
        <v>235</v>
      </c>
      <c r="D2079" s="139" t="s">
        <v>5340</v>
      </c>
      <c r="E2079" s="125" t="s">
        <v>5341</v>
      </c>
      <c r="F2079" s="140" t="s">
        <v>5342</v>
      </c>
      <c r="G2079" s="125" t="s">
        <v>5297</v>
      </c>
      <c r="H2079" s="125" t="s">
        <v>6081</v>
      </c>
      <c r="I2079" s="125" t="s">
        <v>5344</v>
      </c>
    </row>
    <row r="2080" spans="1:9" x14ac:dyDescent="0.25">
      <c r="A2080" s="125" t="s">
        <v>1180</v>
      </c>
      <c r="B2080" s="125" t="s">
        <v>5339</v>
      </c>
      <c r="C2080" s="125">
        <v>235</v>
      </c>
      <c r="D2080" s="139" t="s">
        <v>5340</v>
      </c>
      <c r="E2080" s="125" t="s">
        <v>5341</v>
      </c>
      <c r="F2080" s="140" t="s">
        <v>5342</v>
      </c>
      <c r="G2080" s="125" t="s">
        <v>5297</v>
      </c>
      <c r="H2080" s="125" t="s">
        <v>371</v>
      </c>
      <c r="I2080" s="125" t="s">
        <v>371</v>
      </c>
    </row>
    <row r="2081" spans="1:9" x14ac:dyDescent="0.25">
      <c r="A2081" s="125" t="s">
        <v>2216</v>
      </c>
      <c r="B2081" s="125" t="s">
        <v>5339</v>
      </c>
      <c r="C2081" s="125">
        <v>235</v>
      </c>
      <c r="D2081" s="139" t="s">
        <v>5340</v>
      </c>
      <c r="E2081" s="125" t="s">
        <v>5341</v>
      </c>
      <c r="F2081" s="140" t="s">
        <v>5342</v>
      </c>
      <c r="G2081" s="125" t="s">
        <v>5297</v>
      </c>
      <c r="H2081" s="125" t="s">
        <v>5661</v>
      </c>
      <c r="I2081" s="125" t="s">
        <v>5344</v>
      </c>
    </row>
    <row r="2082" spans="1:9" x14ac:dyDescent="0.25">
      <c r="A2082" s="125" t="s">
        <v>2315</v>
      </c>
      <c r="B2082" s="125" t="s">
        <v>5339</v>
      </c>
      <c r="C2082" s="125">
        <v>235</v>
      </c>
      <c r="D2082" s="139" t="s">
        <v>5340</v>
      </c>
      <c r="E2082" s="125" t="s">
        <v>5341</v>
      </c>
      <c r="F2082" s="140" t="s">
        <v>5342</v>
      </c>
      <c r="G2082" s="125" t="s">
        <v>5297</v>
      </c>
      <c r="H2082" s="125" t="s">
        <v>1236</v>
      </c>
      <c r="I2082" s="125" t="s">
        <v>5344</v>
      </c>
    </row>
    <row r="2083" spans="1:9" x14ac:dyDescent="0.25">
      <c r="A2083" s="125" t="s">
        <v>1237</v>
      </c>
      <c r="B2083" s="125" t="s">
        <v>5339</v>
      </c>
      <c r="C2083" s="125">
        <v>235</v>
      </c>
      <c r="D2083" s="139" t="s">
        <v>5340</v>
      </c>
      <c r="E2083" s="125" t="s">
        <v>5341</v>
      </c>
      <c r="F2083" s="140" t="s">
        <v>5342</v>
      </c>
      <c r="G2083" s="125" t="s">
        <v>5297</v>
      </c>
      <c r="H2083" s="125" t="s">
        <v>6081</v>
      </c>
      <c r="I2083" s="125" t="s">
        <v>5344</v>
      </c>
    </row>
    <row r="2084" spans="1:9" x14ac:dyDescent="0.25">
      <c r="A2084" s="125" t="s">
        <v>1534</v>
      </c>
      <c r="B2084" s="125" t="s">
        <v>5339</v>
      </c>
      <c r="C2084" s="125">
        <v>235</v>
      </c>
      <c r="D2084" s="139" t="s">
        <v>5340</v>
      </c>
      <c r="E2084" s="125" t="s">
        <v>5341</v>
      </c>
      <c r="F2084" s="140" t="s">
        <v>5342</v>
      </c>
      <c r="G2084" s="125" t="s">
        <v>5297</v>
      </c>
      <c r="H2084" s="125" t="s">
        <v>1533</v>
      </c>
      <c r="I2084" s="125" t="s">
        <v>5344</v>
      </c>
    </row>
    <row r="2085" spans="1:9" x14ac:dyDescent="0.25">
      <c r="A2085" s="125" t="s">
        <v>2383</v>
      </c>
      <c r="B2085" s="125" t="s">
        <v>5339</v>
      </c>
      <c r="C2085" s="125">
        <v>235</v>
      </c>
      <c r="D2085" s="139" t="s">
        <v>5340</v>
      </c>
      <c r="E2085" s="125" t="s">
        <v>5341</v>
      </c>
      <c r="F2085" s="140" t="s">
        <v>5342</v>
      </c>
      <c r="G2085" s="125" t="s">
        <v>5297</v>
      </c>
      <c r="H2085" s="125" t="s">
        <v>1533</v>
      </c>
      <c r="I2085" s="125" t="s">
        <v>5344</v>
      </c>
    </row>
    <row r="2086" spans="1:9" x14ac:dyDescent="0.25">
      <c r="A2086" s="125" t="s">
        <v>1937</v>
      </c>
      <c r="B2086" s="125" t="s">
        <v>5339</v>
      </c>
      <c r="C2086" s="125">
        <v>235</v>
      </c>
      <c r="D2086" s="139" t="s">
        <v>5340</v>
      </c>
      <c r="E2086" s="125" t="s">
        <v>5341</v>
      </c>
      <c r="F2086" s="140" t="s">
        <v>5342</v>
      </c>
      <c r="G2086" s="125" t="s">
        <v>5297</v>
      </c>
      <c r="H2086" s="125" t="s">
        <v>5857</v>
      </c>
      <c r="I2086" s="125" t="s">
        <v>5497</v>
      </c>
    </row>
    <row r="2087" spans="1:9" x14ac:dyDescent="0.25">
      <c r="A2087" s="125" t="s">
        <v>2595</v>
      </c>
      <c r="B2087" s="125" t="s">
        <v>5339</v>
      </c>
      <c r="C2087" s="125">
        <v>235</v>
      </c>
      <c r="D2087" s="139" t="s">
        <v>5340</v>
      </c>
      <c r="E2087" s="125" t="s">
        <v>5341</v>
      </c>
      <c r="F2087" s="140" t="s">
        <v>5342</v>
      </c>
      <c r="G2087" s="125" t="s">
        <v>5297</v>
      </c>
      <c r="H2087" s="125" t="s">
        <v>5857</v>
      </c>
      <c r="I2087" s="125" t="s">
        <v>5497</v>
      </c>
    </row>
    <row r="2088" spans="1:9" x14ac:dyDescent="0.25">
      <c r="A2088" s="125" t="s">
        <v>1456</v>
      </c>
      <c r="B2088" s="125" t="s">
        <v>5716</v>
      </c>
      <c r="C2088" s="125">
        <v>229</v>
      </c>
      <c r="D2088" s="125" t="s">
        <v>5717</v>
      </c>
      <c r="E2088" s="125" t="s">
        <v>5295</v>
      </c>
      <c r="F2088" s="125" t="s">
        <v>5296</v>
      </c>
      <c r="G2088" s="125" t="s">
        <v>5297</v>
      </c>
      <c r="H2088" s="125" t="s">
        <v>1064</v>
      </c>
      <c r="I2088" s="125" t="s">
        <v>3573</v>
      </c>
    </row>
    <row r="2089" spans="1:9" x14ac:dyDescent="0.25">
      <c r="A2089" s="125" t="s">
        <v>2276</v>
      </c>
      <c r="B2089" s="125" t="s">
        <v>5716</v>
      </c>
      <c r="C2089" s="125">
        <v>229</v>
      </c>
      <c r="D2089" s="125" t="s">
        <v>5717</v>
      </c>
      <c r="E2089" s="125" t="s">
        <v>5295</v>
      </c>
      <c r="F2089" s="125" t="s">
        <v>5296</v>
      </c>
      <c r="G2089" s="125" t="s">
        <v>5297</v>
      </c>
      <c r="H2089" s="125" t="s">
        <v>1169</v>
      </c>
      <c r="I2089" s="125" t="s">
        <v>3573</v>
      </c>
    </row>
    <row r="2090" spans="1:9" x14ac:dyDescent="0.25">
      <c r="A2090" s="125" t="s">
        <v>3228</v>
      </c>
      <c r="B2090" s="125" t="s">
        <v>5716</v>
      </c>
      <c r="C2090" s="125">
        <v>229</v>
      </c>
      <c r="D2090" s="125" t="s">
        <v>5717</v>
      </c>
      <c r="E2090" s="125" t="s">
        <v>5295</v>
      </c>
      <c r="F2090" s="125" t="s">
        <v>5296</v>
      </c>
      <c r="G2090" s="125" t="s">
        <v>5297</v>
      </c>
      <c r="H2090" s="125" t="s">
        <v>5700</v>
      </c>
      <c r="I2090" s="125" t="s">
        <v>3573</v>
      </c>
    </row>
    <row r="2091" spans="1:9" x14ac:dyDescent="0.25">
      <c r="A2091" s="125" t="s">
        <v>1204</v>
      </c>
      <c r="B2091" s="125" t="s">
        <v>5333</v>
      </c>
      <c r="C2091" s="125">
        <v>233</v>
      </c>
      <c r="D2091" s="125" t="s">
        <v>5334</v>
      </c>
      <c r="E2091" s="125" t="s">
        <v>5303</v>
      </c>
      <c r="F2091" s="125" t="s">
        <v>5304</v>
      </c>
      <c r="G2091" s="125" t="s">
        <v>5297</v>
      </c>
      <c r="H2091" s="125" t="s">
        <v>6082</v>
      </c>
      <c r="I2091" s="125" t="s">
        <v>3573</v>
      </c>
    </row>
    <row r="2092" spans="1:9" x14ac:dyDescent="0.25">
      <c r="A2092" s="125" t="s">
        <v>1255</v>
      </c>
      <c r="B2092" s="125" t="s">
        <v>5333</v>
      </c>
      <c r="C2092" s="125">
        <v>233</v>
      </c>
      <c r="D2092" s="125" t="s">
        <v>5334</v>
      </c>
      <c r="E2092" s="125" t="s">
        <v>5303</v>
      </c>
      <c r="F2092" s="125" t="s">
        <v>5304</v>
      </c>
      <c r="G2092" s="125" t="s">
        <v>5297</v>
      </c>
      <c r="H2092" s="125" t="s">
        <v>6082</v>
      </c>
      <c r="I2092" s="125" t="s">
        <v>3573</v>
      </c>
    </row>
    <row r="2093" spans="1:9" x14ac:dyDescent="0.25">
      <c r="A2093" s="125" t="s">
        <v>2684</v>
      </c>
      <c r="B2093" s="125" t="s">
        <v>5333</v>
      </c>
      <c r="C2093" s="125">
        <v>233</v>
      </c>
      <c r="D2093" s="125" t="s">
        <v>5334</v>
      </c>
      <c r="E2093" s="125" t="s">
        <v>5303</v>
      </c>
      <c r="F2093" s="125" t="s">
        <v>5304</v>
      </c>
      <c r="G2093" s="125" t="s">
        <v>5297</v>
      </c>
      <c r="H2093" s="125" t="s">
        <v>6082</v>
      </c>
      <c r="I2093" s="125" t="s">
        <v>3573</v>
      </c>
    </row>
    <row r="2094" spans="1:9" x14ac:dyDescent="0.25">
      <c r="A2094" s="125" t="s">
        <v>2245</v>
      </c>
      <c r="B2094" s="125" t="s">
        <v>5333</v>
      </c>
      <c r="C2094" s="125">
        <v>233</v>
      </c>
      <c r="D2094" s="125" t="s">
        <v>5334</v>
      </c>
      <c r="E2094" s="125" t="s">
        <v>5303</v>
      </c>
      <c r="F2094" s="125" t="s">
        <v>5304</v>
      </c>
      <c r="G2094" s="125" t="s">
        <v>5297</v>
      </c>
      <c r="H2094" s="125" t="s">
        <v>371</v>
      </c>
      <c r="I2094" s="125" t="s">
        <v>371</v>
      </c>
    </row>
    <row r="2095" spans="1:9" x14ac:dyDescent="0.25">
      <c r="A2095" s="125" t="s">
        <v>2454</v>
      </c>
      <c r="B2095" s="125" t="s">
        <v>5333</v>
      </c>
      <c r="C2095" s="125">
        <v>233</v>
      </c>
      <c r="D2095" s="125" t="s">
        <v>5334</v>
      </c>
      <c r="E2095" s="125" t="s">
        <v>5303</v>
      </c>
      <c r="F2095" s="125" t="s">
        <v>5304</v>
      </c>
      <c r="G2095" s="125" t="s">
        <v>5297</v>
      </c>
      <c r="H2095" s="125" t="s">
        <v>1064</v>
      </c>
      <c r="I2095" s="125" t="s">
        <v>3573</v>
      </c>
    </row>
    <row r="2096" spans="1:9" x14ac:dyDescent="0.25">
      <c r="A2096" s="125" t="s">
        <v>1489</v>
      </c>
      <c r="B2096" s="125" t="s">
        <v>5333</v>
      </c>
      <c r="C2096" s="125">
        <v>233</v>
      </c>
      <c r="D2096" s="125" t="s">
        <v>5334</v>
      </c>
      <c r="E2096" s="125" t="s">
        <v>5303</v>
      </c>
      <c r="F2096" s="125" t="s">
        <v>5304</v>
      </c>
      <c r="G2096" s="125" t="s">
        <v>5297</v>
      </c>
      <c r="H2096" s="125" t="s">
        <v>6082</v>
      </c>
      <c r="I2096" s="125" t="s">
        <v>3573</v>
      </c>
    </row>
    <row r="2097" spans="1:9" x14ac:dyDescent="0.25">
      <c r="A2097" s="125" t="s">
        <v>2244</v>
      </c>
      <c r="B2097" s="125" t="s">
        <v>5333</v>
      </c>
      <c r="C2097" s="125">
        <v>233</v>
      </c>
      <c r="D2097" s="125" t="s">
        <v>5334</v>
      </c>
      <c r="E2097" s="125" t="s">
        <v>5303</v>
      </c>
      <c r="F2097" s="125" t="s">
        <v>5304</v>
      </c>
      <c r="G2097" s="125" t="s">
        <v>5297</v>
      </c>
      <c r="H2097" s="125" t="s">
        <v>6083</v>
      </c>
      <c r="I2097" s="125" t="s">
        <v>3017</v>
      </c>
    </row>
    <row r="2098" spans="1:9" x14ac:dyDescent="0.25">
      <c r="A2098" s="125" t="s">
        <v>2114</v>
      </c>
      <c r="B2098" s="125" t="s">
        <v>5333</v>
      </c>
      <c r="C2098" s="125">
        <v>233</v>
      </c>
      <c r="D2098" s="125" t="s">
        <v>5334</v>
      </c>
      <c r="E2098" s="125" t="s">
        <v>5303</v>
      </c>
      <c r="F2098" s="125" t="s">
        <v>5304</v>
      </c>
      <c r="G2098" s="125" t="s">
        <v>5297</v>
      </c>
      <c r="H2098" s="125" t="s">
        <v>6083</v>
      </c>
      <c r="I2098" s="125" t="s">
        <v>3017</v>
      </c>
    </row>
    <row r="2099" spans="1:9" x14ac:dyDescent="0.25">
      <c r="A2099" s="125" t="s">
        <v>2786</v>
      </c>
      <c r="B2099" s="125" t="s">
        <v>5333</v>
      </c>
      <c r="C2099" s="125">
        <v>233</v>
      </c>
      <c r="D2099" s="125" t="s">
        <v>5334</v>
      </c>
      <c r="E2099" s="125" t="s">
        <v>5303</v>
      </c>
      <c r="F2099" s="125" t="s">
        <v>5304</v>
      </c>
      <c r="G2099" s="125" t="s">
        <v>5297</v>
      </c>
      <c r="H2099" s="125" t="s">
        <v>371</v>
      </c>
      <c r="I2099" s="125" t="s">
        <v>371</v>
      </c>
    </row>
    <row r="2100" spans="1:9" x14ac:dyDescent="0.25">
      <c r="A2100" s="125" t="s">
        <v>3457</v>
      </c>
      <c r="B2100" s="125" t="s">
        <v>5333</v>
      </c>
      <c r="C2100" s="125">
        <v>233</v>
      </c>
      <c r="D2100" s="125" t="s">
        <v>5334</v>
      </c>
      <c r="E2100" s="125" t="s">
        <v>5303</v>
      </c>
      <c r="F2100" s="125" t="s">
        <v>5304</v>
      </c>
      <c r="G2100" s="125" t="s">
        <v>5297</v>
      </c>
      <c r="H2100" s="125" t="s">
        <v>6083</v>
      </c>
      <c r="I2100" s="125" t="s">
        <v>3017</v>
      </c>
    </row>
    <row r="2101" spans="1:9" x14ac:dyDescent="0.25">
      <c r="A2101" s="125" t="s">
        <v>2814</v>
      </c>
      <c r="B2101" s="125" t="s">
        <v>5333</v>
      </c>
      <c r="C2101" s="125">
        <v>233</v>
      </c>
      <c r="D2101" s="125" t="s">
        <v>5334</v>
      </c>
      <c r="E2101" s="125" t="s">
        <v>5303</v>
      </c>
      <c r="F2101" s="125" t="s">
        <v>5304</v>
      </c>
      <c r="G2101" s="125" t="s">
        <v>5297</v>
      </c>
      <c r="H2101" s="125" t="s">
        <v>6083</v>
      </c>
      <c r="I2101" s="125" t="s">
        <v>3017</v>
      </c>
    </row>
    <row r="2102" spans="1:9" x14ac:dyDescent="0.25">
      <c r="A2102" s="125" t="s">
        <v>1078</v>
      </c>
      <c r="B2102" s="125" t="s">
        <v>5333</v>
      </c>
      <c r="C2102" s="125">
        <v>233</v>
      </c>
      <c r="D2102" s="125" t="s">
        <v>5334</v>
      </c>
      <c r="E2102" s="125" t="s">
        <v>5303</v>
      </c>
      <c r="F2102" s="125" t="s">
        <v>5304</v>
      </c>
      <c r="G2102" s="125" t="s">
        <v>5297</v>
      </c>
      <c r="H2102" s="125" t="s">
        <v>6083</v>
      </c>
      <c r="I2102" s="125" t="s">
        <v>3017</v>
      </c>
    </row>
    <row r="2103" spans="1:9" x14ac:dyDescent="0.25">
      <c r="A2103" s="125" t="s">
        <v>2624</v>
      </c>
      <c r="B2103" s="125" t="s">
        <v>5333</v>
      </c>
      <c r="C2103" s="125">
        <v>233</v>
      </c>
      <c r="D2103" s="125" t="s">
        <v>5334</v>
      </c>
      <c r="E2103" s="125" t="s">
        <v>5303</v>
      </c>
      <c r="F2103" s="125" t="s">
        <v>5304</v>
      </c>
      <c r="G2103" s="125" t="s">
        <v>5297</v>
      </c>
      <c r="H2103" s="125" t="s">
        <v>5695</v>
      </c>
      <c r="I2103" s="125" t="s">
        <v>3017</v>
      </c>
    </row>
    <row r="2104" spans="1:9" x14ac:dyDescent="0.25">
      <c r="A2104" s="125" t="s">
        <v>3310</v>
      </c>
      <c r="B2104" s="125" t="s">
        <v>5333</v>
      </c>
      <c r="C2104" s="125">
        <v>233</v>
      </c>
      <c r="D2104" s="125" t="s">
        <v>5334</v>
      </c>
      <c r="E2104" s="125" t="s">
        <v>5303</v>
      </c>
      <c r="F2104" s="125" t="s">
        <v>5304</v>
      </c>
      <c r="G2104" s="125" t="s">
        <v>5297</v>
      </c>
      <c r="H2104" s="125" t="s">
        <v>371</v>
      </c>
      <c r="I2104" s="125" t="s">
        <v>371</v>
      </c>
    </row>
    <row r="2105" spans="1:9" x14ac:dyDescent="0.25">
      <c r="A2105" s="125" t="s">
        <v>2107</v>
      </c>
      <c r="B2105" s="125" t="s">
        <v>5691</v>
      </c>
      <c r="C2105" s="125">
        <v>210</v>
      </c>
      <c r="D2105" s="125" t="s">
        <v>6079</v>
      </c>
      <c r="E2105" s="125" t="s">
        <v>5364</v>
      </c>
      <c r="F2105" s="125" t="s">
        <v>5365</v>
      </c>
      <c r="G2105" s="125" t="s">
        <v>5297</v>
      </c>
      <c r="H2105" s="125" t="s">
        <v>5695</v>
      </c>
      <c r="I2105" s="125" t="s">
        <v>3017</v>
      </c>
    </row>
    <row r="2106" spans="1:9" x14ac:dyDescent="0.25">
      <c r="A2106" s="125" t="s">
        <v>3105</v>
      </c>
      <c r="B2106" s="125" t="s">
        <v>5716</v>
      </c>
      <c r="C2106" s="125">
        <v>229</v>
      </c>
      <c r="D2106" s="125" t="s">
        <v>5717</v>
      </c>
      <c r="E2106" s="125" t="s">
        <v>5295</v>
      </c>
      <c r="F2106" s="125" t="s">
        <v>5296</v>
      </c>
      <c r="G2106" s="125" t="s">
        <v>5297</v>
      </c>
      <c r="H2106" s="125" t="s">
        <v>1064</v>
      </c>
      <c r="I2106" s="125" t="s">
        <v>3573</v>
      </c>
    </row>
    <row r="2107" spans="1:9" x14ac:dyDescent="0.25">
      <c r="A2107" s="125" t="s">
        <v>2846</v>
      </c>
      <c r="B2107" s="125" t="s">
        <v>5716</v>
      </c>
      <c r="C2107" s="125">
        <v>229</v>
      </c>
      <c r="D2107" s="125" t="s">
        <v>5717</v>
      </c>
      <c r="E2107" s="125" t="s">
        <v>5295</v>
      </c>
      <c r="F2107" s="125" t="s">
        <v>5296</v>
      </c>
      <c r="G2107" s="125" t="s">
        <v>5297</v>
      </c>
      <c r="H2107" s="125" t="s">
        <v>1064</v>
      </c>
      <c r="I2107" s="125" t="s">
        <v>3573</v>
      </c>
    </row>
    <row r="2108" spans="1:9" x14ac:dyDescent="0.25">
      <c r="A2108" s="125" t="s">
        <v>1178</v>
      </c>
      <c r="B2108" s="125" t="s">
        <v>5716</v>
      </c>
      <c r="C2108" s="125">
        <v>229</v>
      </c>
      <c r="D2108" s="125" t="s">
        <v>5717</v>
      </c>
      <c r="E2108" s="125" t="s">
        <v>5295</v>
      </c>
      <c r="F2108" s="125" t="s">
        <v>5296</v>
      </c>
      <c r="G2108" s="125" t="s">
        <v>5297</v>
      </c>
      <c r="H2108" s="125" t="s">
        <v>1064</v>
      </c>
      <c r="I2108" s="125" t="s">
        <v>3573</v>
      </c>
    </row>
    <row r="2109" spans="1:9" x14ac:dyDescent="0.25">
      <c r="A2109" s="125" t="s">
        <v>1905</v>
      </c>
      <c r="B2109" s="125" t="s">
        <v>5716</v>
      </c>
      <c r="C2109" s="125">
        <v>229</v>
      </c>
      <c r="D2109" s="125" t="s">
        <v>5717</v>
      </c>
      <c r="E2109" s="125" t="s">
        <v>5295</v>
      </c>
      <c r="F2109" s="125" t="s">
        <v>5296</v>
      </c>
      <c r="G2109" s="125" t="s">
        <v>5297</v>
      </c>
      <c r="H2109" s="125" t="s">
        <v>1169</v>
      </c>
      <c r="I2109" s="125" t="s">
        <v>3573</v>
      </c>
    </row>
    <row r="2110" spans="1:9" x14ac:dyDescent="0.25">
      <c r="A2110" s="125" t="s">
        <v>1170</v>
      </c>
      <c r="B2110" s="125" t="s">
        <v>5716</v>
      </c>
      <c r="C2110" s="125">
        <v>229</v>
      </c>
      <c r="D2110" s="125" t="s">
        <v>5717</v>
      </c>
      <c r="E2110" s="125" t="s">
        <v>5295</v>
      </c>
      <c r="F2110" s="125" t="s">
        <v>5296</v>
      </c>
      <c r="G2110" s="125" t="s">
        <v>5297</v>
      </c>
      <c r="H2110" s="125" t="s">
        <v>1169</v>
      </c>
      <c r="I2110" s="125" t="s">
        <v>3573</v>
      </c>
    </row>
    <row r="2111" spans="1:9" x14ac:dyDescent="0.25">
      <c r="A2111" s="125" t="s">
        <v>2992</v>
      </c>
      <c r="B2111" s="125" t="s">
        <v>5716</v>
      </c>
      <c r="C2111" s="125">
        <v>229</v>
      </c>
      <c r="D2111" s="125" t="s">
        <v>5717</v>
      </c>
      <c r="E2111" s="125" t="s">
        <v>5295</v>
      </c>
      <c r="F2111" s="125" t="s">
        <v>5296</v>
      </c>
      <c r="G2111" s="125" t="s">
        <v>5297</v>
      </c>
      <c r="H2111" s="125" t="s">
        <v>5700</v>
      </c>
      <c r="I2111" s="125" t="s">
        <v>3573</v>
      </c>
    </row>
    <row r="2112" spans="1:9" x14ac:dyDescent="0.25">
      <c r="A2112" s="125" t="s">
        <v>3298</v>
      </c>
      <c r="B2112" s="125" t="s">
        <v>5716</v>
      </c>
      <c r="C2112" s="125">
        <v>229</v>
      </c>
      <c r="D2112" s="125" t="s">
        <v>5717</v>
      </c>
      <c r="E2112" s="125" t="s">
        <v>5295</v>
      </c>
      <c r="F2112" s="125" t="s">
        <v>5296</v>
      </c>
      <c r="G2112" s="125" t="s">
        <v>5297</v>
      </c>
      <c r="H2112" s="125" t="s">
        <v>5700</v>
      </c>
      <c r="I2112" s="125" t="s">
        <v>3573</v>
      </c>
    </row>
    <row r="2113" spans="1:9" x14ac:dyDescent="0.25">
      <c r="A2113" s="125" t="s">
        <v>3260</v>
      </c>
      <c r="B2113" s="125" t="s">
        <v>5716</v>
      </c>
      <c r="C2113" s="125">
        <v>229</v>
      </c>
      <c r="D2113" s="125" t="s">
        <v>5717</v>
      </c>
      <c r="E2113" s="125" t="s">
        <v>5295</v>
      </c>
      <c r="F2113" s="125" t="s">
        <v>5296</v>
      </c>
      <c r="G2113" s="125" t="s">
        <v>5297</v>
      </c>
      <c r="H2113" s="125" t="s">
        <v>1169</v>
      </c>
      <c r="I2113" s="125" t="s">
        <v>3573</v>
      </c>
    </row>
    <row r="2114" spans="1:9" x14ac:dyDescent="0.25">
      <c r="A2114" s="125" t="s">
        <v>2778</v>
      </c>
      <c r="B2114" s="125" t="s">
        <v>5716</v>
      </c>
      <c r="C2114" s="125">
        <v>229</v>
      </c>
      <c r="D2114" s="125" t="s">
        <v>5717</v>
      </c>
      <c r="E2114" s="125" t="s">
        <v>5295</v>
      </c>
      <c r="F2114" s="125" t="s">
        <v>5296</v>
      </c>
      <c r="G2114" s="125" t="s">
        <v>5297</v>
      </c>
      <c r="H2114" s="125" t="s">
        <v>1169</v>
      </c>
      <c r="I2114" s="125" t="s">
        <v>3573</v>
      </c>
    </row>
    <row r="2115" spans="1:9" x14ac:dyDescent="0.25">
      <c r="A2115" s="125" t="s">
        <v>3010</v>
      </c>
      <c r="B2115" s="125" t="s">
        <v>5716</v>
      </c>
      <c r="C2115" s="125">
        <v>229</v>
      </c>
      <c r="D2115" s="125" t="s">
        <v>5717</v>
      </c>
      <c r="E2115" s="125" t="s">
        <v>5295</v>
      </c>
      <c r="F2115" s="125" t="s">
        <v>5296</v>
      </c>
      <c r="G2115" s="125" t="s">
        <v>5297</v>
      </c>
      <c r="H2115" s="125" t="s">
        <v>6082</v>
      </c>
      <c r="I2115" s="125" t="s">
        <v>3573</v>
      </c>
    </row>
    <row r="2116" spans="1:9" x14ac:dyDescent="0.25">
      <c r="A2116" s="125" t="s">
        <v>2295</v>
      </c>
      <c r="B2116" s="125" t="s">
        <v>5716</v>
      </c>
      <c r="C2116" s="125">
        <v>229</v>
      </c>
      <c r="D2116" s="125" t="s">
        <v>5717</v>
      </c>
      <c r="E2116" s="125" t="s">
        <v>5295</v>
      </c>
      <c r="F2116" s="125" t="s">
        <v>5296</v>
      </c>
      <c r="G2116" s="125" t="s">
        <v>5297</v>
      </c>
      <c r="H2116" s="125" t="s">
        <v>6082</v>
      </c>
      <c r="I2116" s="125" t="s">
        <v>3573</v>
      </c>
    </row>
    <row r="2117" spans="1:9" x14ac:dyDescent="0.25">
      <c r="A2117" s="125" t="s">
        <v>1164</v>
      </c>
      <c r="B2117" s="125" t="s">
        <v>5716</v>
      </c>
      <c r="C2117" s="125">
        <v>229</v>
      </c>
      <c r="D2117" s="125" t="s">
        <v>5717</v>
      </c>
      <c r="E2117" s="125" t="s">
        <v>5295</v>
      </c>
      <c r="F2117" s="125" t="s">
        <v>5296</v>
      </c>
      <c r="G2117" s="125" t="s">
        <v>5297</v>
      </c>
      <c r="H2117" s="125" t="s">
        <v>5975</v>
      </c>
      <c r="I2117" s="125" t="s">
        <v>3343</v>
      </c>
    </row>
    <row r="2118" spans="1:9" x14ac:dyDescent="0.25">
      <c r="A2118" s="125" t="s">
        <v>1704</v>
      </c>
      <c r="B2118" s="125" t="s">
        <v>5691</v>
      </c>
      <c r="C2118" s="125">
        <v>210</v>
      </c>
      <c r="D2118" s="125" t="s">
        <v>6079</v>
      </c>
      <c r="E2118" s="125" t="s">
        <v>5364</v>
      </c>
      <c r="F2118" s="125" t="s">
        <v>5365</v>
      </c>
      <c r="G2118" s="125" t="s">
        <v>5297</v>
      </c>
      <c r="H2118" s="125" t="s">
        <v>5515</v>
      </c>
      <c r="I2118" s="125" t="s">
        <v>1953</v>
      </c>
    </row>
    <row r="2119" spans="1:9" x14ac:dyDescent="0.25">
      <c r="A2119" s="125" t="s">
        <v>1820</v>
      </c>
      <c r="B2119" s="125" t="s">
        <v>5691</v>
      </c>
      <c r="C2119" s="125">
        <v>210</v>
      </c>
      <c r="D2119" s="125" t="s">
        <v>6079</v>
      </c>
      <c r="E2119" s="125" t="s">
        <v>5364</v>
      </c>
      <c r="F2119" s="125" t="s">
        <v>5365</v>
      </c>
      <c r="G2119" s="125" t="s">
        <v>5297</v>
      </c>
      <c r="H2119" s="125" t="s">
        <v>1819</v>
      </c>
      <c r="I2119" s="125" t="s">
        <v>1988</v>
      </c>
    </row>
    <row r="2120" spans="1:9" x14ac:dyDescent="0.25">
      <c r="A2120" s="125" t="s">
        <v>1976</v>
      </c>
      <c r="B2120" s="125" t="s">
        <v>5691</v>
      </c>
      <c r="C2120" s="125">
        <v>210</v>
      </c>
      <c r="D2120" s="125" t="s">
        <v>6079</v>
      </c>
      <c r="E2120" s="125" t="s">
        <v>5364</v>
      </c>
      <c r="F2120" s="125" t="s">
        <v>5365</v>
      </c>
      <c r="G2120" s="125" t="s">
        <v>5297</v>
      </c>
      <c r="H2120" s="125" t="s">
        <v>1819</v>
      </c>
      <c r="I2120" s="125" t="s">
        <v>1988</v>
      </c>
    </row>
    <row r="2121" spans="1:9" x14ac:dyDescent="0.25">
      <c r="A2121" s="125" t="s">
        <v>1197</v>
      </c>
      <c r="B2121" s="125" t="s">
        <v>5691</v>
      </c>
      <c r="C2121" s="125">
        <v>210</v>
      </c>
      <c r="D2121" s="125" t="s">
        <v>6079</v>
      </c>
      <c r="E2121" s="125" t="s">
        <v>5364</v>
      </c>
      <c r="F2121" s="125" t="s">
        <v>5365</v>
      </c>
      <c r="G2121" s="125" t="s">
        <v>5297</v>
      </c>
      <c r="H2121" s="125" t="s">
        <v>1196</v>
      </c>
      <c r="I2121" s="125" t="s">
        <v>1988</v>
      </c>
    </row>
    <row r="2122" spans="1:9" x14ac:dyDescent="0.25">
      <c r="A2122" s="125" t="s">
        <v>1515</v>
      </c>
      <c r="B2122" s="125" t="s">
        <v>5691</v>
      </c>
      <c r="C2122" s="125">
        <v>210</v>
      </c>
      <c r="D2122" s="125" t="s">
        <v>6079</v>
      </c>
      <c r="E2122" s="125" t="s">
        <v>5364</v>
      </c>
      <c r="F2122" s="125" t="s">
        <v>5365</v>
      </c>
      <c r="G2122" s="125" t="s">
        <v>5297</v>
      </c>
      <c r="H2122" s="125" t="s">
        <v>1196</v>
      </c>
      <c r="I2122" s="125" t="s">
        <v>1988</v>
      </c>
    </row>
    <row r="2123" spans="1:9" x14ac:dyDescent="0.25">
      <c r="A2123" s="125" t="s">
        <v>2260</v>
      </c>
      <c r="B2123" s="125" t="s">
        <v>5691</v>
      </c>
      <c r="C2123" s="125">
        <v>210</v>
      </c>
      <c r="D2123" s="125" t="s">
        <v>6079</v>
      </c>
      <c r="E2123" s="125" t="s">
        <v>5364</v>
      </c>
      <c r="F2123" s="125" t="s">
        <v>5365</v>
      </c>
      <c r="G2123" s="125" t="s">
        <v>5297</v>
      </c>
      <c r="H2123" s="125" t="s">
        <v>1196</v>
      </c>
      <c r="I2123" s="125" t="s">
        <v>1988</v>
      </c>
    </row>
    <row r="2124" spans="1:9" x14ac:dyDescent="0.25">
      <c r="A2124" s="125" t="s">
        <v>2133</v>
      </c>
      <c r="B2124" s="125" t="s">
        <v>5362</v>
      </c>
      <c r="C2124" s="125">
        <v>209</v>
      </c>
      <c r="D2124" s="125" t="s">
        <v>5363</v>
      </c>
      <c r="E2124" s="125" t="s">
        <v>5364</v>
      </c>
      <c r="F2124" s="125" t="s">
        <v>5365</v>
      </c>
      <c r="G2124" s="125" t="s">
        <v>5297</v>
      </c>
      <c r="H2124" s="125" t="s">
        <v>5372</v>
      </c>
      <c r="I2124" s="125" t="s">
        <v>1988</v>
      </c>
    </row>
    <row r="2125" spans="1:9" x14ac:dyDescent="0.25">
      <c r="A2125" s="125" t="s">
        <v>2039</v>
      </c>
      <c r="B2125" s="125" t="s">
        <v>5691</v>
      </c>
      <c r="C2125" s="125">
        <v>210</v>
      </c>
      <c r="D2125" s="125" t="s">
        <v>6079</v>
      </c>
      <c r="E2125" s="125" t="s">
        <v>5364</v>
      </c>
      <c r="F2125" s="125" t="s">
        <v>5365</v>
      </c>
      <c r="G2125" s="125" t="s">
        <v>5297</v>
      </c>
      <c r="H2125" s="125" t="s">
        <v>5372</v>
      </c>
      <c r="I2125" s="125" t="s">
        <v>1988</v>
      </c>
    </row>
    <row r="2126" spans="1:9" x14ac:dyDescent="0.25">
      <c r="A2126" s="125" t="s">
        <v>2997</v>
      </c>
      <c r="B2126" s="125" t="s">
        <v>5691</v>
      </c>
      <c r="C2126" s="125">
        <v>210</v>
      </c>
      <c r="D2126" s="125" t="s">
        <v>6079</v>
      </c>
      <c r="E2126" s="125" t="s">
        <v>5364</v>
      </c>
      <c r="F2126" s="125" t="s">
        <v>5365</v>
      </c>
      <c r="G2126" s="125" t="s">
        <v>5297</v>
      </c>
      <c r="H2126" s="125" t="s">
        <v>5372</v>
      </c>
      <c r="I2126" s="125" t="s">
        <v>1988</v>
      </c>
    </row>
    <row r="2127" spans="1:9" x14ac:dyDescent="0.25">
      <c r="A2127" s="125" t="s">
        <v>3429</v>
      </c>
      <c r="B2127" s="125" t="s">
        <v>5691</v>
      </c>
      <c r="C2127" s="125">
        <v>210</v>
      </c>
      <c r="D2127" s="125" t="s">
        <v>6079</v>
      </c>
      <c r="E2127" s="125" t="s">
        <v>5364</v>
      </c>
      <c r="F2127" s="125" t="s">
        <v>5365</v>
      </c>
      <c r="G2127" s="125" t="s">
        <v>5297</v>
      </c>
      <c r="H2127" s="125" t="s">
        <v>5371</v>
      </c>
      <c r="I2127" s="125" t="s">
        <v>1869</v>
      </c>
    </row>
    <row r="2128" spans="1:9" x14ac:dyDescent="0.25">
      <c r="A2128" s="125" t="s">
        <v>2788</v>
      </c>
      <c r="B2128" s="125" t="s">
        <v>5691</v>
      </c>
      <c r="C2128" s="125">
        <v>210</v>
      </c>
      <c r="D2128" s="125" t="s">
        <v>6079</v>
      </c>
      <c r="E2128" s="125" t="s">
        <v>5364</v>
      </c>
      <c r="F2128" s="125" t="s">
        <v>5365</v>
      </c>
      <c r="G2128" s="125" t="s">
        <v>5297</v>
      </c>
      <c r="H2128" s="125" t="s">
        <v>5372</v>
      </c>
      <c r="I2128" s="125" t="s">
        <v>1988</v>
      </c>
    </row>
    <row r="2129" spans="1:9" x14ac:dyDescent="0.25">
      <c r="A2129" s="125" t="s">
        <v>1687</v>
      </c>
      <c r="B2129" s="125" t="s">
        <v>5691</v>
      </c>
      <c r="C2129" s="125">
        <v>210</v>
      </c>
      <c r="D2129" s="125" t="s">
        <v>6079</v>
      </c>
      <c r="E2129" s="125" t="s">
        <v>5364</v>
      </c>
      <c r="F2129" s="125" t="s">
        <v>5365</v>
      </c>
      <c r="G2129" s="125" t="s">
        <v>5297</v>
      </c>
      <c r="H2129" s="125" t="s">
        <v>5517</v>
      </c>
      <c r="I2129" s="125" t="s">
        <v>1953</v>
      </c>
    </row>
    <row r="2130" spans="1:9" x14ac:dyDescent="0.25">
      <c r="A2130" s="125" t="s">
        <v>2166</v>
      </c>
      <c r="B2130" s="125" t="s">
        <v>5691</v>
      </c>
      <c r="C2130" s="125">
        <v>210</v>
      </c>
      <c r="D2130" s="125" t="s">
        <v>6079</v>
      </c>
      <c r="E2130" s="125" t="s">
        <v>5364</v>
      </c>
      <c r="F2130" s="125" t="s">
        <v>5365</v>
      </c>
      <c r="G2130" s="125" t="s">
        <v>5297</v>
      </c>
      <c r="H2130" s="125" t="s">
        <v>371</v>
      </c>
      <c r="I2130" s="125" t="s">
        <v>371</v>
      </c>
    </row>
    <row r="2131" spans="1:9" x14ac:dyDescent="0.25">
      <c r="A2131" s="125" t="s">
        <v>2764</v>
      </c>
      <c r="B2131" s="125" t="s">
        <v>5691</v>
      </c>
      <c r="C2131" s="125">
        <v>210</v>
      </c>
      <c r="D2131" s="125" t="s">
        <v>6079</v>
      </c>
      <c r="E2131" s="125" t="s">
        <v>5364</v>
      </c>
      <c r="F2131" s="125" t="s">
        <v>5365</v>
      </c>
      <c r="G2131" s="125" t="s">
        <v>5297</v>
      </c>
      <c r="H2131" s="125" t="s">
        <v>5832</v>
      </c>
      <c r="I2131" s="125" t="s">
        <v>1953</v>
      </c>
    </row>
    <row r="2132" spans="1:9" x14ac:dyDescent="0.25">
      <c r="A2132" s="125" t="s">
        <v>1290</v>
      </c>
      <c r="B2132" s="125" t="s">
        <v>5691</v>
      </c>
      <c r="C2132" s="125">
        <v>210</v>
      </c>
      <c r="D2132" s="125" t="s">
        <v>6079</v>
      </c>
      <c r="E2132" s="125" t="s">
        <v>5364</v>
      </c>
      <c r="F2132" s="125" t="s">
        <v>5365</v>
      </c>
      <c r="G2132" s="125" t="s">
        <v>5297</v>
      </c>
      <c r="H2132" s="125" t="s">
        <v>5832</v>
      </c>
      <c r="I2132" s="125" t="s">
        <v>1953</v>
      </c>
    </row>
    <row r="2133" spans="1:9" x14ac:dyDescent="0.25">
      <c r="A2133" s="125" t="s">
        <v>2069</v>
      </c>
      <c r="B2133" s="125" t="s">
        <v>5691</v>
      </c>
      <c r="C2133" s="125">
        <v>210</v>
      </c>
      <c r="D2133" s="125" t="s">
        <v>6079</v>
      </c>
      <c r="E2133" s="125" t="s">
        <v>5364</v>
      </c>
      <c r="F2133" s="125" t="s">
        <v>5365</v>
      </c>
      <c r="G2133" s="125" t="s">
        <v>5297</v>
      </c>
      <c r="H2133" s="125" t="s">
        <v>5832</v>
      </c>
      <c r="I2133" s="125" t="s">
        <v>1953</v>
      </c>
    </row>
    <row r="2134" spans="1:9" x14ac:dyDescent="0.25">
      <c r="A2134" s="125" t="s">
        <v>2537</v>
      </c>
      <c r="B2134" s="125" t="s">
        <v>5691</v>
      </c>
      <c r="C2134" s="125">
        <v>210</v>
      </c>
      <c r="D2134" s="125" t="s">
        <v>6079</v>
      </c>
      <c r="E2134" s="125" t="s">
        <v>5364</v>
      </c>
      <c r="F2134" s="125" t="s">
        <v>5365</v>
      </c>
      <c r="G2134" s="125" t="s">
        <v>5297</v>
      </c>
      <c r="H2134" s="125" t="s">
        <v>5832</v>
      </c>
      <c r="I2134" s="125" t="s">
        <v>1953</v>
      </c>
    </row>
    <row r="2135" spans="1:9" x14ac:dyDescent="0.25">
      <c r="A2135" s="125" t="s">
        <v>1462</v>
      </c>
      <c r="B2135" s="125" t="s">
        <v>5691</v>
      </c>
      <c r="C2135" s="125">
        <v>210</v>
      </c>
      <c r="D2135" s="125" t="s">
        <v>6079</v>
      </c>
      <c r="E2135" s="125" t="s">
        <v>5364</v>
      </c>
      <c r="F2135" s="125" t="s">
        <v>5365</v>
      </c>
      <c r="G2135" s="125" t="s">
        <v>5297</v>
      </c>
      <c r="H2135" s="125" t="s">
        <v>5515</v>
      </c>
      <c r="I2135" s="125" t="s">
        <v>1953</v>
      </c>
    </row>
    <row r="2136" spans="1:9" x14ac:dyDescent="0.25">
      <c r="A2136" s="125" t="s">
        <v>1420</v>
      </c>
      <c r="B2136" s="125" t="s">
        <v>5691</v>
      </c>
      <c r="C2136" s="125">
        <v>210</v>
      </c>
      <c r="D2136" s="125" t="s">
        <v>6079</v>
      </c>
      <c r="E2136" s="125" t="s">
        <v>5364</v>
      </c>
      <c r="F2136" s="125" t="s">
        <v>5365</v>
      </c>
      <c r="G2136" s="125" t="s">
        <v>5297</v>
      </c>
      <c r="H2136" s="125" t="s">
        <v>5515</v>
      </c>
      <c r="I2136" s="125" t="s">
        <v>1953</v>
      </c>
    </row>
    <row r="2137" spans="1:9" x14ac:dyDescent="0.25">
      <c r="A2137" s="125" t="s">
        <v>2564</v>
      </c>
      <c r="B2137" s="125" t="s">
        <v>5691</v>
      </c>
      <c r="C2137" s="125">
        <v>210</v>
      </c>
      <c r="D2137" s="125" t="s">
        <v>6079</v>
      </c>
      <c r="E2137" s="125" t="s">
        <v>5364</v>
      </c>
      <c r="F2137" s="125" t="s">
        <v>5365</v>
      </c>
      <c r="G2137" s="125" t="s">
        <v>5297</v>
      </c>
      <c r="H2137" s="125" t="s">
        <v>5515</v>
      </c>
      <c r="I2137" s="125" t="s">
        <v>1953</v>
      </c>
    </row>
    <row r="2138" spans="1:9" x14ac:dyDescent="0.25">
      <c r="A2138" s="125" t="s">
        <v>3479</v>
      </c>
      <c r="B2138" s="125" t="s">
        <v>5502</v>
      </c>
      <c r="C2138" s="125">
        <v>202</v>
      </c>
      <c r="D2138" s="125" t="s">
        <v>5503</v>
      </c>
      <c r="E2138" s="125" t="s">
        <v>5295</v>
      </c>
      <c r="F2138" s="125" t="s">
        <v>5296</v>
      </c>
      <c r="G2138" s="125" t="s">
        <v>5297</v>
      </c>
      <c r="H2138" s="125" t="s">
        <v>6084</v>
      </c>
      <c r="I2138" s="125" t="s">
        <v>5375</v>
      </c>
    </row>
    <row r="2139" spans="1:9" x14ac:dyDescent="0.25">
      <c r="A2139" s="125" t="s">
        <v>2179</v>
      </c>
      <c r="B2139" s="125" t="s">
        <v>5502</v>
      </c>
      <c r="C2139" s="125">
        <v>202</v>
      </c>
      <c r="D2139" s="125" t="s">
        <v>5503</v>
      </c>
      <c r="E2139" s="125" t="s">
        <v>5295</v>
      </c>
      <c r="F2139" s="125" t="s">
        <v>5296</v>
      </c>
      <c r="G2139" s="125" t="s">
        <v>5297</v>
      </c>
      <c r="H2139" s="125" t="s">
        <v>371</v>
      </c>
      <c r="I2139" s="125" t="s">
        <v>371</v>
      </c>
    </row>
    <row r="2140" spans="1:9" x14ac:dyDescent="0.25">
      <c r="A2140" s="125" t="s">
        <v>6085</v>
      </c>
      <c r="B2140" s="125" t="s">
        <v>5502</v>
      </c>
      <c r="C2140" s="125">
        <v>202</v>
      </c>
      <c r="D2140" s="125" t="s">
        <v>5503</v>
      </c>
      <c r="E2140" s="125" t="s">
        <v>5295</v>
      </c>
      <c r="F2140" s="125" t="s">
        <v>5296</v>
      </c>
      <c r="G2140" s="125" t="s">
        <v>5297</v>
      </c>
      <c r="H2140" s="125" t="s">
        <v>6084</v>
      </c>
      <c r="I2140" s="125" t="s">
        <v>5375</v>
      </c>
    </row>
    <row r="2141" spans="1:9" x14ac:dyDescent="0.25">
      <c r="A2141" s="125" t="s">
        <v>3415</v>
      </c>
      <c r="B2141" s="125" t="s">
        <v>5502</v>
      </c>
      <c r="C2141" s="125">
        <v>202</v>
      </c>
      <c r="D2141" s="125" t="s">
        <v>5503</v>
      </c>
      <c r="E2141" s="125" t="s">
        <v>5295</v>
      </c>
      <c r="F2141" s="125" t="s">
        <v>5296</v>
      </c>
      <c r="G2141" s="125" t="s">
        <v>5297</v>
      </c>
      <c r="H2141" s="125" t="s">
        <v>6084</v>
      </c>
      <c r="I2141" s="125" t="s">
        <v>5375</v>
      </c>
    </row>
    <row r="2142" spans="1:9" x14ac:dyDescent="0.25">
      <c r="A2142" s="125" t="s">
        <v>2773</v>
      </c>
      <c r="B2142" s="125" t="s">
        <v>5502</v>
      </c>
      <c r="C2142" s="125">
        <v>202</v>
      </c>
      <c r="D2142" s="125" t="s">
        <v>5503</v>
      </c>
      <c r="E2142" s="125" t="s">
        <v>5295</v>
      </c>
      <c r="F2142" s="125" t="s">
        <v>5296</v>
      </c>
      <c r="G2142" s="125" t="s">
        <v>5297</v>
      </c>
      <c r="H2142" s="125" t="s">
        <v>6084</v>
      </c>
      <c r="I2142" s="125" t="s">
        <v>5375</v>
      </c>
    </row>
    <row r="2143" spans="1:9" x14ac:dyDescent="0.25">
      <c r="A2143" s="125" t="s">
        <v>3314</v>
      </c>
      <c r="B2143" s="125" t="s">
        <v>5502</v>
      </c>
      <c r="C2143" s="125">
        <v>202</v>
      </c>
      <c r="D2143" s="125" t="s">
        <v>5503</v>
      </c>
      <c r="E2143" s="125" t="s">
        <v>5295</v>
      </c>
      <c r="F2143" s="125" t="s">
        <v>5296</v>
      </c>
      <c r="G2143" s="125" t="s">
        <v>5297</v>
      </c>
      <c r="H2143" s="125" t="s">
        <v>6084</v>
      </c>
      <c r="I2143" s="125" t="s">
        <v>5375</v>
      </c>
    </row>
    <row r="2144" spans="1:9" x14ac:dyDescent="0.25">
      <c r="A2144" s="125" t="s">
        <v>3184</v>
      </c>
      <c r="B2144" s="125" t="s">
        <v>5502</v>
      </c>
      <c r="C2144" s="125">
        <v>202</v>
      </c>
      <c r="D2144" s="125" t="s">
        <v>5503</v>
      </c>
      <c r="E2144" s="125" t="s">
        <v>5295</v>
      </c>
      <c r="F2144" s="125" t="s">
        <v>5296</v>
      </c>
      <c r="G2144" s="125" t="s">
        <v>5297</v>
      </c>
      <c r="H2144" s="125" t="s">
        <v>6086</v>
      </c>
      <c r="I2144" s="125" t="s">
        <v>3183</v>
      </c>
    </row>
    <row r="2145" spans="1:9" x14ac:dyDescent="0.25">
      <c r="A2145" s="125" t="s">
        <v>2539</v>
      </c>
      <c r="B2145" s="125" t="s">
        <v>5502</v>
      </c>
      <c r="C2145" s="125">
        <v>202</v>
      </c>
      <c r="D2145" s="125" t="s">
        <v>5503</v>
      </c>
      <c r="E2145" s="125" t="s">
        <v>5295</v>
      </c>
      <c r="F2145" s="125" t="s">
        <v>5296</v>
      </c>
      <c r="G2145" s="125" t="s">
        <v>5297</v>
      </c>
      <c r="H2145" s="125" t="s">
        <v>6086</v>
      </c>
      <c r="I2145" s="125" t="s">
        <v>3183</v>
      </c>
    </row>
    <row r="2146" spans="1:9" x14ac:dyDescent="0.25">
      <c r="A2146" s="125" t="s">
        <v>1174</v>
      </c>
      <c r="B2146" s="125" t="s">
        <v>5502</v>
      </c>
      <c r="C2146" s="125">
        <v>202</v>
      </c>
      <c r="D2146" s="125" t="s">
        <v>5503</v>
      </c>
      <c r="E2146" s="125" t="s">
        <v>5295</v>
      </c>
      <c r="F2146" s="125" t="s">
        <v>5296</v>
      </c>
      <c r="G2146" s="125" t="s">
        <v>5297</v>
      </c>
      <c r="H2146" s="125" t="s">
        <v>6086</v>
      </c>
      <c r="I2146" s="125" t="s">
        <v>3183</v>
      </c>
    </row>
    <row r="2147" spans="1:9" x14ac:dyDescent="0.25">
      <c r="A2147" s="125" t="s">
        <v>6087</v>
      </c>
      <c r="B2147" s="125" t="s">
        <v>5502</v>
      </c>
      <c r="C2147" s="125">
        <v>202</v>
      </c>
      <c r="D2147" s="125" t="s">
        <v>5503</v>
      </c>
      <c r="E2147" s="125" t="s">
        <v>5295</v>
      </c>
      <c r="F2147" s="125" t="s">
        <v>5296</v>
      </c>
      <c r="G2147" s="125" t="s">
        <v>5297</v>
      </c>
      <c r="H2147" s="125" t="s">
        <v>6086</v>
      </c>
      <c r="I2147" s="125" t="s">
        <v>3183</v>
      </c>
    </row>
    <row r="2148" spans="1:9" x14ac:dyDescent="0.25">
      <c r="A2148" s="125" t="s">
        <v>6088</v>
      </c>
      <c r="B2148" s="125" t="s">
        <v>5502</v>
      </c>
      <c r="C2148" s="125">
        <v>202</v>
      </c>
      <c r="D2148" s="125" t="s">
        <v>5503</v>
      </c>
      <c r="E2148" s="125" t="s">
        <v>5295</v>
      </c>
      <c r="F2148" s="125" t="s">
        <v>5296</v>
      </c>
      <c r="G2148" s="125" t="s">
        <v>5297</v>
      </c>
      <c r="H2148" s="125" t="s">
        <v>6086</v>
      </c>
      <c r="I2148" s="125" t="s">
        <v>3183</v>
      </c>
    </row>
    <row r="2149" spans="1:9" x14ac:dyDescent="0.25">
      <c r="A2149" s="125" t="s">
        <v>2611</v>
      </c>
      <c r="B2149" s="125" t="s">
        <v>5502</v>
      </c>
      <c r="C2149" s="125">
        <v>202</v>
      </c>
      <c r="D2149" s="125" t="s">
        <v>5503</v>
      </c>
      <c r="E2149" s="125" t="s">
        <v>5295</v>
      </c>
      <c r="F2149" s="125" t="s">
        <v>5296</v>
      </c>
      <c r="G2149" s="125" t="s">
        <v>5297</v>
      </c>
      <c r="H2149" s="125" t="s">
        <v>6084</v>
      </c>
      <c r="I2149" s="125" t="s">
        <v>5375</v>
      </c>
    </row>
    <row r="2150" spans="1:9" x14ac:dyDescent="0.25">
      <c r="A2150" s="125" t="s">
        <v>1216</v>
      </c>
      <c r="B2150" s="125" t="s">
        <v>5502</v>
      </c>
      <c r="C2150" s="125">
        <v>202</v>
      </c>
      <c r="D2150" s="125" t="s">
        <v>5503</v>
      </c>
      <c r="E2150" s="125" t="s">
        <v>5295</v>
      </c>
      <c r="F2150" s="125" t="s">
        <v>5296</v>
      </c>
      <c r="G2150" s="125" t="s">
        <v>5297</v>
      </c>
      <c r="H2150" s="125" t="s">
        <v>371</v>
      </c>
      <c r="I2150" s="125" t="s">
        <v>371</v>
      </c>
    </row>
    <row r="2151" spans="1:9" x14ac:dyDescent="0.25">
      <c r="A2151" s="125" t="s">
        <v>1153</v>
      </c>
      <c r="B2151" s="125" t="s">
        <v>5502</v>
      </c>
      <c r="C2151" s="125">
        <v>202</v>
      </c>
      <c r="D2151" s="125" t="s">
        <v>5503</v>
      </c>
      <c r="E2151" s="125" t="s">
        <v>5295</v>
      </c>
      <c r="F2151" s="125" t="s">
        <v>5296</v>
      </c>
      <c r="G2151" s="125" t="s">
        <v>5297</v>
      </c>
      <c r="H2151" s="125" t="s">
        <v>6084</v>
      </c>
      <c r="I2151" s="125" t="s">
        <v>5375</v>
      </c>
    </row>
    <row r="2152" spans="1:9" x14ac:dyDescent="0.25">
      <c r="A2152" s="125" t="s">
        <v>3381</v>
      </c>
      <c r="B2152" s="125" t="s">
        <v>5502</v>
      </c>
      <c r="C2152" s="125">
        <v>202</v>
      </c>
      <c r="D2152" s="125" t="s">
        <v>5503</v>
      </c>
      <c r="E2152" s="125" t="s">
        <v>5295</v>
      </c>
      <c r="F2152" s="125" t="s">
        <v>5296</v>
      </c>
      <c r="G2152" s="125" t="s">
        <v>5297</v>
      </c>
      <c r="H2152" s="125" t="s">
        <v>5504</v>
      </c>
      <c r="I2152" s="125" t="s">
        <v>3183</v>
      </c>
    </row>
    <row r="2153" spans="1:9" x14ac:dyDescent="0.25">
      <c r="A2153" s="125" t="s">
        <v>3419</v>
      </c>
      <c r="B2153" s="125" t="s">
        <v>5502</v>
      </c>
      <c r="C2153" s="125">
        <v>202</v>
      </c>
      <c r="D2153" s="125" t="s">
        <v>5503</v>
      </c>
      <c r="E2153" s="125" t="s">
        <v>5295</v>
      </c>
      <c r="F2153" s="125" t="s">
        <v>5296</v>
      </c>
      <c r="G2153" s="125" t="s">
        <v>5297</v>
      </c>
      <c r="H2153" s="125" t="s">
        <v>6084</v>
      </c>
      <c r="I2153" s="125" t="s">
        <v>5375</v>
      </c>
    </row>
    <row r="2154" spans="1:9" x14ac:dyDescent="0.25">
      <c r="A2154" s="125" t="s">
        <v>6089</v>
      </c>
      <c r="B2154" s="125" t="s">
        <v>5502</v>
      </c>
      <c r="C2154" s="125">
        <v>202</v>
      </c>
      <c r="D2154" s="125" t="s">
        <v>5503</v>
      </c>
      <c r="E2154" s="125" t="s">
        <v>5295</v>
      </c>
      <c r="F2154" s="125" t="s">
        <v>5296</v>
      </c>
      <c r="G2154" s="125" t="s">
        <v>5297</v>
      </c>
      <c r="H2154" s="125" t="s">
        <v>5586</v>
      </c>
      <c r="I2154" s="125" t="s">
        <v>5375</v>
      </c>
    </row>
    <row r="2155" spans="1:9" x14ac:dyDescent="0.25">
      <c r="A2155" s="125" t="s">
        <v>3561</v>
      </c>
      <c r="B2155" s="125" t="s">
        <v>5502</v>
      </c>
      <c r="C2155" s="125">
        <v>202</v>
      </c>
      <c r="D2155" s="125" t="s">
        <v>5503</v>
      </c>
      <c r="E2155" s="125" t="s">
        <v>5295</v>
      </c>
      <c r="F2155" s="125" t="s">
        <v>5296</v>
      </c>
      <c r="G2155" s="125" t="s">
        <v>5297</v>
      </c>
      <c r="H2155" s="125" t="s">
        <v>6084</v>
      </c>
      <c r="I2155" s="125" t="s">
        <v>5375</v>
      </c>
    </row>
    <row r="2156" spans="1:9" x14ac:dyDescent="0.25">
      <c r="A2156" s="125" t="s">
        <v>1760</v>
      </c>
      <c r="B2156" s="125" t="s">
        <v>5502</v>
      </c>
      <c r="C2156" s="125">
        <v>202</v>
      </c>
      <c r="D2156" s="125" t="s">
        <v>5503</v>
      </c>
      <c r="E2156" s="125" t="s">
        <v>5295</v>
      </c>
      <c r="F2156" s="125" t="s">
        <v>5296</v>
      </c>
      <c r="G2156" s="125" t="s">
        <v>5297</v>
      </c>
      <c r="H2156" s="125" t="s">
        <v>5737</v>
      </c>
      <c r="I2156" s="125" t="s">
        <v>5375</v>
      </c>
    </row>
    <row r="2157" spans="1:9" x14ac:dyDescent="0.25">
      <c r="A2157" s="125" t="s">
        <v>6090</v>
      </c>
      <c r="B2157" s="125" t="s">
        <v>5502</v>
      </c>
      <c r="C2157" s="125">
        <v>202</v>
      </c>
      <c r="D2157" s="125" t="s">
        <v>5503</v>
      </c>
      <c r="E2157" s="125" t="s">
        <v>5295</v>
      </c>
      <c r="F2157" s="125" t="s">
        <v>5296</v>
      </c>
      <c r="G2157" s="125" t="s">
        <v>5297</v>
      </c>
      <c r="H2157" s="125" t="s">
        <v>5737</v>
      </c>
      <c r="I2157" s="125" t="s">
        <v>5375</v>
      </c>
    </row>
    <row r="2158" spans="1:9" x14ac:dyDescent="0.25">
      <c r="A2158" s="125" t="s">
        <v>2256</v>
      </c>
      <c r="B2158" s="125" t="s">
        <v>5561</v>
      </c>
      <c r="C2158" s="125">
        <v>231</v>
      </c>
      <c r="D2158" s="125" t="s">
        <v>5562</v>
      </c>
      <c r="E2158" s="125" t="s">
        <v>5341</v>
      </c>
      <c r="F2158" s="140" t="s">
        <v>5342</v>
      </c>
      <c r="G2158" s="125" t="s">
        <v>5297</v>
      </c>
      <c r="H2158" s="125" t="s">
        <v>1065</v>
      </c>
      <c r="I2158" s="125" t="s">
        <v>5563</v>
      </c>
    </row>
    <row r="2159" spans="1:9" x14ac:dyDescent="0.25">
      <c r="A2159" s="125" t="s">
        <v>2228</v>
      </c>
      <c r="B2159" s="125" t="s">
        <v>5561</v>
      </c>
      <c r="C2159" s="125">
        <v>231</v>
      </c>
      <c r="D2159" s="125" t="s">
        <v>5562</v>
      </c>
      <c r="E2159" s="125" t="s">
        <v>5341</v>
      </c>
      <c r="F2159" s="140" t="s">
        <v>5342</v>
      </c>
      <c r="G2159" s="125" t="s">
        <v>5297</v>
      </c>
      <c r="H2159" s="125" t="s">
        <v>1065</v>
      </c>
      <c r="I2159" s="125" t="s">
        <v>5563</v>
      </c>
    </row>
    <row r="2160" spans="1:9" x14ac:dyDescent="0.25">
      <c r="A2160" s="125" t="s">
        <v>3319</v>
      </c>
      <c r="B2160" s="125" t="s">
        <v>5561</v>
      </c>
      <c r="C2160" s="125">
        <v>231</v>
      </c>
      <c r="D2160" s="125" t="s">
        <v>5562</v>
      </c>
      <c r="E2160" s="125" t="s">
        <v>5341</v>
      </c>
      <c r="F2160" s="140" t="s">
        <v>5342</v>
      </c>
      <c r="G2160" s="125" t="s">
        <v>5297</v>
      </c>
      <c r="H2160" s="125" t="s">
        <v>1065</v>
      </c>
      <c r="I2160" s="125" t="s">
        <v>5563</v>
      </c>
    </row>
    <row r="2161" spans="1:9" x14ac:dyDescent="0.25">
      <c r="A2161" s="125" t="s">
        <v>1651</v>
      </c>
      <c r="B2161" s="125" t="s">
        <v>5561</v>
      </c>
      <c r="C2161" s="125">
        <v>231</v>
      </c>
      <c r="D2161" s="125" t="s">
        <v>5562</v>
      </c>
      <c r="E2161" s="125" t="s">
        <v>5341</v>
      </c>
      <c r="F2161" s="140" t="s">
        <v>5342</v>
      </c>
      <c r="G2161" s="125" t="s">
        <v>5297</v>
      </c>
      <c r="H2161" s="125" t="s">
        <v>1065</v>
      </c>
      <c r="I2161" s="125" t="s">
        <v>5563</v>
      </c>
    </row>
    <row r="2162" spans="1:9" x14ac:dyDescent="0.25">
      <c r="A2162" s="125" t="s">
        <v>2829</v>
      </c>
      <c r="B2162" s="125" t="s">
        <v>5561</v>
      </c>
      <c r="C2162" s="125">
        <v>231</v>
      </c>
      <c r="D2162" s="125" t="s">
        <v>5562</v>
      </c>
      <c r="E2162" s="125" t="s">
        <v>5341</v>
      </c>
      <c r="F2162" s="140" t="s">
        <v>5342</v>
      </c>
      <c r="G2162" s="125" t="s">
        <v>5297</v>
      </c>
      <c r="H2162" s="125" t="s">
        <v>1065</v>
      </c>
      <c r="I2162" s="125" t="s">
        <v>5563</v>
      </c>
    </row>
    <row r="2163" spans="1:9" x14ac:dyDescent="0.25">
      <c r="A2163" s="125" t="s">
        <v>3445</v>
      </c>
      <c r="B2163" s="125" t="s">
        <v>5561</v>
      </c>
      <c r="C2163" s="125">
        <v>231</v>
      </c>
      <c r="D2163" s="125" t="s">
        <v>5562</v>
      </c>
      <c r="E2163" s="125" t="s">
        <v>5341</v>
      </c>
      <c r="F2163" s="140" t="s">
        <v>5342</v>
      </c>
      <c r="G2163" s="125" t="s">
        <v>5297</v>
      </c>
      <c r="H2163" s="125" t="s">
        <v>1065</v>
      </c>
      <c r="I2163" s="125" t="s">
        <v>5563</v>
      </c>
    </row>
    <row r="2164" spans="1:9" x14ac:dyDescent="0.25">
      <c r="A2164" s="125" t="s">
        <v>2219</v>
      </c>
      <c r="B2164" s="125" t="s">
        <v>5561</v>
      </c>
      <c r="C2164" s="125">
        <v>231</v>
      </c>
      <c r="D2164" s="125" t="s">
        <v>5562</v>
      </c>
      <c r="E2164" s="125" t="s">
        <v>5341</v>
      </c>
      <c r="F2164" s="140" t="s">
        <v>5342</v>
      </c>
      <c r="G2164" s="125" t="s">
        <v>5297</v>
      </c>
      <c r="H2164" s="125" t="s">
        <v>1065</v>
      </c>
      <c r="I2164" s="125" t="s">
        <v>5563</v>
      </c>
    </row>
    <row r="2165" spans="1:9" x14ac:dyDescent="0.25">
      <c r="A2165" s="125" t="s">
        <v>2090</v>
      </c>
      <c r="B2165" s="125" t="s">
        <v>5561</v>
      </c>
      <c r="C2165" s="125">
        <v>231</v>
      </c>
      <c r="D2165" s="125" t="s">
        <v>5562</v>
      </c>
      <c r="E2165" s="125" t="s">
        <v>5341</v>
      </c>
      <c r="F2165" s="140" t="s">
        <v>5342</v>
      </c>
      <c r="G2165" s="125" t="s">
        <v>5297</v>
      </c>
      <c r="H2165" s="125" t="s">
        <v>6091</v>
      </c>
      <c r="I2165" s="125" t="s">
        <v>3487</v>
      </c>
    </row>
    <row r="2166" spans="1:9" x14ac:dyDescent="0.25">
      <c r="A2166" s="125" t="s">
        <v>1871</v>
      </c>
      <c r="B2166" s="125" t="s">
        <v>5561</v>
      </c>
      <c r="C2166" s="125">
        <v>231</v>
      </c>
      <c r="D2166" s="125" t="s">
        <v>5562</v>
      </c>
      <c r="E2166" s="125" t="s">
        <v>5341</v>
      </c>
      <c r="F2166" s="140" t="s">
        <v>5342</v>
      </c>
      <c r="G2166" s="125" t="s">
        <v>5297</v>
      </c>
      <c r="H2166" s="125" t="s">
        <v>1065</v>
      </c>
      <c r="I2166" s="125" t="s">
        <v>5563</v>
      </c>
    </row>
    <row r="2167" spans="1:9" x14ac:dyDescent="0.25">
      <c r="A2167" s="125" t="s">
        <v>2206</v>
      </c>
      <c r="B2167" s="125" t="s">
        <v>5561</v>
      </c>
      <c r="C2167" s="125">
        <v>231</v>
      </c>
      <c r="D2167" s="125" t="s">
        <v>5562</v>
      </c>
      <c r="E2167" s="125" t="s">
        <v>5341</v>
      </c>
      <c r="F2167" s="140" t="s">
        <v>5342</v>
      </c>
      <c r="G2167" s="125" t="s">
        <v>5297</v>
      </c>
      <c r="H2167" s="125" t="s">
        <v>1065</v>
      </c>
      <c r="I2167" s="125" t="s">
        <v>5563</v>
      </c>
    </row>
    <row r="2168" spans="1:9" x14ac:dyDescent="0.25">
      <c r="A2168" s="125" t="s">
        <v>2165</v>
      </c>
      <c r="B2168" s="125" t="s">
        <v>5561</v>
      </c>
      <c r="C2168" s="125">
        <v>231</v>
      </c>
      <c r="D2168" s="125" t="s">
        <v>5562</v>
      </c>
      <c r="E2168" s="125" t="s">
        <v>5341</v>
      </c>
      <c r="F2168" s="140" t="s">
        <v>5342</v>
      </c>
      <c r="G2168" s="125" t="s">
        <v>5297</v>
      </c>
      <c r="H2168" s="125" t="s">
        <v>6091</v>
      </c>
      <c r="I2168" s="125" t="s">
        <v>3487</v>
      </c>
    </row>
    <row r="2169" spans="1:9" x14ac:dyDescent="0.25">
      <c r="A2169" s="125" t="s">
        <v>1879</v>
      </c>
      <c r="B2169" s="125" t="s">
        <v>5561</v>
      </c>
      <c r="C2169" s="125">
        <v>231</v>
      </c>
      <c r="D2169" s="125" t="s">
        <v>5562</v>
      </c>
      <c r="E2169" s="125" t="s">
        <v>5341</v>
      </c>
      <c r="F2169" s="140" t="s">
        <v>5342</v>
      </c>
      <c r="G2169" s="125" t="s">
        <v>5297</v>
      </c>
      <c r="H2169" s="125" t="s">
        <v>1318</v>
      </c>
      <c r="I2169" s="125" t="s">
        <v>5563</v>
      </c>
    </row>
    <row r="2170" spans="1:9" x14ac:dyDescent="0.25">
      <c r="A2170" s="125" t="s">
        <v>2950</v>
      </c>
      <c r="B2170" s="125" t="s">
        <v>5561</v>
      </c>
      <c r="C2170" s="125">
        <v>231</v>
      </c>
      <c r="D2170" s="125" t="s">
        <v>5562</v>
      </c>
      <c r="E2170" s="125" t="s">
        <v>5341</v>
      </c>
      <c r="F2170" s="140" t="s">
        <v>5342</v>
      </c>
      <c r="G2170" s="125" t="s">
        <v>5297</v>
      </c>
      <c r="H2170" s="125" t="s">
        <v>1318</v>
      </c>
      <c r="I2170" s="125" t="s">
        <v>5563</v>
      </c>
    </row>
    <row r="2171" spans="1:9" x14ac:dyDescent="0.25">
      <c r="A2171" s="125" t="s">
        <v>3382</v>
      </c>
      <c r="B2171" s="125" t="s">
        <v>5561</v>
      </c>
      <c r="C2171" s="125">
        <v>231</v>
      </c>
      <c r="D2171" s="125" t="s">
        <v>5562</v>
      </c>
      <c r="E2171" s="125" t="s">
        <v>5341</v>
      </c>
      <c r="F2171" s="140" t="s">
        <v>5342</v>
      </c>
      <c r="G2171" s="125" t="s">
        <v>5297</v>
      </c>
      <c r="H2171" s="125" t="s">
        <v>1065</v>
      </c>
      <c r="I2171" s="125" t="s">
        <v>5563</v>
      </c>
    </row>
    <row r="2172" spans="1:9" x14ac:dyDescent="0.25">
      <c r="A2172" s="125" t="s">
        <v>1195</v>
      </c>
      <c r="B2172" s="125" t="s">
        <v>5561</v>
      </c>
      <c r="C2172" s="125">
        <v>231</v>
      </c>
      <c r="D2172" s="125" t="s">
        <v>5562</v>
      </c>
      <c r="E2172" s="125" t="s">
        <v>5341</v>
      </c>
      <c r="F2172" s="140" t="s">
        <v>5342</v>
      </c>
      <c r="G2172" s="125" t="s">
        <v>5297</v>
      </c>
      <c r="H2172" s="125" t="s">
        <v>5540</v>
      </c>
      <c r="I2172" s="125" t="s">
        <v>3487</v>
      </c>
    </row>
    <row r="2173" spans="1:9" x14ac:dyDescent="0.25">
      <c r="A2173" s="125" t="s">
        <v>2783</v>
      </c>
      <c r="B2173" s="125" t="s">
        <v>5561</v>
      </c>
      <c r="C2173" s="125">
        <v>231</v>
      </c>
      <c r="D2173" s="125" t="s">
        <v>5562</v>
      </c>
      <c r="E2173" s="125" t="s">
        <v>5341</v>
      </c>
      <c r="F2173" s="140" t="s">
        <v>5342</v>
      </c>
      <c r="G2173" s="125" t="s">
        <v>5297</v>
      </c>
      <c r="H2173" s="125" t="s">
        <v>1873</v>
      </c>
      <c r="I2173" s="125" t="s">
        <v>3487</v>
      </c>
    </row>
    <row r="2174" spans="1:9" x14ac:dyDescent="0.25">
      <c r="A2174" s="125" t="s">
        <v>2736</v>
      </c>
      <c r="B2174" s="125" t="s">
        <v>5561</v>
      </c>
      <c r="C2174" s="125">
        <v>231</v>
      </c>
      <c r="D2174" s="125" t="s">
        <v>5562</v>
      </c>
      <c r="E2174" s="125" t="s">
        <v>5341</v>
      </c>
      <c r="F2174" s="140" t="s">
        <v>5342</v>
      </c>
      <c r="G2174" s="125" t="s">
        <v>5297</v>
      </c>
      <c r="H2174" s="125" t="s">
        <v>1065</v>
      </c>
      <c r="I2174" s="125" t="s">
        <v>5563</v>
      </c>
    </row>
    <row r="2175" spans="1:9" x14ac:dyDescent="0.25">
      <c r="A2175" s="125" t="s">
        <v>2052</v>
      </c>
      <c r="B2175" s="125" t="s">
        <v>5561</v>
      </c>
      <c r="C2175" s="125">
        <v>231</v>
      </c>
      <c r="D2175" s="125" t="s">
        <v>5562</v>
      </c>
      <c r="E2175" s="125" t="s">
        <v>5341</v>
      </c>
      <c r="F2175" s="140" t="s">
        <v>5342</v>
      </c>
      <c r="G2175" s="125" t="s">
        <v>5297</v>
      </c>
      <c r="H2175" s="125" t="s">
        <v>1065</v>
      </c>
      <c r="I2175" s="125" t="s">
        <v>5563</v>
      </c>
    </row>
    <row r="2176" spans="1:9" x14ac:dyDescent="0.25">
      <c r="A2176" s="125" t="s">
        <v>6092</v>
      </c>
      <c r="B2176" s="125" t="s">
        <v>5561</v>
      </c>
      <c r="C2176" s="125">
        <v>231</v>
      </c>
      <c r="D2176" s="125" t="s">
        <v>5562</v>
      </c>
      <c r="E2176" s="125" t="s">
        <v>5341</v>
      </c>
      <c r="F2176" s="140" t="s">
        <v>5342</v>
      </c>
      <c r="G2176" s="125" t="s">
        <v>5297</v>
      </c>
      <c r="H2176" s="125" t="s">
        <v>1065</v>
      </c>
      <c r="I2176" s="125" t="s">
        <v>5563</v>
      </c>
    </row>
    <row r="2177" spans="1:9" x14ac:dyDescent="0.25">
      <c r="A2177" s="125" t="s">
        <v>1439</v>
      </c>
      <c r="B2177" s="125" t="s">
        <v>5561</v>
      </c>
      <c r="C2177" s="125">
        <v>231</v>
      </c>
      <c r="D2177" s="125" t="s">
        <v>5562</v>
      </c>
      <c r="E2177" s="125" t="s">
        <v>5341</v>
      </c>
      <c r="F2177" s="140" t="s">
        <v>5342</v>
      </c>
      <c r="G2177" s="125" t="s">
        <v>5297</v>
      </c>
      <c r="H2177" s="125" t="s">
        <v>1408</v>
      </c>
      <c r="I2177" s="125" t="s">
        <v>3487</v>
      </c>
    </row>
    <row r="2178" spans="1:9" x14ac:dyDescent="0.25">
      <c r="A2178" s="125" t="s">
        <v>1409</v>
      </c>
      <c r="B2178" s="125" t="s">
        <v>5878</v>
      </c>
      <c r="C2178" s="125">
        <v>280</v>
      </c>
      <c r="D2178" s="125" t="s">
        <v>5879</v>
      </c>
      <c r="E2178" s="125" t="s">
        <v>5341</v>
      </c>
      <c r="F2178" s="140" t="s">
        <v>5342</v>
      </c>
      <c r="G2178" s="125" t="s">
        <v>5297</v>
      </c>
      <c r="H2178" s="125" t="s">
        <v>1408</v>
      </c>
      <c r="I2178" s="125" t="s">
        <v>3487</v>
      </c>
    </row>
    <row r="2179" spans="1:9" x14ac:dyDescent="0.25">
      <c r="A2179" s="125" t="s">
        <v>1614</v>
      </c>
      <c r="B2179" s="125" t="s">
        <v>5878</v>
      </c>
      <c r="C2179" s="125">
        <v>280</v>
      </c>
      <c r="D2179" s="125" t="s">
        <v>5879</v>
      </c>
      <c r="E2179" s="125" t="s">
        <v>5341</v>
      </c>
      <c r="F2179" s="140" t="s">
        <v>5342</v>
      </c>
      <c r="G2179" s="125" t="s">
        <v>5297</v>
      </c>
      <c r="H2179" s="125" t="s">
        <v>6091</v>
      </c>
      <c r="I2179" s="125" t="s">
        <v>3487</v>
      </c>
    </row>
    <row r="2180" spans="1:9" x14ac:dyDescent="0.25">
      <c r="A2180" s="125" t="s">
        <v>2089</v>
      </c>
      <c r="B2180" s="125" t="s">
        <v>5878</v>
      </c>
      <c r="C2180" s="125">
        <v>280</v>
      </c>
      <c r="D2180" s="125" t="s">
        <v>5879</v>
      </c>
      <c r="E2180" s="125" t="s">
        <v>5341</v>
      </c>
      <c r="F2180" s="140" t="s">
        <v>5342</v>
      </c>
      <c r="G2180" s="125" t="s">
        <v>5297</v>
      </c>
      <c r="H2180" s="125" t="s">
        <v>1408</v>
      </c>
      <c r="I2180" s="125" t="s">
        <v>3487</v>
      </c>
    </row>
    <row r="2181" spans="1:9" x14ac:dyDescent="0.25">
      <c r="A2181" s="125" t="s">
        <v>2036</v>
      </c>
      <c r="B2181" s="125" t="s">
        <v>5878</v>
      </c>
      <c r="C2181" s="125">
        <v>280</v>
      </c>
      <c r="D2181" s="125" t="s">
        <v>5879</v>
      </c>
      <c r="E2181" s="125" t="s">
        <v>5341</v>
      </c>
      <c r="F2181" s="140" t="s">
        <v>5342</v>
      </c>
      <c r="G2181" s="125" t="s">
        <v>5297</v>
      </c>
      <c r="H2181" s="125" t="s">
        <v>6091</v>
      </c>
      <c r="I2181" s="125" t="s">
        <v>3487</v>
      </c>
    </row>
    <row r="2182" spans="1:9" x14ac:dyDescent="0.25">
      <c r="A2182" s="125" t="s">
        <v>2744</v>
      </c>
      <c r="B2182" s="125" t="s">
        <v>5876</v>
      </c>
      <c r="C2182" s="125">
        <v>282</v>
      </c>
      <c r="D2182" s="125" t="s">
        <v>5529</v>
      </c>
      <c r="E2182" s="125" t="s">
        <v>5341</v>
      </c>
      <c r="F2182" s="140" t="s">
        <v>5342</v>
      </c>
      <c r="G2182" s="125" t="s">
        <v>5297</v>
      </c>
      <c r="H2182" s="125" t="s">
        <v>6091</v>
      </c>
      <c r="I2182" s="125" t="s">
        <v>3487</v>
      </c>
    </row>
    <row r="2183" spans="1:9" x14ac:dyDescent="0.25">
      <c r="A2183" s="125" t="s">
        <v>3318</v>
      </c>
      <c r="B2183" s="125" t="s">
        <v>5561</v>
      </c>
      <c r="C2183" s="125">
        <v>231</v>
      </c>
      <c r="D2183" s="125" t="s">
        <v>5562</v>
      </c>
      <c r="E2183" s="125" t="s">
        <v>5341</v>
      </c>
      <c r="F2183" s="140" t="s">
        <v>5342</v>
      </c>
      <c r="G2183" s="125" t="s">
        <v>5297</v>
      </c>
      <c r="H2183" s="125" t="s">
        <v>1065</v>
      </c>
      <c r="I2183" s="125" t="s">
        <v>5563</v>
      </c>
    </row>
    <row r="2184" spans="1:9" x14ac:dyDescent="0.25">
      <c r="A2184" s="125" t="s">
        <v>1594</v>
      </c>
      <c r="B2184" s="125" t="s">
        <v>5561</v>
      </c>
      <c r="C2184" s="125">
        <v>231</v>
      </c>
      <c r="D2184" s="125" t="s">
        <v>5562</v>
      </c>
      <c r="E2184" s="125" t="s">
        <v>5341</v>
      </c>
      <c r="F2184" s="140" t="s">
        <v>5342</v>
      </c>
      <c r="G2184" s="125" t="s">
        <v>5297</v>
      </c>
      <c r="H2184" s="125" t="s">
        <v>1065</v>
      </c>
      <c r="I2184" s="125" t="s">
        <v>5563</v>
      </c>
    </row>
    <row r="2185" spans="1:9" x14ac:dyDescent="0.25">
      <c r="A2185" s="125" t="s">
        <v>1319</v>
      </c>
      <c r="B2185" s="125" t="s">
        <v>5561</v>
      </c>
      <c r="C2185" s="125">
        <v>231</v>
      </c>
      <c r="D2185" s="125" t="s">
        <v>5562</v>
      </c>
      <c r="E2185" s="125" t="s">
        <v>5341</v>
      </c>
      <c r="F2185" s="140" t="s">
        <v>5342</v>
      </c>
      <c r="G2185" s="125" t="s">
        <v>5297</v>
      </c>
      <c r="H2185" s="125" t="s">
        <v>1318</v>
      </c>
      <c r="I2185" s="125" t="s">
        <v>5563</v>
      </c>
    </row>
    <row r="2186" spans="1:9" x14ac:dyDescent="0.25">
      <c r="A2186" s="125" t="s">
        <v>2489</v>
      </c>
      <c r="B2186" s="125" t="s">
        <v>5561</v>
      </c>
      <c r="C2186" s="125">
        <v>231</v>
      </c>
      <c r="D2186" s="125" t="s">
        <v>5562</v>
      </c>
      <c r="E2186" s="125" t="s">
        <v>5341</v>
      </c>
      <c r="F2186" s="140" t="s">
        <v>5342</v>
      </c>
      <c r="G2186" s="125" t="s">
        <v>5297</v>
      </c>
      <c r="H2186" s="125" t="s">
        <v>1318</v>
      </c>
      <c r="I2186" s="125" t="s">
        <v>5563</v>
      </c>
    </row>
    <row r="2187" spans="1:9" x14ac:dyDescent="0.25">
      <c r="A2187" s="125" t="s">
        <v>2223</v>
      </c>
      <c r="B2187" s="125" t="s">
        <v>5561</v>
      </c>
      <c r="C2187" s="125">
        <v>231</v>
      </c>
      <c r="D2187" s="125" t="s">
        <v>5562</v>
      </c>
      <c r="E2187" s="125" t="s">
        <v>5341</v>
      </c>
      <c r="F2187" s="140" t="s">
        <v>5342</v>
      </c>
      <c r="G2187" s="125" t="s">
        <v>5297</v>
      </c>
      <c r="H2187" s="125" t="s">
        <v>1318</v>
      </c>
      <c r="I2187" s="125" t="s">
        <v>5563</v>
      </c>
    </row>
    <row r="2188" spans="1:9" x14ac:dyDescent="0.25">
      <c r="A2188" s="125" t="s">
        <v>1885</v>
      </c>
      <c r="B2188" s="125" t="s">
        <v>5561</v>
      </c>
      <c r="C2188" s="125">
        <v>231</v>
      </c>
      <c r="D2188" s="125" t="s">
        <v>5562</v>
      </c>
      <c r="E2188" s="125" t="s">
        <v>5341</v>
      </c>
      <c r="F2188" s="140" t="s">
        <v>5342</v>
      </c>
      <c r="G2188" s="125" t="s">
        <v>5297</v>
      </c>
      <c r="H2188" s="125" t="s">
        <v>1944</v>
      </c>
      <c r="I2188" s="125" t="s">
        <v>5563</v>
      </c>
    </row>
    <row r="2189" spans="1:9" x14ac:dyDescent="0.25">
      <c r="A2189" s="125" t="s">
        <v>2603</v>
      </c>
      <c r="B2189" s="125" t="s">
        <v>5561</v>
      </c>
      <c r="C2189" s="125">
        <v>231</v>
      </c>
      <c r="D2189" s="125" t="s">
        <v>5562</v>
      </c>
      <c r="E2189" s="125" t="s">
        <v>5341</v>
      </c>
      <c r="F2189" s="140" t="s">
        <v>5342</v>
      </c>
      <c r="G2189" s="125" t="s">
        <v>5297</v>
      </c>
      <c r="H2189" s="125" t="s">
        <v>1612</v>
      </c>
      <c r="I2189" s="125" t="s">
        <v>5563</v>
      </c>
    </row>
    <row r="2190" spans="1:9" x14ac:dyDescent="0.25">
      <c r="A2190" s="125" t="s">
        <v>3285</v>
      </c>
      <c r="B2190" s="125" t="s">
        <v>5561</v>
      </c>
      <c r="C2190" s="125">
        <v>231</v>
      </c>
      <c r="D2190" s="125" t="s">
        <v>5562</v>
      </c>
      <c r="E2190" s="125" t="s">
        <v>5341</v>
      </c>
      <c r="F2190" s="140" t="s">
        <v>5342</v>
      </c>
      <c r="G2190" s="125" t="s">
        <v>5297</v>
      </c>
      <c r="H2190" s="125" t="s">
        <v>1318</v>
      </c>
      <c r="I2190" s="125" t="s">
        <v>5563</v>
      </c>
    </row>
    <row r="2191" spans="1:9" x14ac:dyDescent="0.25">
      <c r="A2191" s="125" t="s">
        <v>1781</v>
      </c>
      <c r="B2191" s="125" t="s">
        <v>5561</v>
      </c>
      <c r="C2191" s="125">
        <v>231</v>
      </c>
      <c r="D2191" s="125" t="s">
        <v>5562</v>
      </c>
      <c r="E2191" s="125" t="s">
        <v>5341</v>
      </c>
      <c r="F2191" s="140" t="s">
        <v>5342</v>
      </c>
      <c r="G2191" s="125" t="s">
        <v>5297</v>
      </c>
      <c r="H2191" s="125" t="s">
        <v>1318</v>
      </c>
      <c r="I2191" s="125" t="s">
        <v>5563</v>
      </c>
    </row>
    <row r="2192" spans="1:9" x14ac:dyDescent="0.25">
      <c r="A2192" s="125" t="s">
        <v>3413</v>
      </c>
      <c r="B2192" s="125" t="s">
        <v>5561</v>
      </c>
      <c r="C2192" s="125">
        <v>231</v>
      </c>
      <c r="D2192" s="125" t="s">
        <v>5562</v>
      </c>
      <c r="E2192" s="125" t="s">
        <v>5341</v>
      </c>
      <c r="F2192" s="140" t="s">
        <v>5342</v>
      </c>
      <c r="G2192" s="125" t="s">
        <v>5297</v>
      </c>
      <c r="H2192" s="125" t="s">
        <v>1065</v>
      </c>
      <c r="I2192" s="125" t="s">
        <v>5563</v>
      </c>
    </row>
    <row r="2193" spans="1:9" x14ac:dyDescent="0.25">
      <c r="A2193" s="125" t="s">
        <v>2966</v>
      </c>
      <c r="B2193" s="125" t="s">
        <v>5561</v>
      </c>
      <c r="C2193" s="125">
        <v>231</v>
      </c>
      <c r="D2193" s="125" t="s">
        <v>5562</v>
      </c>
      <c r="E2193" s="125" t="s">
        <v>5341</v>
      </c>
      <c r="F2193" s="140" t="s">
        <v>5342</v>
      </c>
      <c r="G2193" s="125" t="s">
        <v>5297</v>
      </c>
      <c r="H2193" s="125" t="s">
        <v>1944</v>
      </c>
      <c r="I2193" s="125" t="s">
        <v>5563</v>
      </c>
    </row>
    <row r="2194" spans="1:9" x14ac:dyDescent="0.25">
      <c r="A2194" s="125" t="s">
        <v>3142</v>
      </c>
      <c r="B2194" s="125" t="s">
        <v>5561</v>
      </c>
      <c r="C2194" s="125">
        <v>231</v>
      </c>
      <c r="D2194" s="125" t="s">
        <v>5562</v>
      </c>
      <c r="E2194" s="125" t="s">
        <v>5341</v>
      </c>
      <c r="F2194" s="140" t="s">
        <v>5342</v>
      </c>
      <c r="G2194" s="125" t="s">
        <v>5297</v>
      </c>
      <c r="H2194" s="125" t="s">
        <v>1944</v>
      </c>
      <c r="I2194" s="125" t="s">
        <v>5563</v>
      </c>
    </row>
    <row r="2195" spans="1:9" x14ac:dyDescent="0.25">
      <c r="A2195" s="125" t="s">
        <v>3215</v>
      </c>
      <c r="B2195" s="125" t="s">
        <v>5561</v>
      </c>
      <c r="C2195" s="125">
        <v>231</v>
      </c>
      <c r="D2195" s="125" t="s">
        <v>5562</v>
      </c>
      <c r="E2195" s="125" t="s">
        <v>5341</v>
      </c>
      <c r="F2195" s="140" t="s">
        <v>5342</v>
      </c>
      <c r="G2195" s="125" t="s">
        <v>5297</v>
      </c>
      <c r="H2195" s="125" t="s">
        <v>1944</v>
      </c>
      <c r="I2195" s="125" t="s">
        <v>5563</v>
      </c>
    </row>
    <row r="2196" spans="1:9" x14ac:dyDescent="0.25">
      <c r="A2196" s="125" t="s">
        <v>1966</v>
      </c>
      <c r="B2196" s="125" t="s">
        <v>5561</v>
      </c>
      <c r="C2196" s="125">
        <v>231</v>
      </c>
      <c r="D2196" s="125" t="s">
        <v>5562</v>
      </c>
      <c r="E2196" s="125" t="s">
        <v>5341</v>
      </c>
      <c r="F2196" s="140" t="s">
        <v>5342</v>
      </c>
      <c r="G2196" s="125" t="s">
        <v>5297</v>
      </c>
      <c r="H2196" s="125" t="s">
        <v>1944</v>
      </c>
      <c r="I2196" s="125" t="s">
        <v>5563</v>
      </c>
    </row>
    <row r="2197" spans="1:9" x14ac:dyDescent="0.25">
      <c r="A2197" s="125" t="s">
        <v>1945</v>
      </c>
      <c r="B2197" s="125" t="s">
        <v>5561</v>
      </c>
      <c r="C2197" s="125">
        <v>231</v>
      </c>
      <c r="D2197" s="125" t="s">
        <v>5562</v>
      </c>
      <c r="E2197" s="125" t="s">
        <v>5341</v>
      </c>
      <c r="F2197" s="140" t="s">
        <v>5342</v>
      </c>
      <c r="G2197" s="125" t="s">
        <v>5297</v>
      </c>
      <c r="H2197" s="125" t="s">
        <v>1944</v>
      </c>
      <c r="I2197" s="125" t="s">
        <v>5563</v>
      </c>
    </row>
    <row r="2198" spans="1:9" x14ac:dyDescent="0.25">
      <c r="A2198" s="125" t="s">
        <v>2278</v>
      </c>
      <c r="B2198" s="125" t="s">
        <v>5561</v>
      </c>
      <c r="C2198" s="125">
        <v>231</v>
      </c>
      <c r="D2198" s="125" t="s">
        <v>5562</v>
      </c>
      <c r="E2198" s="125" t="s">
        <v>5341</v>
      </c>
      <c r="F2198" s="140" t="s">
        <v>5342</v>
      </c>
      <c r="G2198" s="125" t="s">
        <v>5297</v>
      </c>
      <c r="H2198" s="125" t="s">
        <v>1944</v>
      </c>
      <c r="I2198" s="125" t="s">
        <v>5563</v>
      </c>
    </row>
    <row r="2199" spans="1:9" x14ac:dyDescent="0.25">
      <c r="A2199" s="125" t="s">
        <v>2612</v>
      </c>
      <c r="B2199" s="125" t="s">
        <v>5561</v>
      </c>
      <c r="C2199" s="125">
        <v>231</v>
      </c>
      <c r="D2199" s="125" t="s">
        <v>5562</v>
      </c>
      <c r="E2199" s="125" t="s">
        <v>5341</v>
      </c>
      <c r="F2199" s="140" t="s">
        <v>5342</v>
      </c>
      <c r="G2199" s="125" t="s">
        <v>5297</v>
      </c>
      <c r="H2199" s="125" t="s">
        <v>1065</v>
      </c>
      <c r="I2199" s="125" t="s">
        <v>5563</v>
      </c>
    </row>
    <row r="2200" spans="1:9" x14ac:dyDescent="0.25">
      <c r="A2200" s="125" t="s">
        <v>1187</v>
      </c>
      <c r="B2200" s="125" t="s">
        <v>5561</v>
      </c>
      <c r="C2200" s="125">
        <v>231</v>
      </c>
      <c r="D2200" s="125" t="s">
        <v>5562</v>
      </c>
      <c r="E2200" s="125" t="s">
        <v>5341</v>
      </c>
      <c r="F2200" s="140" t="s">
        <v>5342</v>
      </c>
      <c r="G2200" s="125" t="s">
        <v>5297</v>
      </c>
      <c r="H2200" s="125" t="s">
        <v>5564</v>
      </c>
      <c r="I2200" s="125" t="s">
        <v>5565</v>
      </c>
    </row>
    <row r="2201" spans="1:9" x14ac:dyDescent="0.25">
      <c r="A2201" s="125" t="s">
        <v>2272</v>
      </c>
      <c r="B2201" s="125" t="s">
        <v>5561</v>
      </c>
      <c r="C2201" s="125">
        <v>231</v>
      </c>
      <c r="D2201" s="125" t="s">
        <v>5562</v>
      </c>
      <c r="E2201" s="125" t="s">
        <v>5341</v>
      </c>
      <c r="F2201" s="140" t="s">
        <v>5342</v>
      </c>
      <c r="G2201" s="125" t="s">
        <v>5297</v>
      </c>
      <c r="H2201" s="125" t="s">
        <v>5564</v>
      </c>
      <c r="I2201" s="125" t="s">
        <v>5565</v>
      </c>
    </row>
    <row r="2202" spans="1:9" x14ac:dyDescent="0.25">
      <c r="A2202" s="125" t="s">
        <v>2359</v>
      </c>
      <c r="B2202" s="125" t="s">
        <v>5561</v>
      </c>
      <c r="C2202" s="125">
        <v>231</v>
      </c>
      <c r="D2202" s="125" t="s">
        <v>5562</v>
      </c>
      <c r="E2202" s="125" t="s">
        <v>5341</v>
      </c>
      <c r="F2202" s="140" t="s">
        <v>5342</v>
      </c>
      <c r="G2202" s="125" t="s">
        <v>5297</v>
      </c>
      <c r="H2202" s="125" t="s">
        <v>1065</v>
      </c>
      <c r="I2202" s="125" t="s">
        <v>5563</v>
      </c>
    </row>
    <row r="2203" spans="1:9" x14ac:dyDescent="0.25">
      <c r="A2203" s="125" t="s">
        <v>2105</v>
      </c>
      <c r="B2203" s="125" t="s">
        <v>5327</v>
      </c>
      <c r="C2203" s="125">
        <v>227</v>
      </c>
      <c r="D2203" s="125" t="s">
        <v>6093</v>
      </c>
      <c r="E2203" s="125" t="s">
        <v>5303</v>
      </c>
      <c r="F2203" s="125" t="s">
        <v>5304</v>
      </c>
      <c r="G2203" s="125" t="s">
        <v>5297</v>
      </c>
      <c r="H2203" s="125" t="s">
        <v>1398</v>
      </c>
      <c r="I2203" s="125" t="s">
        <v>6094</v>
      </c>
    </row>
    <row r="2204" spans="1:9" x14ac:dyDescent="0.25">
      <c r="A2204" s="125" t="s">
        <v>3080</v>
      </c>
      <c r="B2204" s="125" t="s">
        <v>5327</v>
      </c>
      <c r="C2204" s="125">
        <v>227</v>
      </c>
      <c r="D2204" s="125" t="s">
        <v>6093</v>
      </c>
      <c r="E2204" s="125" t="s">
        <v>5303</v>
      </c>
      <c r="F2204" s="125" t="s">
        <v>5304</v>
      </c>
      <c r="G2204" s="125" t="s">
        <v>5297</v>
      </c>
      <c r="H2204" s="125" t="s">
        <v>1092</v>
      </c>
      <c r="I2204" s="125" t="s">
        <v>1092</v>
      </c>
    </row>
    <row r="2205" spans="1:9" x14ac:dyDescent="0.25">
      <c r="A2205" s="125" t="s">
        <v>2931</v>
      </c>
      <c r="B2205" s="125" t="s">
        <v>5327</v>
      </c>
      <c r="C2205" s="125">
        <v>227</v>
      </c>
      <c r="D2205" s="125" t="s">
        <v>6093</v>
      </c>
      <c r="E2205" s="125" t="s">
        <v>5303</v>
      </c>
      <c r="F2205" s="125" t="s">
        <v>5304</v>
      </c>
      <c r="G2205" s="125" t="s">
        <v>5297</v>
      </c>
      <c r="H2205" s="125" t="s">
        <v>1092</v>
      </c>
      <c r="I2205" s="125" t="s">
        <v>1092</v>
      </c>
    </row>
    <row r="2206" spans="1:9" x14ac:dyDescent="0.25">
      <c r="A2206" s="125" t="s">
        <v>3392</v>
      </c>
      <c r="B2206" s="125" t="s">
        <v>5327</v>
      </c>
      <c r="C2206" s="125">
        <v>227</v>
      </c>
      <c r="D2206" s="125" t="s">
        <v>6093</v>
      </c>
      <c r="E2206" s="125" t="s">
        <v>5303</v>
      </c>
      <c r="F2206" s="125" t="s">
        <v>5304</v>
      </c>
      <c r="G2206" s="125" t="s">
        <v>5297</v>
      </c>
      <c r="H2206" s="125" t="s">
        <v>1092</v>
      </c>
      <c r="I2206" s="125" t="s">
        <v>1092</v>
      </c>
    </row>
    <row r="2207" spans="1:9" x14ac:dyDescent="0.25">
      <c r="A2207" s="125" t="s">
        <v>3167</v>
      </c>
      <c r="B2207" s="125" t="s">
        <v>5327</v>
      </c>
      <c r="C2207" s="125">
        <v>227</v>
      </c>
      <c r="D2207" s="125" t="s">
        <v>6093</v>
      </c>
      <c r="E2207" s="125" t="s">
        <v>5303</v>
      </c>
      <c r="F2207" s="125" t="s">
        <v>5304</v>
      </c>
      <c r="G2207" s="125" t="s">
        <v>5297</v>
      </c>
      <c r="H2207" s="125" t="s">
        <v>1092</v>
      </c>
      <c r="I2207" s="125" t="s">
        <v>1092</v>
      </c>
    </row>
    <row r="2208" spans="1:9" x14ac:dyDescent="0.25">
      <c r="A2208" s="125" t="s">
        <v>3072</v>
      </c>
      <c r="B2208" s="125" t="s">
        <v>5327</v>
      </c>
      <c r="C2208" s="125">
        <v>227</v>
      </c>
      <c r="D2208" s="125" t="s">
        <v>6093</v>
      </c>
      <c r="E2208" s="125" t="s">
        <v>5303</v>
      </c>
      <c r="F2208" s="125" t="s">
        <v>5304</v>
      </c>
      <c r="G2208" s="125" t="s">
        <v>5297</v>
      </c>
      <c r="H2208" s="125" t="s">
        <v>1092</v>
      </c>
      <c r="I2208" s="125" t="s">
        <v>1092</v>
      </c>
    </row>
    <row r="2209" spans="1:9" x14ac:dyDescent="0.25">
      <c r="A2209" s="125" t="s">
        <v>1481</v>
      </c>
      <c r="B2209" s="125" t="s">
        <v>5327</v>
      </c>
      <c r="C2209" s="125">
        <v>227</v>
      </c>
      <c r="D2209" s="125" t="s">
        <v>6093</v>
      </c>
      <c r="E2209" s="125" t="s">
        <v>5303</v>
      </c>
      <c r="F2209" s="125" t="s">
        <v>5304</v>
      </c>
      <c r="G2209" s="125" t="s">
        <v>5297</v>
      </c>
      <c r="H2209" s="125" t="s">
        <v>6095</v>
      </c>
      <c r="I2209" s="125" t="s">
        <v>6095</v>
      </c>
    </row>
    <row r="2210" spans="1:9" x14ac:dyDescent="0.25">
      <c r="A2210" s="125" t="s">
        <v>2026</v>
      </c>
      <c r="B2210" s="125" t="s">
        <v>5327</v>
      </c>
      <c r="C2210" s="125">
        <v>227</v>
      </c>
      <c r="D2210" s="125" t="s">
        <v>6093</v>
      </c>
      <c r="E2210" s="125" t="s">
        <v>5303</v>
      </c>
      <c r="F2210" s="125" t="s">
        <v>5304</v>
      </c>
      <c r="G2210" s="125" t="s">
        <v>5297</v>
      </c>
      <c r="H2210" s="125" t="s">
        <v>1092</v>
      </c>
      <c r="I2210" s="125" t="s">
        <v>1092</v>
      </c>
    </row>
    <row r="2211" spans="1:9" x14ac:dyDescent="0.25">
      <c r="A2211" s="125" t="s">
        <v>3206</v>
      </c>
      <c r="B2211" s="125" t="s">
        <v>5327</v>
      </c>
      <c r="C2211" s="125">
        <v>227</v>
      </c>
      <c r="D2211" s="125" t="s">
        <v>6093</v>
      </c>
      <c r="E2211" s="125" t="s">
        <v>5303</v>
      </c>
      <c r="F2211" s="125" t="s">
        <v>5304</v>
      </c>
      <c r="G2211" s="125" t="s">
        <v>5297</v>
      </c>
      <c r="H2211" s="125" t="s">
        <v>1092</v>
      </c>
      <c r="I2211" s="125" t="s">
        <v>1092</v>
      </c>
    </row>
    <row r="2212" spans="1:9" x14ac:dyDescent="0.25">
      <c r="A2212" s="125" t="s">
        <v>2541</v>
      </c>
      <c r="B2212" s="125" t="s">
        <v>5327</v>
      </c>
      <c r="C2212" s="125">
        <v>227</v>
      </c>
      <c r="D2212" s="125" t="s">
        <v>6093</v>
      </c>
      <c r="E2212" s="125" t="s">
        <v>5303</v>
      </c>
      <c r="F2212" s="125" t="s">
        <v>5304</v>
      </c>
      <c r="G2212" s="125" t="s">
        <v>5297</v>
      </c>
      <c r="H2212" s="125" t="s">
        <v>1092</v>
      </c>
      <c r="I2212" s="125" t="s">
        <v>1092</v>
      </c>
    </row>
    <row r="2213" spans="1:9" x14ac:dyDescent="0.25">
      <c r="A2213" s="125" t="s">
        <v>1897</v>
      </c>
      <c r="B2213" s="125" t="s">
        <v>5327</v>
      </c>
      <c r="C2213" s="125">
        <v>227</v>
      </c>
      <c r="D2213" s="125" t="s">
        <v>6093</v>
      </c>
      <c r="E2213" s="125" t="s">
        <v>5303</v>
      </c>
      <c r="F2213" s="125" t="s">
        <v>5304</v>
      </c>
      <c r="G2213" s="125" t="s">
        <v>5297</v>
      </c>
      <c r="H2213" s="125" t="s">
        <v>1092</v>
      </c>
      <c r="I2213" s="125" t="s">
        <v>1092</v>
      </c>
    </row>
    <row r="2214" spans="1:9" x14ac:dyDescent="0.25">
      <c r="A2214" s="125" t="s">
        <v>6096</v>
      </c>
      <c r="B2214" s="125" t="s">
        <v>5327</v>
      </c>
      <c r="C2214" s="125">
        <v>227</v>
      </c>
      <c r="D2214" s="125" t="s">
        <v>6093</v>
      </c>
      <c r="E2214" s="125" t="s">
        <v>5303</v>
      </c>
      <c r="F2214" s="125" t="s">
        <v>5304</v>
      </c>
      <c r="G2214" s="125" t="s">
        <v>5297</v>
      </c>
      <c r="H2214" s="125" t="s">
        <v>1398</v>
      </c>
      <c r="I2214" s="125" t="s">
        <v>6094</v>
      </c>
    </row>
    <row r="2215" spans="1:9" x14ac:dyDescent="0.25">
      <c r="A2215" s="125" t="s">
        <v>6097</v>
      </c>
      <c r="B2215" s="125" t="s">
        <v>5327</v>
      </c>
      <c r="C2215" s="125">
        <v>227</v>
      </c>
      <c r="D2215" s="125" t="s">
        <v>6093</v>
      </c>
      <c r="E2215" s="125" t="s">
        <v>5303</v>
      </c>
      <c r="F2215" s="125" t="s">
        <v>5304</v>
      </c>
      <c r="G2215" s="125" t="s">
        <v>5297</v>
      </c>
      <c r="H2215" s="125" t="s">
        <v>1092</v>
      </c>
      <c r="I2215" s="125" t="s">
        <v>1092</v>
      </c>
    </row>
    <row r="2216" spans="1:9" x14ac:dyDescent="0.25">
      <c r="A2216" s="125" t="s">
        <v>2613</v>
      </c>
      <c r="B2216" s="125" t="s">
        <v>5327</v>
      </c>
      <c r="C2216" s="125">
        <v>227</v>
      </c>
      <c r="D2216" s="125" t="s">
        <v>6093</v>
      </c>
      <c r="E2216" s="125" t="s">
        <v>5303</v>
      </c>
      <c r="F2216" s="125" t="s">
        <v>5304</v>
      </c>
      <c r="G2216" s="125" t="s">
        <v>5297</v>
      </c>
      <c r="H2216" s="125" t="s">
        <v>1398</v>
      </c>
      <c r="I2216" s="125" t="s">
        <v>6094</v>
      </c>
    </row>
    <row r="2217" spans="1:9" x14ac:dyDescent="0.25">
      <c r="A2217" s="125" t="s">
        <v>1228</v>
      </c>
      <c r="B2217" s="125" t="s">
        <v>5327</v>
      </c>
      <c r="C2217" s="125">
        <v>227</v>
      </c>
      <c r="D2217" s="125" t="s">
        <v>6093</v>
      </c>
      <c r="E2217" s="125" t="s">
        <v>5303</v>
      </c>
      <c r="F2217" s="125" t="s">
        <v>5304</v>
      </c>
      <c r="G2217" s="125" t="s">
        <v>5297</v>
      </c>
      <c r="H2217" s="125" t="s">
        <v>1092</v>
      </c>
      <c r="I2217" s="125" t="s">
        <v>1092</v>
      </c>
    </row>
    <row r="2218" spans="1:9" x14ac:dyDescent="0.25">
      <c r="A2218" s="125" t="s">
        <v>3507</v>
      </c>
      <c r="B2218" s="125" t="s">
        <v>5327</v>
      </c>
      <c r="C2218" s="125">
        <v>227</v>
      </c>
      <c r="D2218" s="125" t="s">
        <v>6093</v>
      </c>
      <c r="E2218" s="125" t="s">
        <v>5303</v>
      </c>
      <c r="F2218" s="125" t="s">
        <v>5304</v>
      </c>
      <c r="G2218" s="125" t="s">
        <v>5297</v>
      </c>
      <c r="H2218" s="125" t="s">
        <v>1092</v>
      </c>
      <c r="I2218" s="125" t="s">
        <v>1092</v>
      </c>
    </row>
    <row r="2219" spans="1:9" x14ac:dyDescent="0.25">
      <c r="A2219" s="125" t="s">
        <v>2298</v>
      </c>
      <c r="B2219" s="125" t="s">
        <v>5327</v>
      </c>
      <c r="C2219" s="125">
        <v>227</v>
      </c>
      <c r="D2219" s="125" t="s">
        <v>6093</v>
      </c>
      <c r="E2219" s="125" t="s">
        <v>5303</v>
      </c>
      <c r="F2219" s="125" t="s">
        <v>5304</v>
      </c>
      <c r="G2219" s="125" t="s">
        <v>5297</v>
      </c>
      <c r="H2219" s="125" t="s">
        <v>1092</v>
      </c>
      <c r="I2219" s="125" t="s">
        <v>1092</v>
      </c>
    </row>
    <row r="2220" spans="1:9" x14ac:dyDescent="0.25">
      <c r="A2220" s="125" t="s">
        <v>3205</v>
      </c>
      <c r="B2220" s="125" t="s">
        <v>5327</v>
      </c>
      <c r="C2220" s="125">
        <v>227</v>
      </c>
      <c r="D2220" s="125" t="s">
        <v>6093</v>
      </c>
      <c r="E2220" s="125" t="s">
        <v>5303</v>
      </c>
      <c r="F2220" s="125" t="s">
        <v>5304</v>
      </c>
      <c r="G2220" s="125" t="s">
        <v>5297</v>
      </c>
      <c r="H2220" s="125" t="s">
        <v>1092</v>
      </c>
      <c r="I2220" s="125" t="s">
        <v>1092</v>
      </c>
    </row>
    <row r="2221" spans="1:9" x14ac:dyDescent="0.25">
      <c r="A2221" s="125" t="s">
        <v>6098</v>
      </c>
      <c r="B2221" s="125" t="s">
        <v>5327</v>
      </c>
      <c r="C2221" s="125">
        <v>227</v>
      </c>
      <c r="D2221" s="125" t="s">
        <v>6093</v>
      </c>
      <c r="E2221" s="125" t="s">
        <v>5303</v>
      </c>
      <c r="F2221" s="125" t="s">
        <v>5304</v>
      </c>
      <c r="G2221" s="125" t="s">
        <v>5297</v>
      </c>
      <c r="H2221" s="125" t="s">
        <v>1092</v>
      </c>
      <c r="I2221" s="125" t="s">
        <v>1092</v>
      </c>
    </row>
    <row r="2222" spans="1:9" x14ac:dyDescent="0.25">
      <c r="A2222" s="125" t="s">
        <v>6099</v>
      </c>
      <c r="B2222" s="125" t="s">
        <v>5327</v>
      </c>
      <c r="C2222" s="125">
        <v>227</v>
      </c>
      <c r="D2222" s="125" t="s">
        <v>6093</v>
      </c>
      <c r="E2222" s="125" t="s">
        <v>5303</v>
      </c>
      <c r="F2222" s="125" t="s">
        <v>5304</v>
      </c>
      <c r="G2222" s="125" t="s">
        <v>5297</v>
      </c>
      <c r="H2222" s="125" t="s">
        <v>1092</v>
      </c>
      <c r="I2222" s="125" t="s">
        <v>1092</v>
      </c>
    </row>
    <row r="2223" spans="1:9" x14ac:dyDescent="0.25">
      <c r="A2223" s="125" t="s">
        <v>6100</v>
      </c>
      <c r="B2223" s="125" t="s">
        <v>5327</v>
      </c>
      <c r="C2223" s="125">
        <v>227</v>
      </c>
      <c r="D2223" s="125" t="s">
        <v>6093</v>
      </c>
      <c r="E2223" s="125" t="s">
        <v>5303</v>
      </c>
      <c r="F2223" s="125" t="s">
        <v>5304</v>
      </c>
      <c r="G2223" s="125" t="s">
        <v>5297</v>
      </c>
      <c r="H2223" s="125" t="s">
        <v>1092</v>
      </c>
      <c r="I2223" s="125" t="s">
        <v>1092</v>
      </c>
    </row>
    <row r="2224" spans="1:9" x14ac:dyDescent="0.25">
      <c r="A2224" s="125" t="s">
        <v>3177</v>
      </c>
      <c r="B2224" s="125" t="s">
        <v>5327</v>
      </c>
      <c r="C2224" s="125">
        <v>227</v>
      </c>
      <c r="D2224" s="125" t="s">
        <v>6093</v>
      </c>
      <c r="E2224" s="125" t="s">
        <v>5303</v>
      </c>
      <c r="F2224" s="125" t="s">
        <v>5304</v>
      </c>
      <c r="G2224" s="125" t="s">
        <v>5297</v>
      </c>
      <c r="H2224" s="125" t="s">
        <v>1092</v>
      </c>
      <c r="I2224" s="125" t="s">
        <v>1092</v>
      </c>
    </row>
    <row r="2225" spans="1:9" x14ac:dyDescent="0.25">
      <c r="A2225" s="125" t="s">
        <v>6101</v>
      </c>
      <c r="B2225" s="125" t="s">
        <v>5327</v>
      </c>
      <c r="C2225" s="125">
        <v>227</v>
      </c>
      <c r="D2225" s="125" t="s">
        <v>6093</v>
      </c>
      <c r="E2225" s="125" t="s">
        <v>5303</v>
      </c>
      <c r="F2225" s="125" t="s">
        <v>5304</v>
      </c>
      <c r="G2225" s="125" t="s">
        <v>5297</v>
      </c>
      <c r="H2225" s="125" t="s">
        <v>1092</v>
      </c>
      <c r="I2225" s="125" t="s">
        <v>1092</v>
      </c>
    </row>
    <row r="2226" spans="1:9" x14ac:dyDescent="0.25">
      <c r="A2226" s="125" t="s">
        <v>2535</v>
      </c>
      <c r="B2226" s="125" t="s">
        <v>5327</v>
      </c>
      <c r="C2226" s="125">
        <v>227</v>
      </c>
      <c r="D2226" s="125" t="s">
        <v>6093</v>
      </c>
      <c r="E2226" s="125" t="s">
        <v>5303</v>
      </c>
      <c r="F2226" s="125" t="s">
        <v>5304</v>
      </c>
      <c r="G2226" s="125" t="s">
        <v>5297</v>
      </c>
      <c r="H2226" s="125" t="s">
        <v>6095</v>
      </c>
      <c r="I2226" s="125" t="s">
        <v>6095</v>
      </c>
    </row>
    <row r="2227" spans="1:9" x14ac:dyDescent="0.25">
      <c r="A2227" s="125" t="s">
        <v>6102</v>
      </c>
      <c r="B2227" s="125" t="s">
        <v>5327</v>
      </c>
      <c r="C2227" s="125">
        <v>227</v>
      </c>
      <c r="D2227" s="125" t="s">
        <v>6093</v>
      </c>
      <c r="E2227" s="125" t="s">
        <v>5303</v>
      </c>
      <c r="F2227" s="125" t="s">
        <v>5304</v>
      </c>
      <c r="G2227" s="125" t="s">
        <v>5297</v>
      </c>
      <c r="H2227" s="125" t="s">
        <v>1092</v>
      </c>
      <c r="I2227" s="125" t="s">
        <v>1092</v>
      </c>
    </row>
    <row r="2228" spans="1:9" x14ac:dyDescent="0.25">
      <c r="A2228" s="125" t="s">
        <v>6103</v>
      </c>
      <c r="B2228" s="125" t="s">
        <v>5327</v>
      </c>
      <c r="C2228" s="125">
        <v>227</v>
      </c>
      <c r="D2228" s="125" t="s">
        <v>6093</v>
      </c>
      <c r="E2228" s="125" t="s">
        <v>5303</v>
      </c>
      <c r="F2228" s="125" t="s">
        <v>5304</v>
      </c>
      <c r="G2228" s="125" t="s">
        <v>5297</v>
      </c>
      <c r="H2228" s="125" t="s">
        <v>1092</v>
      </c>
      <c r="I2228" s="125" t="s">
        <v>1092</v>
      </c>
    </row>
    <row r="2229" spans="1:9" x14ac:dyDescent="0.25">
      <c r="A2229" s="125" t="s">
        <v>6104</v>
      </c>
      <c r="B2229" s="125" t="s">
        <v>5327</v>
      </c>
      <c r="C2229" s="125">
        <v>227</v>
      </c>
      <c r="D2229" s="125" t="s">
        <v>6093</v>
      </c>
      <c r="E2229" s="125" t="s">
        <v>5303</v>
      </c>
      <c r="F2229" s="125" t="s">
        <v>5304</v>
      </c>
      <c r="G2229" s="125" t="s">
        <v>5297</v>
      </c>
      <c r="H2229" s="125" t="s">
        <v>1092</v>
      </c>
      <c r="I2229" s="125" t="s">
        <v>1092</v>
      </c>
    </row>
    <row r="2230" spans="1:9" x14ac:dyDescent="0.25">
      <c r="A2230" s="125" t="s">
        <v>1609</v>
      </c>
      <c r="B2230" s="125" t="s">
        <v>5327</v>
      </c>
      <c r="C2230" s="125">
        <v>227</v>
      </c>
      <c r="D2230" s="125" t="s">
        <v>6093</v>
      </c>
      <c r="E2230" s="125" t="s">
        <v>5303</v>
      </c>
      <c r="F2230" s="125" t="s">
        <v>5304</v>
      </c>
      <c r="G2230" s="125" t="s">
        <v>5297</v>
      </c>
      <c r="H2230" s="125" t="s">
        <v>1092</v>
      </c>
      <c r="I2230" s="125" t="s">
        <v>1092</v>
      </c>
    </row>
    <row r="2231" spans="1:9" x14ac:dyDescent="0.25">
      <c r="A2231" s="125" t="s">
        <v>3233</v>
      </c>
      <c r="B2231" s="125" t="s">
        <v>5327</v>
      </c>
      <c r="C2231" s="125">
        <v>227</v>
      </c>
      <c r="D2231" s="125" t="s">
        <v>6093</v>
      </c>
      <c r="E2231" s="125" t="s">
        <v>5303</v>
      </c>
      <c r="F2231" s="125" t="s">
        <v>5304</v>
      </c>
      <c r="G2231" s="125" t="s">
        <v>5297</v>
      </c>
      <c r="H2231" s="125" t="s">
        <v>1092</v>
      </c>
      <c r="I2231" s="125" t="s">
        <v>1092</v>
      </c>
    </row>
    <row r="2232" spans="1:9" x14ac:dyDescent="0.25">
      <c r="A2232" s="125" t="s">
        <v>6105</v>
      </c>
      <c r="B2232" s="125" t="s">
        <v>5327</v>
      </c>
      <c r="C2232" s="125">
        <v>227</v>
      </c>
      <c r="D2232" s="125" t="s">
        <v>6093</v>
      </c>
      <c r="E2232" s="125" t="s">
        <v>5303</v>
      </c>
      <c r="F2232" s="125" t="s">
        <v>5304</v>
      </c>
      <c r="G2232" s="125" t="s">
        <v>5297</v>
      </c>
      <c r="H2232" s="125" t="s">
        <v>1092</v>
      </c>
      <c r="I2232" s="125" t="s">
        <v>1092</v>
      </c>
    </row>
    <row r="2233" spans="1:9" x14ac:dyDescent="0.25">
      <c r="A2233" s="125" t="s">
        <v>3172</v>
      </c>
      <c r="B2233" s="125" t="s">
        <v>5327</v>
      </c>
      <c r="C2233" s="125">
        <v>227</v>
      </c>
      <c r="D2233" s="125" t="s">
        <v>6093</v>
      </c>
      <c r="E2233" s="125" t="s">
        <v>5303</v>
      </c>
      <c r="F2233" s="125" t="s">
        <v>5304</v>
      </c>
      <c r="G2233" s="125" t="s">
        <v>5297</v>
      </c>
      <c r="H2233" s="125" t="s">
        <v>1092</v>
      </c>
      <c r="I2233" s="125" t="s">
        <v>1092</v>
      </c>
    </row>
    <row r="2234" spans="1:9" x14ac:dyDescent="0.25">
      <c r="A2234" s="125" t="s">
        <v>6106</v>
      </c>
      <c r="B2234" s="125" t="s">
        <v>5327</v>
      </c>
      <c r="C2234" s="125">
        <v>227</v>
      </c>
      <c r="D2234" s="125" t="s">
        <v>6093</v>
      </c>
      <c r="E2234" s="125" t="s">
        <v>5303</v>
      </c>
      <c r="F2234" s="125" t="s">
        <v>5304</v>
      </c>
      <c r="G2234" s="125" t="s">
        <v>5297</v>
      </c>
      <c r="H2234" s="125" t="s">
        <v>1092</v>
      </c>
      <c r="I2234" s="125" t="s">
        <v>1092</v>
      </c>
    </row>
    <row r="2235" spans="1:9" x14ac:dyDescent="0.25">
      <c r="A2235" s="125" t="s">
        <v>3201</v>
      </c>
      <c r="B2235" s="125" t="s">
        <v>5327</v>
      </c>
      <c r="C2235" s="125">
        <v>227</v>
      </c>
      <c r="D2235" s="125" t="s">
        <v>6093</v>
      </c>
      <c r="E2235" s="125" t="s">
        <v>5303</v>
      </c>
      <c r="F2235" s="125" t="s">
        <v>5304</v>
      </c>
      <c r="G2235" s="125" t="s">
        <v>5297</v>
      </c>
      <c r="H2235" s="125" t="s">
        <v>1092</v>
      </c>
      <c r="I2235" s="125" t="s">
        <v>1092</v>
      </c>
    </row>
    <row r="2236" spans="1:9" x14ac:dyDescent="0.25">
      <c r="A2236" s="125" t="s">
        <v>1399</v>
      </c>
      <c r="B2236" s="125" t="s">
        <v>5327</v>
      </c>
      <c r="C2236" s="125">
        <v>227</v>
      </c>
      <c r="D2236" s="125" t="s">
        <v>6093</v>
      </c>
      <c r="E2236" s="125" t="s">
        <v>5303</v>
      </c>
      <c r="F2236" s="125" t="s">
        <v>5304</v>
      </c>
      <c r="G2236" s="125" t="s">
        <v>5297</v>
      </c>
      <c r="H2236" s="125" t="s">
        <v>1398</v>
      </c>
      <c r="I2236" s="125" t="s">
        <v>6094</v>
      </c>
    </row>
    <row r="2237" spans="1:9" x14ac:dyDescent="0.25">
      <c r="A2237" s="125" t="s">
        <v>1968</v>
      </c>
      <c r="B2237" s="125" t="s">
        <v>5327</v>
      </c>
      <c r="C2237" s="125">
        <v>227</v>
      </c>
      <c r="D2237" s="125" t="s">
        <v>6093</v>
      </c>
      <c r="E2237" s="125" t="s">
        <v>5303</v>
      </c>
      <c r="F2237" s="125" t="s">
        <v>5304</v>
      </c>
      <c r="G2237" s="125" t="s">
        <v>5297</v>
      </c>
      <c r="H2237" s="125" t="s">
        <v>1398</v>
      </c>
      <c r="I2237" s="125" t="s">
        <v>6094</v>
      </c>
    </row>
    <row r="2238" spans="1:9" x14ac:dyDescent="0.25">
      <c r="A2238" s="125" t="s">
        <v>3483</v>
      </c>
      <c r="B2238" s="125" t="s">
        <v>5327</v>
      </c>
      <c r="C2238" s="125">
        <v>227</v>
      </c>
      <c r="D2238" s="125" t="s">
        <v>6093</v>
      </c>
      <c r="E2238" s="125" t="s">
        <v>5303</v>
      </c>
      <c r="F2238" s="125" t="s">
        <v>5304</v>
      </c>
      <c r="G2238" s="125" t="s">
        <v>5297</v>
      </c>
      <c r="H2238" s="125" t="s">
        <v>1092</v>
      </c>
      <c r="I2238" s="125" t="s">
        <v>1092</v>
      </c>
    </row>
    <row r="2239" spans="1:9" x14ac:dyDescent="0.25">
      <c r="A2239" s="125" t="s">
        <v>2509</v>
      </c>
      <c r="B2239" s="125" t="s">
        <v>5327</v>
      </c>
      <c r="C2239" s="125">
        <v>227</v>
      </c>
      <c r="D2239" s="125" t="s">
        <v>6093</v>
      </c>
      <c r="E2239" s="125" t="s">
        <v>5303</v>
      </c>
      <c r="F2239" s="125" t="s">
        <v>5304</v>
      </c>
      <c r="G2239" s="125" t="s">
        <v>5297</v>
      </c>
      <c r="H2239" s="125" t="s">
        <v>1092</v>
      </c>
      <c r="I2239" s="125" t="s">
        <v>1092</v>
      </c>
    </row>
    <row r="2240" spans="1:9" x14ac:dyDescent="0.25">
      <c r="A2240" s="125" t="s">
        <v>6107</v>
      </c>
      <c r="B2240" s="125" t="s">
        <v>5327</v>
      </c>
      <c r="C2240" s="125">
        <v>227</v>
      </c>
      <c r="D2240" s="125" t="s">
        <v>6093</v>
      </c>
      <c r="E2240" s="125" t="s">
        <v>5303</v>
      </c>
      <c r="F2240" s="125" t="s">
        <v>5304</v>
      </c>
      <c r="G2240" s="125" t="s">
        <v>5297</v>
      </c>
      <c r="H2240" s="125" t="s">
        <v>1092</v>
      </c>
      <c r="I2240" s="125" t="s">
        <v>1092</v>
      </c>
    </row>
    <row r="2241" spans="1:9" x14ac:dyDescent="0.25">
      <c r="A2241" s="125" t="s">
        <v>6108</v>
      </c>
      <c r="B2241" s="125" t="s">
        <v>5327</v>
      </c>
      <c r="C2241" s="125">
        <v>227</v>
      </c>
      <c r="D2241" s="125" t="s">
        <v>6093</v>
      </c>
      <c r="E2241" s="125" t="s">
        <v>5303</v>
      </c>
      <c r="F2241" s="125" t="s">
        <v>5304</v>
      </c>
      <c r="G2241" s="125" t="s">
        <v>5297</v>
      </c>
      <c r="H2241" s="125" t="s">
        <v>1092</v>
      </c>
      <c r="I2241" s="125" t="s">
        <v>1092</v>
      </c>
    </row>
    <row r="2242" spans="1:9" x14ac:dyDescent="0.25">
      <c r="A2242" s="125" t="s">
        <v>2189</v>
      </c>
      <c r="B2242" s="125" t="s">
        <v>5327</v>
      </c>
      <c r="C2242" s="125">
        <v>227</v>
      </c>
      <c r="D2242" s="125" t="s">
        <v>6093</v>
      </c>
      <c r="E2242" s="125" t="s">
        <v>5303</v>
      </c>
      <c r="F2242" s="125" t="s">
        <v>5304</v>
      </c>
      <c r="G2242" s="125" t="s">
        <v>5297</v>
      </c>
      <c r="H2242" s="125" t="s">
        <v>1092</v>
      </c>
      <c r="I2242" s="125" t="s">
        <v>1092</v>
      </c>
    </row>
    <row r="2243" spans="1:9" x14ac:dyDescent="0.25">
      <c r="A2243" s="125" t="s">
        <v>6109</v>
      </c>
      <c r="B2243" s="125" t="s">
        <v>5327</v>
      </c>
      <c r="C2243" s="125">
        <v>227</v>
      </c>
      <c r="D2243" s="125" t="s">
        <v>6093</v>
      </c>
      <c r="E2243" s="125" t="s">
        <v>5303</v>
      </c>
      <c r="F2243" s="125" t="s">
        <v>5304</v>
      </c>
      <c r="G2243" s="125" t="s">
        <v>5297</v>
      </c>
      <c r="H2243" s="125" t="s">
        <v>1092</v>
      </c>
      <c r="I2243" s="125" t="s">
        <v>1092</v>
      </c>
    </row>
    <row r="2244" spans="1:9" x14ac:dyDescent="0.25">
      <c r="A2244" s="125" t="s">
        <v>2809</v>
      </c>
      <c r="B2244" s="125" t="s">
        <v>5327</v>
      </c>
      <c r="C2244" s="125">
        <v>227</v>
      </c>
      <c r="D2244" s="125" t="s">
        <v>6093</v>
      </c>
      <c r="E2244" s="125" t="s">
        <v>5303</v>
      </c>
      <c r="F2244" s="125" t="s">
        <v>5304</v>
      </c>
      <c r="G2244" s="125" t="s">
        <v>5297</v>
      </c>
      <c r="H2244" s="125" t="s">
        <v>1092</v>
      </c>
      <c r="I2244" s="125" t="s">
        <v>1092</v>
      </c>
    </row>
    <row r="2245" spans="1:9" x14ac:dyDescent="0.25">
      <c r="A2245" s="125" t="s">
        <v>3533</v>
      </c>
      <c r="B2245" s="125" t="s">
        <v>5327</v>
      </c>
      <c r="C2245" s="125">
        <v>227</v>
      </c>
      <c r="D2245" s="125" t="s">
        <v>6093</v>
      </c>
      <c r="E2245" s="125" t="s">
        <v>5303</v>
      </c>
      <c r="F2245" s="125" t="s">
        <v>5304</v>
      </c>
      <c r="G2245" s="125" t="s">
        <v>5297</v>
      </c>
      <c r="H2245" s="125" t="s">
        <v>1092</v>
      </c>
      <c r="I2245" s="125" t="s">
        <v>1092</v>
      </c>
    </row>
    <row r="2246" spans="1:9" x14ac:dyDescent="0.25">
      <c r="A2246" s="125" t="s">
        <v>6110</v>
      </c>
      <c r="B2246" s="125" t="s">
        <v>5327</v>
      </c>
      <c r="C2246" s="125">
        <v>227</v>
      </c>
      <c r="D2246" s="125" t="s">
        <v>6093</v>
      </c>
      <c r="E2246" s="125" t="s">
        <v>5303</v>
      </c>
      <c r="F2246" s="125" t="s">
        <v>5304</v>
      </c>
      <c r="G2246" s="125" t="s">
        <v>5297</v>
      </c>
      <c r="H2246" s="125" t="s">
        <v>1092</v>
      </c>
      <c r="I2246" s="125" t="s">
        <v>1092</v>
      </c>
    </row>
    <row r="2247" spans="1:9" x14ac:dyDescent="0.25">
      <c r="A2247" s="125" t="s">
        <v>2932</v>
      </c>
      <c r="B2247" s="125" t="s">
        <v>5327</v>
      </c>
      <c r="C2247" s="125">
        <v>227</v>
      </c>
      <c r="D2247" s="125" t="s">
        <v>6093</v>
      </c>
      <c r="E2247" s="125" t="s">
        <v>5303</v>
      </c>
      <c r="F2247" s="125" t="s">
        <v>5304</v>
      </c>
      <c r="G2247" s="125" t="s">
        <v>5297</v>
      </c>
      <c r="H2247" s="125" t="s">
        <v>1398</v>
      </c>
      <c r="I2247" s="125" t="s">
        <v>6094</v>
      </c>
    </row>
    <row r="2248" spans="1:9" x14ac:dyDescent="0.25">
      <c r="A2248" s="125" t="s">
        <v>2019</v>
      </c>
      <c r="B2248" s="125" t="s">
        <v>5327</v>
      </c>
      <c r="C2248" s="125">
        <v>227</v>
      </c>
      <c r="D2248" s="125" t="s">
        <v>6093</v>
      </c>
      <c r="E2248" s="125" t="s">
        <v>5303</v>
      </c>
      <c r="F2248" s="125" t="s">
        <v>5304</v>
      </c>
      <c r="G2248" s="125" t="s">
        <v>5297</v>
      </c>
      <c r="H2248" s="125" t="s">
        <v>1092</v>
      </c>
      <c r="I2248" s="125" t="s">
        <v>1092</v>
      </c>
    </row>
    <row r="2249" spans="1:9" x14ac:dyDescent="0.25">
      <c r="A2249" s="125" t="s">
        <v>1271</v>
      </c>
      <c r="B2249" s="125" t="s">
        <v>5327</v>
      </c>
      <c r="C2249" s="125">
        <v>227</v>
      </c>
      <c r="D2249" s="125" t="s">
        <v>6093</v>
      </c>
      <c r="E2249" s="125" t="s">
        <v>5303</v>
      </c>
      <c r="F2249" s="125" t="s">
        <v>5304</v>
      </c>
      <c r="G2249" s="125" t="s">
        <v>5297</v>
      </c>
      <c r="H2249" s="125" t="s">
        <v>1092</v>
      </c>
      <c r="I2249" s="125" t="s">
        <v>1092</v>
      </c>
    </row>
    <row r="2250" spans="1:9" x14ac:dyDescent="0.25">
      <c r="A2250" s="125" t="s">
        <v>3505</v>
      </c>
      <c r="B2250" s="125" t="s">
        <v>5327</v>
      </c>
      <c r="C2250" s="125">
        <v>227</v>
      </c>
      <c r="D2250" s="125" t="s">
        <v>6093</v>
      </c>
      <c r="E2250" s="125" t="s">
        <v>5303</v>
      </c>
      <c r="F2250" s="125" t="s">
        <v>5304</v>
      </c>
      <c r="G2250" s="125" t="s">
        <v>5297</v>
      </c>
      <c r="H2250" s="125" t="s">
        <v>1092</v>
      </c>
      <c r="I2250" s="125" t="s">
        <v>1092</v>
      </c>
    </row>
    <row r="2251" spans="1:9" x14ac:dyDescent="0.25">
      <c r="A2251" s="125" t="s">
        <v>2177</v>
      </c>
      <c r="B2251" s="125" t="s">
        <v>5327</v>
      </c>
      <c r="C2251" s="125">
        <v>227</v>
      </c>
      <c r="D2251" s="125" t="s">
        <v>6093</v>
      </c>
      <c r="E2251" s="125" t="s">
        <v>5303</v>
      </c>
      <c r="F2251" s="125" t="s">
        <v>5304</v>
      </c>
      <c r="G2251" s="125" t="s">
        <v>5297</v>
      </c>
      <c r="H2251" s="125" t="s">
        <v>1092</v>
      </c>
      <c r="I2251" s="125" t="s">
        <v>1092</v>
      </c>
    </row>
    <row r="2252" spans="1:9" x14ac:dyDescent="0.25">
      <c r="A2252" s="125" t="s">
        <v>2843</v>
      </c>
      <c r="B2252" s="125" t="s">
        <v>5327</v>
      </c>
      <c r="C2252" s="125">
        <v>227</v>
      </c>
      <c r="D2252" s="125" t="s">
        <v>6093</v>
      </c>
      <c r="E2252" s="125" t="s">
        <v>5303</v>
      </c>
      <c r="F2252" s="125" t="s">
        <v>5304</v>
      </c>
      <c r="G2252" s="125" t="s">
        <v>5297</v>
      </c>
      <c r="H2252" s="125" t="s">
        <v>6111</v>
      </c>
      <c r="I2252" s="125" t="s">
        <v>6111</v>
      </c>
    </row>
    <row r="2253" spans="1:9" x14ac:dyDescent="0.25">
      <c r="A2253" s="125" t="s">
        <v>1641</v>
      </c>
      <c r="B2253" s="125" t="s">
        <v>5327</v>
      </c>
      <c r="C2253" s="125">
        <v>227</v>
      </c>
      <c r="D2253" s="125" t="s">
        <v>6093</v>
      </c>
      <c r="E2253" s="125" t="s">
        <v>5303</v>
      </c>
      <c r="F2253" s="125" t="s">
        <v>5304</v>
      </c>
      <c r="G2253" s="125" t="s">
        <v>5297</v>
      </c>
      <c r="H2253" s="125" t="s">
        <v>5726</v>
      </c>
      <c r="I2253" s="125" t="s">
        <v>5726</v>
      </c>
    </row>
    <row r="2254" spans="1:9" x14ac:dyDescent="0.25">
      <c r="A2254" s="125" t="s">
        <v>1890</v>
      </c>
      <c r="B2254" s="125" t="s">
        <v>5588</v>
      </c>
      <c r="C2254" s="125">
        <v>243</v>
      </c>
      <c r="D2254" s="125" t="s">
        <v>5589</v>
      </c>
      <c r="E2254" s="125" t="s">
        <v>5364</v>
      </c>
      <c r="F2254" s="125" t="s">
        <v>5365</v>
      </c>
      <c r="G2254" s="125" t="s">
        <v>5297</v>
      </c>
      <c r="H2254" s="125" t="s">
        <v>3418</v>
      </c>
      <c r="I2254" s="125" t="s">
        <v>5581</v>
      </c>
    </row>
    <row r="2255" spans="1:9" x14ac:dyDescent="0.25">
      <c r="A2255" s="125" t="s">
        <v>1880</v>
      </c>
      <c r="B2255" s="125" t="s">
        <v>5373</v>
      </c>
      <c r="C2255" s="125">
        <v>207</v>
      </c>
      <c r="D2255" s="125" t="s">
        <v>5374</v>
      </c>
      <c r="E2255" s="125" t="s">
        <v>5364</v>
      </c>
      <c r="F2255" s="125" t="s">
        <v>5365</v>
      </c>
      <c r="G2255" s="125" t="s">
        <v>5297</v>
      </c>
      <c r="H2255" s="125" t="s">
        <v>6112</v>
      </c>
      <c r="I2255" s="125" t="s">
        <v>5375</v>
      </c>
    </row>
    <row r="2256" spans="1:9" x14ac:dyDescent="0.25">
      <c r="A2256" s="125" t="s">
        <v>1117</v>
      </c>
      <c r="B2256" s="125" t="s">
        <v>5373</v>
      </c>
      <c r="C2256" s="125">
        <v>207</v>
      </c>
      <c r="D2256" s="125" t="s">
        <v>5374</v>
      </c>
      <c r="E2256" s="125" t="s">
        <v>5364</v>
      </c>
      <c r="F2256" s="125" t="s">
        <v>5365</v>
      </c>
      <c r="G2256" s="125" t="s">
        <v>5297</v>
      </c>
      <c r="H2256" s="125" t="s">
        <v>3398</v>
      </c>
      <c r="I2256" s="125" t="s">
        <v>5581</v>
      </c>
    </row>
    <row r="2257" spans="1:9" x14ac:dyDescent="0.25">
      <c r="A2257" s="125" t="s">
        <v>1764</v>
      </c>
      <c r="B2257" s="125" t="s">
        <v>5373</v>
      </c>
      <c r="C2257" s="125">
        <v>207</v>
      </c>
      <c r="D2257" s="125" t="s">
        <v>5374</v>
      </c>
      <c r="E2257" s="125" t="s">
        <v>5364</v>
      </c>
      <c r="F2257" s="125" t="s">
        <v>5365</v>
      </c>
      <c r="G2257" s="125" t="s">
        <v>5297</v>
      </c>
      <c r="H2257" s="125" t="s">
        <v>3423</v>
      </c>
      <c r="I2257" s="125" t="s">
        <v>5581</v>
      </c>
    </row>
    <row r="2258" spans="1:9" x14ac:dyDescent="0.25">
      <c r="A2258" s="125" t="s">
        <v>1589</v>
      </c>
      <c r="B2258" s="125" t="s">
        <v>5373</v>
      </c>
      <c r="C2258" s="125">
        <v>207</v>
      </c>
      <c r="D2258" s="125" t="s">
        <v>5374</v>
      </c>
      <c r="E2258" s="125" t="s">
        <v>5364</v>
      </c>
      <c r="F2258" s="125" t="s">
        <v>5365</v>
      </c>
      <c r="G2258" s="125" t="s">
        <v>5297</v>
      </c>
      <c r="H2258" s="125" t="s">
        <v>3423</v>
      </c>
      <c r="I2258" s="125" t="s">
        <v>5581</v>
      </c>
    </row>
    <row r="2259" spans="1:9" x14ac:dyDescent="0.25">
      <c r="A2259" s="125" t="s">
        <v>2121</v>
      </c>
      <c r="B2259" s="125" t="s">
        <v>5373</v>
      </c>
      <c r="C2259" s="125">
        <v>207</v>
      </c>
      <c r="D2259" s="125" t="s">
        <v>5374</v>
      </c>
      <c r="E2259" s="125" t="s">
        <v>5364</v>
      </c>
      <c r="F2259" s="125" t="s">
        <v>5365</v>
      </c>
      <c r="G2259" s="125" t="s">
        <v>5297</v>
      </c>
      <c r="H2259" s="125" t="s">
        <v>3423</v>
      </c>
      <c r="I2259" s="125" t="s">
        <v>5581</v>
      </c>
    </row>
    <row r="2260" spans="1:9" x14ac:dyDescent="0.25">
      <c r="A2260" s="125" t="s">
        <v>2373</v>
      </c>
      <c r="B2260" s="125" t="s">
        <v>5373</v>
      </c>
      <c r="C2260" s="125">
        <v>207</v>
      </c>
      <c r="D2260" s="125" t="s">
        <v>5374</v>
      </c>
      <c r="E2260" s="125" t="s">
        <v>5364</v>
      </c>
      <c r="F2260" s="125" t="s">
        <v>5365</v>
      </c>
      <c r="G2260" s="125" t="s">
        <v>5297</v>
      </c>
      <c r="H2260" s="125" t="s">
        <v>3418</v>
      </c>
      <c r="I2260" s="125" t="s">
        <v>5581</v>
      </c>
    </row>
    <row r="2261" spans="1:9" x14ac:dyDescent="0.25">
      <c r="A2261" s="125" t="s">
        <v>1452</v>
      </c>
      <c r="B2261" s="125" t="s">
        <v>5373</v>
      </c>
      <c r="C2261" s="125">
        <v>207</v>
      </c>
      <c r="D2261" s="125" t="s">
        <v>5374</v>
      </c>
      <c r="E2261" s="125" t="s">
        <v>5364</v>
      </c>
      <c r="F2261" s="125" t="s">
        <v>5365</v>
      </c>
      <c r="G2261" s="125" t="s">
        <v>5297</v>
      </c>
      <c r="H2261" s="125" t="s">
        <v>3418</v>
      </c>
      <c r="I2261" s="125" t="s">
        <v>5581</v>
      </c>
    </row>
    <row r="2262" spans="1:9" x14ac:dyDescent="0.25">
      <c r="A2262" s="125" t="s">
        <v>3106</v>
      </c>
      <c r="B2262" s="125" t="s">
        <v>5373</v>
      </c>
      <c r="C2262" s="125">
        <v>207</v>
      </c>
      <c r="D2262" s="125" t="s">
        <v>5374</v>
      </c>
      <c r="E2262" s="125" t="s">
        <v>5364</v>
      </c>
      <c r="F2262" s="125" t="s">
        <v>5365</v>
      </c>
      <c r="G2262" s="125" t="s">
        <v>5297</v>
      </c>
      <c r="H2262" s="125" t="s">
        <v>3418</v>
      </c>
      <c r="I2262" s="125" t="s">
        <v>5581</v>
      </c>
    </row>
    <row r="2263" spans="1:9" x14ac:dyDescent="0.25">
      <c r="A2263" s="125" t="s">
        <v>2058</v>
      </c>
      <c r="B2263" s="125" t="s">
        <v>5373</v>
      </c>
      <c r="C2263" s="125">
        <v>207</v>
      </c>
      <c r="D2263" s="125" t="s">
        <v>5374</v>
      </c>
      <c r="E2263" s="125" t="s">
        <v>5364</v>
      </c>
      <c r="F2263" s="125" t="s">
        <v>5365</v>
      </c>
      <c r="G2263" s="125" t="s">
        <v>5297</v>
      </c>
      <c r="H2263" s="125" t="s">
        <v>6112</v>
      </c>
      <c r="I2263" s="125" t="s">
        <v>5375</v>
      </c>
    </row>
    <row r="2264" spans="1:9" x14ac:dyDescent="0.25">
      <c r="A2264" s="125" t="s">
        <v>3132</v>
      </c>
      <c r="B2264" s="125" t="s">
        <v>5373</v>
      </c>
      <c r="C2264" s="125">
        <v>207</v>
      </c>
      <c r="D2264" s="125" t="s">
        <v>5374</v>
      </c>
      <c r="E2264" s="125" t="s">
        <v>5364</v>
      </c>
      <c r="F2264" s="125" t="s">
        <v>5365</v>
      </c>
      <c r="G2264" s="125" t="s">
        <v>5297</v>
      </c>
      <c r="H2264" s="125" t="s">
        <v>3418</v>
      </c>
      <c r="I2264" s="125" t="s">
        <v>5581</v>
      </c>
    </row>
    <row r="2265" spans="1:9" x14ac:dyDescent="0.25">
      <c r="A2265" s="125" t="s">
        <v>1652</v>
      </c>
      <c r="B2265" s="125" t="s">
        <v>5373</v>
      </c>
      <c r="C2265" s="125">
        <v>207</v>
      </c>
      <c r="D2265" s="125" t="s">
        <v>5374</v>
      </c>
      <c r="E2265" s="125" t="s">
        <v>5364</v>
      </c>
      <c r="F2265" s="125" t="s">
        <v>5365</v>
      </c>
      <c r="G2265" s="125" t="s">
        <v>5297</v>
      </c>
      <c r="H2265" s="125" t="s">
        <v>1282</v>
      </c>
      <c r="I2265" s="125" t="s">
        <v>5375</v>
      </c>
    </row>
    <row r="2266" spans="1:9" x14ac:dyDescent="0.25">
      <c r="A2266" s="125" t="s">
        <v>3078</v>
      </c>
      <c r="B2266" s="125" t="s">
        <v>5373</v>
      </c>
      <c r="C2266" s="125">
        <v>207</v>
      </c>
      <c r="D2266" s="125" t="s">
        <v>5374</v>
      </c>
      <c r="E2266" s="125" t="s">
        <v>5364</v>
      </c>
      <c r="F2266" s="125" t="s">
        <v>5365</v>
      </c>
      <c r="G2266" s="125" t="s">
        <v>5297</v>
      </c>
      <c r="H2266" s="125" t="s">
        <v>1434</v>
      </c>
      <c r="I2266" s="125" t="s">
        <v>5375</v>
      </c>
    </row>
    <row r="2267" spans="1:9" x14ac:dyDescent="0.25">
      <c r="A2267" s="125" t="s">
        <v>6113</v>
      </c>
      <c r="B2267" s="125" t="s">
        <v>5373</v>
      </c>
      <c r="C2267" s="125">
        <v>207</v>
      </c>
      <c r="D2267" s="125" t="s">
        <v>5374</v>
      </c>
      <c r="E2267" s="125" t="s">
        <v>5364</v>
      </c>
      <c r="F2267" s="125" t="s">
        <v>5365</v>
      </c>
      <c r="G2267" s="125" t="s">
        <v>5297</v>
      </c>
      <c r="H2267" s="125" t="s">
        <v>3418</v>
      </c>
      <c r="I2267" s="125" t="s">
        <v>5581</v>
      </c>
    </row>
    <row r="2268" spans="1:9" x14ac:dyDescent="0.25">
      <c r="A2268" s="125" t="s">
        <v>2840</v>
      </c>
      <c r="B2268" s="125" t="s">
        <v>5373</v>
      </c>
      <c r="C2268" s="125">
        <v>207</v>
      </c>
      <c r="D2268" s="125" t="s">
        <v>5374</v>
      </c>
      <c r="E2268" s="125" t="s">
        <v>5364</v>
      </c>
      <c r="F2268" s="125" t="s">
        <v>5365</v>
      </c>
      <c r="G2268" s="125" t="s">
        <v>5297</v>
      </c>
      <c r="H2268" s="125" t="s">
        <v>3418</v>
      </c>
      <c r="I2268" s="125" t="s">
        <v>5581</v>
      </c>
    </row>
    <row r="2269" spans="1:9" x14ac:dyDescent="0.25">
      <c r="A2269" s="125" t="s">
        <v>2085</v>
      </c>
      <c r="B2269" s="125" t="s">
        <v>5373</v>
      </c>
      <c r="C2269" s="125">
        <v>207</v>
      </c>
      <c r="D2269" s="125" t="s">
        <v>5374</v>
      </c>
      <c r="E2269" s="125" t="s">
        <v>5364</v>
      </c>
      <c r="F2269" s="125" t="s">
        <v>5365</v>
      </c>
      <c r="G2269" s="125" t="s">
        <v>5297</v>
      </c>
      <c r="H2269" s="125" t="s">
        <v>371</v>
      </c>
      <c r="I2269" s="125" t="s">
        <v>371</v>
      </c>
    </row>
    <row r="2270" spans="1:9" x14ac:dyDescent="0.25">
      <c r="A2270" s="125" t="s">
        <v>3329</v>
      </c>
      <c r="B2270" s="125" t="s">
        <v>5373</v>
      </c>
      <c r="C2270" s="125">
        <v>207</v>
      </c>
      <c r="D2270" s="125" t="s">
        <v>5374</v>
      </c>
      <c r="E2270" s="125" t="s">
        <v>5364</v>
      </c>
      <c r="F2270" s="125" t="s">
        <v>5365</v>
      </c>
      <c r="G2270" s="125" t="s">
        <v>5297</v>
      </c>
      <c r="H2270" s="125" t="s">
        <v>3398</v>
      </c>
      <c r="I2270" s="125" t="s">
        <v>5581</v>
      </c>
    </row>
    <row r="2271" spans="1:9" x14ac:dyDescent="0.25">
      <c r="A2271" s="125" t="s">
        <v>1281</v>
      </c>
      <c r="B2271" s="125" t="s">
        <v>5373</v>
      </c>
      <c r="C2271" s="125">
        <v>207</v>
      </c>
      <c r="D2271" s="125" t="s">
        <v>5374</v>
      </c>
      <c r="E2271" s="125" t="s">
        <v>5364</v>
      </c>
      <c r="F2271" s="125" t="s">
        <v>5365</v>
      </c>
      <c r="G2271" s="125" t="s">
        <v>5297</v>
      </c>
      <c r="H2271" s="125" t="s">
        <v>2030</v>
      </c>
      <c r="I2271" s="125" t="s">
        <v>5375</v>
      </c>
    </row>
    <row r="2272" spans="1:9" x14ac:dyDescent="0.25">
      <c r="A2272" s="125" t="s">
        <v>1583</v>
      </c>
      <c r="B2272" s="125" t="s">
        <v>5373</v>
      </c>
      <c r="C2272" s="125">
        <v>207</v>
      </c>
      <c r="D2272" s="125" t="s">
        <v>5374</v>
      </c>
      <c r="E2272" s="125" t="s">
        <v>5364</v>
      </c>
      <c r="F2272" s="125" t="s">
        <v>5365</v>
      </c>
      <c r="G2272" s="125" t="s">
        <v>5297</v>
      </c>
      <c r="H2272" s="125" t="s">
        <v>3423</v>
      </c>
      <c r="I2272" s="125" t="s">
        <v>5581</v>
      </c>
    </row>
    <row r="2273" spans="1:9" x14ac:dyDescent="0.25">
      <c r="A2273" s="125" t="s">
        <v>1980</v>
      </c>
      <c r="B2273" s="125" t="s">
        <v>5373</v>
      </c>
      <c r="C2273" s="125">
        <v>207</v>
      </c>
      <c r="D2273" s="125" t="s">
        <v>5374</v>
      </c>
      <c r="E2273" s="125" t="s">
        <v>5364</v>
      </c>
      <c r="F2273" s="125" t="s">
        <v>5365</v>
      </c>
      <c r="G2273" s="125" t="s">
        <v>5297</v>
      </c>
      <c r="H2273" s="125" t="s">
        <v>3398</v>
      </c>
      <c r="I2273" s="125" t="s">
        <v>5581</v>
      </c>
    </row>
    <row r="2274" spans="1:9" x14ac:dyDescent="0.25">
      <c r="A2274" s="125" t="s">
        <v>6114</v>
      </c>
      <c r="B2274" s="125" t="s">
        <v>5373</v>
      </c>
      <c r="C2274" s="125">
        <v>207</v>
      </c>
      <c r="D2274" s="125" t="s">
        <v>5374</v>
      </c>
      <c r="E2274" s="125" t="s">
        <v>5364</v>
      </c>
      <c r="F2274" s="125" t="s">
        <v>5365</v>
      </c>
      <c r="G2274" s="125" t="s">
        <v>5297</v>
      </c>
      <c r="H2274" s="125" t="s">
        <v>6112</v>
      </c>
      <c r="I2274" s="125" t="s">
        <v>5375</v>
      </c>
    </row>
    <row r="2275" spans="1:9" x14ac:dyDescent="0.25">
      <c r="A2275" s="125" t="s">
        <v>1443</v>
      </c>
      <c r="B2275" s="125" t="s">
        <v>5373</v>
      </c>
      <c r="C2275" s="125">
        <v>207</v>
      </c>
      <c r="D2275" s="125" t="s">
        <v>5374</v>
      </c>
      <c r="E2275" s="125" t="s">
        <v>5364</v>
      </c>
      <c r="F2275" s="125" t="s">
        <v>5365</v>
      </c>
      <c r="G2275" s="125" t="s">
        <v>5297</v>
      </c>
      <c r="H2275" s="125" t="s">
        <v>6112</v>
      </c>
      <c r="I2275" s="125" t="s">
        <v>5375</v>
      </c>
    </row>
    <row r="2276" spans="1:9" x14ac:dyDescent="0.25">
      <c r="A2276" s="125" t="s">
        <v>3088</v>
      </c>
      <c r="B2276" s="125" t="s">
        <v>5373</v>
      </c>
      <c r="C2276" s="125">
        <v>207</v>
      </c>
      <c r="D2276" s="125" t="s">
        <v>5374</v>
      </c>
      <c r="E2276" s="125" t="s">
        <v>5364</v>
      </c>
      <c r="F2276" s="125" t="s">
        <v>5365</v>
      </c>
      <c r="G2276" s="125" t="s">
        <v>5297</v>
      </c>
      <c r="H2276" s="125" t="s">
        <v>3423</v>
      </c>
      <c r="I2276" s="125" t="s">
        <v>5581</v>
      </c>
    </row>
    <row r="2277" spans="1:9" x14ac:dyDescent="0.25">
      <c r="A2277" s="125" t="s">
        <v>1728</v>
      </c>
      <c r="B2277" s="125" t="s">
        <v>5373</v>
      </c>
      <c r="C2277" s="125">
        <v>207</v>
      </c>
      <c r="D2277" s="125" t="s">
        <v>5374</v>
      </c>
      <c r="E2277" s="125" t="s">
        <v>5364</v>
      </c>
      <c r="F2277" s="125" t="s">
        <v>5365</v>
      </c>
      <c r="G2277" s="125" t="s">
        <v>5297</v>
      </c>
      <c r="H2277" s="125" t="s">
        <v>3418</v>
      </c>
      <c r="I2277" s="125" t="s">
        <v>5581</v>
      </c>
    </row>
    <row r="2278" spans="1:9" x14ac:dyDescent="0.25">
      <c r="A2278" s="125" t="s">
        <v>6115</v>
      </c>
      <c r="B2278" s="125" t="s">
        <v>5373</v>
      </c>
      <c r="C2278" s="125">
        <v>207</v>
      </c>
      <c r="D2278" s="125" t="s">
        <v>5374</v>
      </c>
      <c r="E2278" s="125" t="s">
        <v>5364</v>
      </c>
      <c r="F2278" s="125" t="s">
        <v>5365</v>
      </c>
      <c r="G2278" s="125" t="s">
        <v>5297</v>
      </c>
      <c r="H2278" s="125" t="s">
        <v>3423</v>
      </c>
      <c r="I2278" s="125" t="s">
        <v>5581</v>
      </c>
    </row>
    <row r="2279" spans="1:9" x14ac:dyDescent="0.25">
      <c r="A2279" s="125" t="s">
        <v>1727</v>
      </c>
      <c r="B2279" s="125" t="s">
        <v>5373</v>
      </c>
      <c r="C2279" s="125">
        <v>207</v>
      </c>
      <c r="D2279" s="125" t="s">
        <v>5374</v>
      </c>
      <c r="E2279" s="125" t="s">
        <v>5364</v>
      </c>
      <c r="F2279" s="125" t="s">
        <v>5365</v>
      </c>
      <c r="G2279" s="125" t="s">
        <v>5297</v>
      </c>
      <c r="H2279" s="125" t="s">
        <v>6112</v>
      </c>
      <c r="I2279" s="125" t="s">
        <v>5375</v>
      </c>
    </row>
    <row r="2280" spans="1:9" x14ac:dyDescent="0.25">
      <c r="A2280" s="125" t="s">
        <v>3357</v>
      </c>
      <c r="B2280" s="125" t="s">
        <v>5373</v>
      </c>
      <c r="C2280" s="125">
        <v>207</v>
      </c>
      <c r="D2280" s="125" t="s">
        <v>5374</v>
      </c>
      <c r="E2280" s="125" t="s">
        <v>5364</v>
      </c>
      <c r="F2280" s="125" t="s">
        <v>5365</v>
      </c>
      <c r="G2280" s="125" t="s">
        <v>5297</v>
      </c>
      <c r="H2280" s="125" t="s">
        <v>3423</v>
      </c>
      <c r="I2280" s="125" t="s">
        <v>5581</v>
      </c>
    </row>
    <row r="2281" spans="1:9" x14ac:dyDescent="0.25">
      <c r="A2281" s="125" t="s">
        <v>3043</v>
      </c>
      <c r="B2281" s="125" t="s">
        <v>5373</v>
      </c>
      <c r="C2281" s="125">
        <v>207</v>
      </c>
      <c r="D2281" s="125" t="s">
        <v>5374</v>
      </c>
      <c r="E2281" s="125" t="s">
        <v>5364</v>
      </c>
      <c r="F2281" s="125" t="s">
        <v>5365</v>
      </c>
      <c r="G2281" s="125" t="s">
        <v>5297</v>
      </c>
      <c r="H2281" s="125" t="s">
        <v>6112</v>
      </c>
      <c r="I2281" s="125" t="s">
        <v>5375</v>
      </c>
    </row>
    <row r="2282" spans="1:9" x14ac:dyDescent="0.25">
      <c r="A2282" s="125" t="s">
        <v>2903</v>
      </c>
      <c r="B2282" s="125" t="s">
        <v>5630</v>
      </c>
      <c r="C2282" s="125">
        <v>216</v>
      </c>
      <c r="D2282" s="125" t="s">
        <v>6116</v>
      </c>
      <c r="E2282" s="125" t="s">
        <v>5295</v>
      </c>
      <c r="F2282" s="125" t="s">
        <v>5296</v>
      </c>
      <c r="G2282" s="125" t="s">
        <v>5297</v>
      </c>
      <c r="H2282" s="125" t="s">
        <v>1716</v>
      </c>
      <c r="I2282" s="125" t="s">
        <v>3482</v>
      </c>
    </row>
    <row r="2283" spans="1:9" x14ac:dyDescent="0.25">
      <c r="A2283" s="125" t="s">
        <v>3182</v>
      </c>
      <c r="B2283" s="125" t="s">
        <v>5630</v>
      </c>
      <c r="C2283" s="125">
        <v>216</v>
      </c>
      <c r="D2283" s="125" t="s">
        <v>6116</v>
      </c>
      <c r="E2283" s="125" t="s">
        <v>5295</v>
      </c>
      <c r="F2283" s="125" t="s">
        <v>5296</v>
      </c>
      <c r="G2283" s="125" t="s">
        <v>5297</v>
      </c>
      <c r="H2283" s="125" t="s">
        <v>5505</v>
      </c>
      <c r="I2283" s="125" t="s">
        <v>3482</v>
      </c>
    </row>
    <row r="2284" spans="1:9" x14ac:dyDescent="0.25">
      <c r="A2284" s="125" t="s">
        <v>2099</v>
      </c>
      <c r="B2284" s="125" t="s">
        <v>5630</v>
      </c>
      <c r="C2284" s="125">
        <v>216</v>
      </c>
      <c r="D2284" s="125" t="s">
        <v>6116</v>
      </c>
      <c r="E2284" s="125" t="s">
        <v>5295</v>
      </c>
      <c r="F2284" s="125" t="s">
        <v>5296</v>
      </c>
      <c r="G2284" s="125" t="s">
        <v>5297</v>
      </c>
      <c r="H2284" s="125" t="s">
        <v>5505</v>
      </c>
      <c r="I2284" s="125" t="s">
        <v>3482</v>
      </c>
    </row>
    <row r="2285" spans="1:9" x14ac:dyDescent="0.25">
      <c r="A2285" s="125" t="s">
        <v>1385</v>
      </c>
      <c r="B2285" s="125" t="s">
        <v>5630</v>
      </c>
      <c r="C2285" s="125">
        <v>216</v>
      </c>
      <c r="D2285" s="125" t="s">
        <v>6116</v>
      </c>
      <c r="E2285" s="125" t="s">
        <v>5295</v>
      </c>
      <c r="F2285" s="125" t="s">
        <v>5296</v>
      </c>
      <c r="G2285" s="125" t="s">
        <v>5297</v>
      </c>
      <c r="H2285" s="125" t="s">
        <v>5505</v>
      </c>
      <c r="I2285" s="125" t="s">
        <v>3482</v>
      </c>
    </row>
    <row r="2286" spans="1:9" x14ac:dyDescent="0.25">
      <c r="A2286" s="125" t="s">
        <v>1351</v>
      </c>
      <c r="B2286" s="125" t="s">
        <v>5630</v>
      </c>
      <c r="C2286" s="125">
        <v>216</v>
      </c>
      <c r="D2286" s="125" t="s">
        <v>6116</v>
      </c>
      <c r="E2286" s="125" t="s">
        <v>5295</v>
      </c>
      <c r="F2286" s="125" t="s">
        <v>5296</v>
      </c>
      <c r="G2286" s="125" t="s">
        <v>5297</v>
      </c>
      <c r="H2286" s="125" t="s">
        <v>5505</v>
      </c>
      <c r="I2286" s="125" t="s">
        <v>3482</v>
      </c>
    </row>
    <row r="2287" spans="1:9" x14ac:dyDescent="0.25">
      <c r="A2287" s="125" t="s">
        <v>2288</v>
      </c>
      <c r="B2287" s="125" t="s">
        <v>5630</v>
      </c>
      <c r="C2287" s="125">
        <v>216</v>
      </c>
      <c r="D2287" s="125" t="s">
        <v>6116</v>
      </c>
      <c r="E2287" s="125" t="s">
        <v>5295</v>
      </c>
      <c r="F2287" s="125" t="s">
        <v>5296</v>
      </c>
      <c r="G2287" s="125" t="s">
        <v>5297</v>
      </c>
      <c r="H2287" s="125" t="s">
        <v>5505</v>
      </c>
      <c r="I2287" s="125" t="s">
        <v>3482</v>
      </c>
    </row>
    <row r="2288" spans="1:9" x14ac:dyDescent="0.25">
      <c r="A2288" s="125" t="s">
        <v>1721</v>
      </c>
      <c r="B2288" s="125" t="s">
        <v>5293</v>
      </c>
      <c r="C2288" s="125">
        <v>228</v>
      </c>
      <c r="D2288" s="125" t="s">
        <v>5294</v>
      </c>
      <c r="E2288" s="125" t="s">
        <v>5295</v>
      </c>
      <c r="F2288" s="125" t="s">
        <v>5296</v>
      </c>
      <c r="G2288" s="125" t="s">
        <v>5297</v>
      </c>
      <c r="H2288" s="125" t="s">
        <v>5910</v>
      </c>
      <c r="I2288" s="125" t="s">
        <v>3468</v>
      </c>
    </row>
    <row r="2289" spans="1:9" x14ac:dyDescent="0.25">
      <c r="A2289" s="125" t="s">
        <v>1463</v>
      </c>
      <c r="B2289" s="125" t="s">
        <v>5293</v>
      </c>
      <c r="C2289" s="125">
        <v>228</v>
      </c>
      <c r="D2289" s="125" t="s">
        <v>5294</v>
      </c>
      <c r="E2289" s="125" t="s">
        <v>5295</v>
      </c>
      <c r="F2289" s="125" t="s">
        <v>5296</v>
      </c>
      <c r="G2289" s="125" t="s">
        <v>5297</v>
      </c>
      <c r="H2289" s="125" t="s">
        <v>5910</v>
      </c>
      <c r="I2289" s="125" t="s">
        <v>3468</v>
      </c>
    </row>
    <row r="2290" spans="1:9" x14ac:dyDescent="0.25">
      <c r="A2290" s="125" t="s">
        <v>3168</v>
      </c>
      <c r="B2290" s="125" t="s">
        <v>5293</v>
      </c>
      <c r="C2290" s="125">
        <v>228</v>
      </c>
      <c r="D2290" s="125" t="s">
        <v>5294</v>
      </c>
      <c r="E2290" s="125" t="s">
        <v>5295</v>
      </c>
      <c r="F2290" s="125" t="s">
        <v>5296</v>
      </c>
      <c r="G2290" s="125" t="s">
        <v>5297</v>
      </c>
      <c r="H2290" s="125" t="s">
        <v>5910</v>
      </c>
      <c r="I2290" s="125" t="s">
        <v>3468</v>
      </c>
    </row>
    <row r="2291" spans="1:9" x14ac:dyDescent="0.25">
      <c r="A2291" s="125" t="s">
        <v>1460</v>
      </c>
      <c r="B2291" s="125" t="s">
        <v>5293</v>
      </c>
      <c r="C2291" s="125">
        <v>228</v>
      </c>
      <c r="D2291" s="125" t="s">
        <v>5294</v>
      </c>
      <c r="E2291" s="125" t="s">
        <v>5295</v>
      </c>
      <c r="F2291" s="125" t="s">
        <v>5296</v>
      </c>
      <c r="G2291" s="125" t="s">
        <v>5297</v>
      </c>
      <c r="H2291" s="125" t="s">
        <v>5910</v>
      </c>
      <c r="I2291" s="125" t="s">
        <v>3468</v>
      </c>
    </row>
    <row r="2292" spans="1:9" x14ac:dyDescent="0.25">
      <c r="A2292" s="125" t="s">
        <v>1916</v>
      </c>
      <c r="B2292" s="125" t="s">
        <v>5293</v>
      </c>
      <c r="C2292" s="125">
        <v>228</v>
      </c>
      <c r="D2292" s="125" t="s">
        <v>5294</v>
      </c>
      <c r="E2292" s="125" t="s">
        <v>5295</v>
      </c>
      <c r="F2292" s="125" t="s">
        <v>5296</v>
      </c>
      <c r="G2292" s="125" t="s">
        <v>5297</v>
      </c>
      <c r="H2292" s="125" t="s">
        <v>5480</v>
      </c>
      <c r="I2292" s="125" t="s">
        <v>3700</v>
      </c>
    </row>
    <row r="2293" spans="1:9" x14ac:dyDescent="0.25">
      <c r="A2293" s="125" t="s">
        <v>1717</v>
      </c>
      <c r="B2293" s="125" t="s">
        <v>5630</v>
      </c>
      <c r="C2293" s="125">
        <v>216</v>
      </c>
      <c r="D2293" s="125" t="s">
        <v>6116</v>
      </c>
      <c r="E2293" s="125" t="s">
        <v>5295</v>
      </c>
      <c r="F2293" s="125" t="s">
        <v>5296</v>
      </c>
      <c r="G2293" s="125" t="s">
        <v>5297</v>
      </c>
      <c r="H2293" s="125" t="s">
        <v>1716</v>
      </c>
      <c r="I2293" s="125" t="s">
        <v>3482</v>
      </c>
    </row>
    <row r="2294" spans="1:9" x14ac:dyDescent="0.25">
      <c r="A2294" s="125" t="s">
        <v>2836</v>
      </c>
      <c r="B2294" s="125" t="s">
        <v>5630</v>
      </c>
      <c r="C2294" s="125">
        <v>216</v>
      </c>
      <c r="D2294" s="125" t="s">
        <v>6116</v>
      </c>
      <c r="E2294" s="125" t="s">
        <v>5295</v>
      </c>
      <c r="F2294" s="125" t="s">
        <v>5296</v>
      </c>
      <c r="G2294" s="125" t="s">
        <v>5297</v>
      </c>
      <c r="H2294" s="125" t="s">
        <v>5505</v>
      </c>
      <c r="I2294" s="125" t="s">
        <v>3482</v>
      </c>
    </row>
    <row r="2295" spans="1:9" x14ac:dyDescent="0.25">
      <c r="A2295" s="125" t="s">
        <v>1328</v>
      </c>
      <c r="B2295" s="125" t="s">
        <v>5293</v>
      </c>
      <c r="C2295" s="125">
        <v>228</v>
      </c>
      <c r="D2295" s="125" t="s">
        <v>5294</v>
      </c>
      <c r="E2295" s="125" t="s">
        <v>5295</v>
      </c>
      <c r="F2295" s="125" t="s">
        <v>5296</v>
      </c>
      <c r="G2295" s="125" t="s">
        <v>5297</v>
      </c>
      <c r="H2295" s="125" t="s">
        <v>6117</v>
      </c>
      <c r="I2295" s="125" t="s">
        <v>3482</v>
      </c>
    </row>
    <row r="2296" spans="1:9" x14ac:dyDescent="0.25">
      <c r="A2296" s="125" t="s">
        <v>1405</v>
      </c>
      <c r="B2296" s="125" t="s">
        <v>5293</v>
      </c>
      <c r="C2296" s="125">
        <v>228</v>
      </c>
      <c r="D2296" s="125" t="s">
        <v>5294</v>
      </c>
      <c r="E2296" s="125" t="s">
        <v>5295</v>
      </c>
      <c r="F2296" s="125" t="s">
        <v>5296</v>
      </c>
      <c r="G2296" s="125" t="s">
        <v>5297</v>
      </c>
      <c r="H2296" s="125" t="s">
        <v>6117</v>
      </c>
      <c r="I2296" s="125" t="s">
        <v>3482</v>
      </c>
    </row>
    <row r="2297" spans="1:9" x14ac:dyDescent="0.25">
      <c r="A2297" s="125" t="s">
        <v>2944</v>
      </c>
      <c r="B2297" s="125" t="s">
        <v>5293</v>
      </c>
      <c r="C2297" s="125">
        <v>228</v>
      </c>
      <c r="D2297" s="125" t="s">
        <v>5294</v>
      </c>
      <c r="E2297" s="125" t="s">
        <v>5295</v>
      </c>
      <c r="F2297" s="125" t="s">
        <v>5296</v>
      </c>
      <c r="G2297" s="125" t="s">
        <v>5297</v>
      </c>
      <c r="H2297" s="125" t="s">
        <v>6117</v>
      </c>
      <c r="I2297" s="125" t="s">
        <v>3482</v>
      </c>
    </row>
    <row r="2298" spans="1:9" x14ac:dyDescent="0.25">
      <c r="A2298" s="125" t="s">
        <v>1267</v>
      </c>
      <c r="B2298" s="125" t="s">
        <v>5293</v>
      </c>
      <c r="C2298" s="125">
        <v>228</v>
      </c>
      <c r="D2298" s="125" t="s">
        <v>5294</v>
      </c>
      <c r="E2298" s="125" t="s">
        <v>5295</v>
      </c>
      <c r="F2298" s="125" t="s">
        <v>5296</v>
      </c>
      <c r="G2298" s="125" t="s">
        <v>5297</v>
      </c>
      <c r="H2298" s="125" t="s">
        <v>6117</v>
      </c>
      <c r="I2298" s="125" t="s">
        <v>3482</v>
      </c>
    </row>
    <row r="2299" spans="1:9" x14ac:dyDescent="0.25">
      <c r="A2299" s="125" t="s">
        <v>1817</v>
      </c>
      <c r="B2299" s="125" t="s">
        <v>5630</v>
      </c>
      <c r="C2299" s="125">
        <v>216</v>
      </c>
      <c r="D2299" s="125" t="s">
        <v>6116</v>
      </c>
      <c r="E2299" s="125" t="s">
        <v>5295</v>
      </c>
      <c r="F2299" s="125" t="s">
        <v>5296</v>
      </c>
      <c r="G2299" s="125" t="s">
        <v>5297</v>
      </c>
      <c r="H2299" s="125" t="s">
        <v>5480</v>
      </c>
      <c r="I2299" s="125" t="s">
        <v>3700</v>
      </c>
    </row>
    <row r="2300" spans="1:9" x14ac:dyDescent="0.25">
      <c r="A2300" s="125" t="s">
        <v>2933</v>
      </c>
      <c r="B2300" s="125" t="s">
        <v>5630</v>
      </c>
      <c r="C2300" s="125">
        <v>216</v>
      </c>
      <c r="D2300" s="125" t="s">
        <v>6116</v>
      </c>
      <c r="E2300" s="125" t="s">
        <v>5295</v>
      </c>
      <c r="F2300" s="125" t="s">
        <v>5296</v>
      </c>
      <c r="G2300" s="125" t="s">
        <v>5297</v>
      </c>
      <c r="H2300" s="125" t="s">
        <v>5505</v>
      </c>
      <c r="I2300" s="125" t="s">
        <v>3482</v>
      </c>
    </row>
    <row r="2301" spans="1:9" x14ac:dyDescent="0.25">
      <c r="A2301" s="125" t="s">
        <v>1497</v>
      </c>
      <c r="B2301" s="125" t="s">
        <v>5339</v>
      </c>
      <c r="C2301" s="125">
        <v>235</v>
      </c>
      <c r="D2301" s="139" t="s">
        <v>5340</v>
      </c>
      <c r="E2301" s="125" t="s">
        <v>5341</v>
      </c>
      <c r="F2301" s="140" t="s">
        <v>5342</v>
      </c>
      <c r="G2301" s="125" t="s">
        <v>5297</v>
      </c>
      <c r="H2301" s="125" t="s">
        <v>1312</v>
      </c>
      <c r="I2301" s="125" t="s">
        <v>5366</v>
      </c>
    </row>
    <row r="2302" spans="1:9" x14ac:dyDescent="0.25">
      <c r="A2302" s="125" t="s">
        <v>1407</v>
      </c>
      <c r="B2302" s="125" t="s">
        <v>5339</v>
      </c>
      <c r="C2302" s="125">
        <v>235</v>
      </c>
      <c r="D2302" s="139" t="s">
        <v>5340</v>
      </c>
      <c r="E2302" s="125" t="s">
        <v>5341</v>
      </c>
      <c r="F2302" s="140" t="s">
        <v>5342</v>
      </c>
      <c r="G2302" s="125" t="s">
        <v>5297</v>
      </c>
      <c r="H2302" s="125" t="s">
        <v>5527</v>
      </c>
      <c r="I2302" s="125" t="s">
        <v>5495</v>
      </c>
    </row>
    <row r="2303" spans="1:9" x14ac:dyDescent="0.25">
      <c r="A2303" s="125" t="s">
        <v>1074</v>
      </c>
      <c r="B2303" s="125" t="s">
        <v>5339</v>
      </c>
      <c r="C2303" s="125">
        <v>235</v>
      </c>
      <c r="D2303" s="139" t="s">
        <v>5340</v>
      </c>
      <c r="E2303" s="125" t="s">
        <v>5341</v>
      </c>
      <c r="F2303" s="140" t="s">
        <v>5342</v>
      </c>
      <c r="G2303" s="125" t="s">
        <v>5297</v>
      </c>
      <c r="H2303" s="125" t="s">
        <v>5527</v>
      </c>
      <c r="I2303" s="125" t="s">
        <v>5495</v>
      </c>
    </row>
    <row r="2304" spans="1:9" x14ac:dyDescent="0.25">
      <c r="A2304" s="125" t="s">
        <v>2264</v>
      </c>
      <c r="B2304" s="125" t="s">
        <v>5339</v>
      </c>
      <c r="C2304" s="125">
        <v>235</v>
      </c>
      <c r="D2304" s="139" t="s">
        <v>5340</v>
      </c>
      <c r="E2304" s="125" t="s">
        <v>5341</v>
      </c>
      <c r="F2304" s="140" t="s">
        <v>5342</v>
      </c>
      <c r="G2304" s="125" t="s">
        <v>5297</v>
      </c>
      <c r="H2304" s="125" t="s">
        <v>371</v>
      </c>
      <c r="I2304" s="125" t="s">
        <v>371</v>
      </c>
    </row>
    <row r="2305" spans="1:9" x14ac:dyDescent="0.25">
      <c r="A2305" s="125" t="s">
        <v>1339</v>
      </c>
      <c r="B2305" s="125" t="s">
        <v>5339</v>
      </c>
      <c r="C2305" s="125">
        <v>235</v>
      </c>
      <c r="D2305" s="139" t="s">
        <v>5340</v>
      </c>
      <c r="E2305" s="125" t="s">
        <v>5341</v>
      </c>
      <c r="F2305" s="140" t="s">
        <v>5342</v>
      </c>
      <c r="G2305" s="125" t="s">
        <v>5297</v>
      </c>
      <c r="H2305" s="125" t="s">
        <v>1873</v>
      </c>
      <c r="I2305" s="125" t="s">
        <v>3487</v>
      </c>
    </row>
    <row r="2306" spans="1:9" x14ac:dyDescent="0.25">
      <c r="A2306" s="125" t="s">
        <v>1495</v>
      </c>
      <c r="B2306" s="125" t="s">
        <v>5339</v>
      </c>
      <c r="C2306" s="125">
        <v>235</v>
      </c>
      <c r="D2306" s="139" t="s">
        <v>5340</v>
      </c>
      <c r="E2306" s="125" t="s">
        <v>5341</v>
      </c>
      <c r="F2306" s="140" t="s">
        <v>5342</v>
      </c>
      <c r="G2306" s="125" t="s">
        <v>5297</v>
      </c>
      <c r="H2306" s="125" t="s">
        <v>5916</v>
      </c>
      <c r="I2306" s="125" t="s">
        <v>5366</v>
      </c>
    </row>
    <row r="2307" spans="1:9" x14ac:dyDescent="0.25">
      <c r="A2307" s="125" t="s">
        <v>1429</v>
      </c>
      <c r="B2307" s="125" t="s">
        <v>5339</v>
      </c>
      <c r="C2307" s="125">
        <v>235</v>
      </c>
      <c r="D2307" s="139" t="s">
        <v>5340</v>
      </c>
      <c r="E2307" s="125" t="s">
        <v>5341</v>
      </c>
      <c r="F2307" s="140" t="s">
        <v>5342</v>
      </c>
      <c r="G2307" s="125" t="s">
        <v>5297</v>
      </c>
      <c r="H2307" s="125" t="s">
        <v>371</v>
      </c>
      <c r="I2307" s="125" t="s">
        <v>371</v>
      </c>
    </row>
    <row r="2308" spans="1:9" x14ac:dyDescent="0.25">
      <c r="A2308" s="125" t="s">
        <v>2759</v>
      </c>
      <c r="B2308" s="125" t="s">
        <v>5339</v>
      </c>
      <c r="C2308" s="125">
        <v>235</v>
      </c>
      <c r="D2308" s="139" t="s">
        <v>5340</v>
      </c>
      <c r="E2308" s="125" t="s">
        <v>5341</v>
      </c>
      <c r="F2308" s="140" t="s">
        <v>5342</v>
      </c>
      <c r="G2308" s="125" t="s">
        <v>5297</v>
      </c>
      <c r="H2308" s="125" t="s">
        <v>371</v>
      </c>
      <c r="I2308" s="125" t="s">
        <v>371</v>
      </c>
    </row>
    <row r="2309" spans="1:9" x14ac:dyDescent="0.25">
      <c r="A2309" s="125" t="s">
        <v>2556</v>
      </c>
      <c r="B2309" s="125" t="s">
        <v>5339</v>
      </c>
      <c r="C2309" s="125">
        <v>235</v>
      </c>
      <c r="D2309" s="139" t="s">
        <v>5340</v>
      </c>
      <c r="E2309" s="125" t="s">
        <v>5341</v>
      </c>
      <c r="F2309" s="140" t="s">
        <v>5342</v>
      </c>
      <c r="G2309" s="125" t="s">
        <v>5297</v>
      </c>
      <c r="H2309" s="125" t="s">
        <v>5540</v>
      </c>
      <c r="I2309" s="125" t="s">
        <v>3487</v>
      </c>
    </row>
    <row r="2310" spans="1:9" x14ac:dyDescent="0.25">
      <c r="A2310" s="125" t="s">
        <v>1313</v>
      </c>
      <c r="B2310" s="125" t="s">
        <v>5339</v>
      </c>
      <c r="C2310" s="125">
        <v>235</v>
      </c>
      <c r="D2310" s="139" t="s">
        <v>5340</v>
      </c>
      <c r="E2310" s="125" t="s">
        <v>5341</v>
      </c>
      <c r="F2310" s="140" t="s">
        <v>5342</v>
      </c>
      <c r="G2310" s="125" t="s">
        <v>5297</v>
      </c>
      <c r="H2310" s="125" t="s">
        <v>1312</v>
      </c>
      <c r="I2310" s="125" t="s">
        <v>5366</v>
      </c>
    </row>
    <row r="2311" spans="1:9" x14ac:dyDescent="0.25">
      <c r="A2311" s="125" t="s">
        <v>1874</v>
      </c>
      <c r="B2311" s="125" t="s">
        <v>5339</v>
      </c>
      <c r="C2311" s="125">
        <v>235</v>
      </c>
      <c r="D2311" s="139" t="s">
        <v>5340</v>
      </c>
      <c r="E2311" s="125" t="s">
        <v>5341</v>
      </c>
      <c r="F2311" s="140" t="s">
        <v>5342</v>
      </c>
      <c r="G2311" s="125" t="s">
        <v>5297</v>
      </c>
      <c r="H2311" s="125" t="s">
        <v>1873</v>
      </c>
      <c r="I2311" s="125" t="s">
        <v>3487</v>
      </c>
    </row>
    <row r="2312" spans="1:9" x14ac:dyDescent="0.25">
      <c r="A2312" s="125" t="s">
        <v>2400</v>
      </c>
      <c r="B2312" s="125" t="s">
        <v>5339</v>
      </c>
      <c r="C2312" s="125">
        <v>235</v>
      </c>
      <c r="D2312" s="139" t="s">
        <v>5340</v>
      </c>
      <c r="E2312" s="125" t="s">
        <v>5341</v>
      </c>
      <c r="F2312" s="140" t="s">
        <v>5342</v>
      </c>
      <c r="G2312" s="125" t="s">
        <v>5297</v>
      </c>
      <c r="H2312" s="125" t="s">
        <v>371</v>
      </c>
      <c r="I2312" s="125" t="s">
        <v>371</v>
      </c>
    </row>
    <row r="2313" spans="1:9" x14ac:dyDescent="0.25">
      <c r="A2313" s="125" t="s">
        <v>3033</v>
      </c>
      <c r="B2313" s="125" t="s">
        <v>5339</v>
      </c>
      <c r="C2313" s="125">
        <v>235</v>
      </c>
      <c r="D2313" s="139" t="s">
        <v>5340</v>
      </c>
      <c r="E2313" s="125" t="s">
        <v>5341</v>
      </c>
      <c r="F2313" s="140" t="s">
        <v>5342</v>
      </c>
      <c r="G2313" s="125" t="s">
        <v>5297</v>
      </c>
      <c r="H2313" s="125" t="s">
        <v>1312</v>
      </c>
      <c r="I2313" s="125" t="s">
        <v>5366</v>
      </c>
    </row>
    <row r="2314" spans="1:9" x14ac:dyDescent="0.25">
      <c r="A2314" s="125" t="s">
        <v>1498</v>
      </c>
      <c r="B2314" s="125" t="s">
        <v>5339</v>
      </c>
      <c r="C2314" s="125">
        <v>235</v>
      </c>
      <c r="D2314" s="139" t="s">
        <v>5340</v>
      </c>
      <c r="E2314" s="125" t="s">
        <v>5341</v>
      </c>
      <c r="F2314" s="140" t="s">
        <v>5342</v>
      </c>
      <c r="G2314" s="125" t="s">
        <v>5297</v>
      </c>
      <c r="H2314" s="125" t="s">
        <v>1312</v>
      </c>
      <c r="I2314" s="125" t="s">
        <v>5366</v>
      </c>
    </row>
    <row r="2315" spans="1:9" x14ac:dyDescent="0.25">
      <c r="A2315" s="125" t="s">
        <v>2697</v>
      </c>
      <c r="B2315" s="125" t="s">
        <v>5339</v>
      </c>
      <c r="C2315" s="125">
        <v>235</v>
      </c>
      <c r="D2315" s="139" t="s">
        <v>5340</v>
      </c>
      <c r="E2315" s="125" t="s">
        <v>5341</v>
      </c>
      <c r="F2315" s="140" t="s">
        <v>5342</v>
      </c>
      <c r="G2315" s="125" t="s">
        <v>5297</v>
      </c>
      <c r="H2315" s="125" t="s">
        <v>1312</v>
      </c>
      <c r="I2315" s="125" t="s">
        <v>5366</v>
      </c>
    </row>
    <row r="2316" spans="1:9" x14ac:dyDescent="0.25">
      <c r="A2316" s="125" t="s">
        <v>2305</v>
      </c>
      <c r="B2316" s="125" t="s">
        <v>5339</v>
      </c>
      <c r="C2316" s="125">
        <v>235</v>
      </c>
      <c r="D2316" s="139" t="s">
        <v>5340</v>
      </c>
      <c r="E2316" s="125" t="s">
        <v>5341</v>
      </c>
      <c r="F2316" s="140" t="s">
        <v>5342</v>
      </c>
      <c r="G2316" s="125" t="s">
        <v>5297</v>
      </c>
      <c r="H2316" s="125" t="s">
        <v>1312</v>
      </c>
      <c r="I2316" s="125" t="s">
        <v>5366</v>
      </c>
    </row>
    <row r="2317" spans="1:9" x14ac:dyDescent="0.25">
      <c r="A2317" s="125" t="s">
        <v>1501</v>
      </c>
      <c r="B2317" s="125" t="s">
        <v>5339</v>
      </c>
      <c r="C2317" s="125">
        <v>235</v>
      </c>
      <c r="D2317" s="139" t="s">
        <v>5340</v>
      </c>
      <c r="E2317" s="125" t="s">
        <v>5341</v>
      </c>
      <c r="F2317" s="140" t="s">
        <v>5342</v>
      </c>
      <c r="G2317" s="125" t="s">
        <v>5297</v>
      </c>
      <c r="H2317" s="125" t="s">
        <v>1312</v>
      </c>
      <c r="I2317" s="125" t="s">
        <v>5366</v>
      </c>
    </row>
    <row r="2318" spans="1:9" x14ac:dyDescent="0.25">
      <c r="A2318" s="125" t="s">
        <v>1423</v>
      </c>
      <c r="B2318" s="125" t="s">
        <v>5339</v>
      </c>
      <c r="C2318" s="125">
        <v>235</v>
      </c>
      <c r="D2318" s="139" t="s">
        <v>5340</v>
      </c>
      <c r="E2318" s="125" t="s">
        <v>5341</v>
      </c>
      <c r="F2318" s="140" t="s">
        <v>5342</v>
      </c>
      <c r="G2318" s="125" t="s">
        <v>5297</v>
      </c>
      <c r="H2318" s="125" t="s">
        <v>1312</v>
      </c>
      <c r="I2318" s="125" t="s">
        <v>5366</v>
      </c>
    </row>
    <row r="2319" spans="1:9" x14ac:dyDescent="0.25">
      <c r="A2319" s="125" t="s">
        <v>1496</v>
      </c>
      <c r="B2319" s="125" t="s">
        <v>5339</v>
      </c>
      <c r="C2319" s="125">
        <v>235</v>
      </c>
      <c r="D2319" s="139" t="s">
        <v>5340</v>
      </c>
      <c r="E2319" s="125" t="s">
        <v>5341</v>
      </c>
      <c r="F2319" s="140" t="s">
        <v>5342</v>
      </c>
      <c r="G2319" s="125" t="s">
        <v>5297</v>
      </c>
      <c r="H2319" s="125" t="s">
        <v>5527</v>
      </c>
      <c r="I2319" s="125" t="s">
        <v>5495</v>
      </c>
    </row>
    <row r="2320" spans="1:9" x14ac:dyDescent="0.25">
      <c r="A2320" s="125" t="s">
        <v>3193</v>
      </c>
      <c r="B2320" s="125" t="s">
        <v>5716</v>
      </c>
      <c r="C2320" s="125">
        <v>229</v>
      </c>
      <c r="D2320" s="125" t="s">
        <v>5717</v>
      </c>
      <c r="E2320" s="125" t="s">
        <v>5295</v>
      </c>
      <c r="F2320" s="125" t="s">
        <v>5296</v>
      </c>
      <c r="G2320" s="125" t="s">
        <v>5297</v>
      </c>
      <c r="H2320" s="125" t="s">
        <v>6118</v>
      </c>
      <c r="I2320" s="125" t="s">
        <v>5718</v>
      </c>
    </row>
    <row r="2321" spans="1:9" x14ac:dyDescent="0.25">
      <c r="A2321" s="125" t="s">
        <v>2095</v>
      </c>
      <c r="B2321" s="125" t="s">
        <v>5716</v>
      </c>
      <c r="C2321" s="125">
        <v>229</v>
      </c>
      <c r="D2321" s="125" t="s">
        <v>5717</v>
      </c>
      <c r="E2321" s="125" t="s">
        <v>5295</v>
      </c>
      <c r="F2321" s="125" t="s">
        <v>5296</v>
      </c>
      <c r="G2321" s="125" t="s">
        <v>5297</v>
      </c>
      <c r="H2321" s="125" t="s">
        <v>2094</v>
      </c>
      <c r="I2321" s="125" t="s">
        <v>3573</v>
      </c>
    </row>
    <row r="2322" spans="1:9" x14ac:dyDescent="0.25">
      <c r="A2322" s="125" t="s">
        <v>2352</v>
      </c>
      <c r="B2322" s="125" t="s">
        <v>5716</v>
      </c>
      <c r="C2322" s="125">
        <v>229</v>
      </c>
      <c r="D2322" s="125" t="s">
        <v>5717</v>
      </c>
      <c r="E2322" s="125" t="s">
        <v>5295</v>
      </c>
      <c r="F2322" s="125" t="s">
        <v>5296</v>
      </c>
      <c r="G2322" s="125" t="s">
        <v>5297</v>
      </c>
      <c r="H2322" s="125" t="s">
        <v>2094</v>
      </c>
      <c r="I2322" s="125" t="s">
        <v>3573</v>
      </c>
    </row>
    <row r="2323" spans="1:9" x14ac:dyDescent="0.25">
      <c r="A2323" s="125" t="s">
        <v>2330</v>
      </c>
      <c r="B2323" s="125" t="s">
        <v>5716</v>
      </c>
      <c r="C2323" s="125">
        <v>229</v>
      </c>
      <c r="D2323" s="125" t="s">
        <v>5717</v>
      </c>
      <c r="E2323" s="125" t="s">
        <v>5295</v>
      </c>
      <c r="F2323" s="125" t="s">
        <v>5296</v>
      </c>
      <c r="G2323" s="125" t="s">
        <v>5297</v>
      </c>
      <c r="H2323" s="125" t="s">
        <v>2094</v>
      </c>
      <c r="I2323" s="125" t="s">
        <v>3573</v>
      </c>
    </row>
    <row r="2324" spans="1:9" x14ac:dyDescent="0.25">
      <c r="A2324" s="125" t="s">
        <v>1120</v>
      </c>
      <c r="B2324" s="125" t="s">
        <v>5716</v>
      </c>
      <c r="C2324" s="125">
        <v>229</v>
      </c>
      <c r="D2324" s="125" t="s">
        <v>5717</v>
      </c>
      <c r="E2324" s="125" t="s">
        <v>5295</v>
      </c>
      <c r="F2324" s="125" t="s">
        <v>5296</v>
      </c>
      <c r="G2324" s="125" t="s">
        <v>5297</v>
      </c>
      <c r="H2324" s="125" t="s">
        <v>6119</v>
      </c>
      <c r="I2324" s="125" t="s">
        <v>3573</v>
      </c>
    </row>
    <row r="2325" spans="1:9" x14ac:dyDescent="0.25">
      <c r="A2325" s="125" t="s">
        <v>1532</v>
      </c>
      <c r="B2325" s="125" t="s">
        <v>5716</v>
      </c>
      <c r="C2325" s="125">
        <v>229</v>
      </c>
      <c r="D2325" s="125" t="s">
        <v>5717</v>
      </c>
      <c r="E2325" s="125" t="s">
        <v>5295</v>
      </c>
      <c r="F2325" s="125" t="s">
        <v>5296</v>
      </c>
      <c r="G2325" s="125" t="s">
        <v>5297</v>
      </c>
      <c r="H2325" s="125" t="s">
        <v>6119</v>
      </c>
      <c r="I2325" s="125" t="s">
        <v>3573</v>
      </c>
    </row>
    <row r="2326" spans="1:9" x14ac:dyDescent="0.25">
      <c r="A2326" s="125" t="s">
        <v>1076</v>
      </c>
      <c r="B2326" s="125" t="s">
        <v>5716</v>
      </c>
      <c r="C2326" s="125">
        <v>229</v>
      </c>
      <c r="D2326" s="125" t="s">
        <v>5717</v>
      </c>
      <c r="E2326" s="125" t="s">
        <v>5295</v>
      </c>
      <c r="F2326" s="125" t="s">
        <v>5296</v>
      </c>
      <c r="G2326" s="125" t="s">
        <v>5297</v>
      </c>
      <c r="H2326" s="125" t="s">
        <v>6119</v>
      </c>
      <c r="I2326" s="125" t="s">
        <v>3573</v>
      </c>
    </row>
    <row r="2327" spans="1:9" x14ac:dyDescent="0.25">
      <c r="A2327" s="125" t="s">
        <v>2817</v>
      </c>
      <c r="B2327" s="125" t="s">
        <v>5716</v>
      </c>
      <c r="C2327" s="125">
        <v>229</v>
      </c>
      <c r="D2327" s="125" t="s">
        <v>5717</v>
      </c>
      <c r="E2327" s="125" t="s">
        <v>5295</v>
      </c>
      <c r="F2327" s="125" t="s">
        <v>5296</v>
      </c>
      <c r="G2327" s="125" t="s">
        <v>5297</v>
      </c>
      <c r="H2327" s="125" t="s">
        <v>6119</v>
      </c>
      <c r="I2327" s="125" t="s">
        <v>3573</v>
      </c>
    </row>
    <row r="2328" spans="1:9" x14ac:dyDescent="0.25">
      <c r="A2328" s="125" t="s">
        <v>2642</v>
      </c>
      <c r="B2328" s="125" t="s">
        <v>5716</v>
      </c>
      <c r="C2328" s="125">
        <v>229</v>
      </c>
      <c r="D2328" s="125" t="s">
        <v>5717</v>
      </c>
      <c r="E2328" s="125" t="s">
        <v>5295</v>
      </c>
      <c r="F2328" s="125" t="s">
        <v>5296</v>
      </c>
      <c r="G2328" s="125" t="s">
        <v>5297</v>
      </c>
      <c r="H2328" s="125" t="s">
        <v>5719</v>
      </c>
      <c r="I2328" s="125" t="s">
        <v>5718</v>
      </c>
    </row>
    <row r="2329" spans="1:9" x14ac:dyDescent="0.25">
      <c r="A2329" s="125" t="s">
        <v>1084</v>
      </c>
      <c r="B2329" s="125" t="s">
        <v>5716</v>
      </c>
      <c r="C2329" s="125">
        <v>229</v>
      </c>
      <c r="D2329" s="125" t="s">
        <v>5717</v>
      </c>
      <c r="E2329" s="125" t="s">
        <v>5295</v>
      </c>
      <c r="F2329" s="125" t="s">
        <v>5296</v>
      </c>
      <c r="G2329" s="125" t="s">
        <v>5297</v>
      </c>
      <c r="H2329" s="125" t="s">
        <v>5720</v>
      </c>
      <c r="I2329" s="125" t="s">
        <v>5718</v>
      </c>
    </row>
    <row r="2330" spans="1:9" x14ac:dyDescent="0.25">
      <c r="A2330" s="125" t="s">
        <v>2749</v>
      </c>
      <c r="B2330" s="125" t="s">
        <v>5513</v>
      </c>
      <c r="C2330" s="125">
        <v>238</v>
      </c>
      <c r="D2330" s="125" t="s">
        <v>5514</v>
      </c>
      <c r="E2330" s="125" t="s">
        <v>5364</v>
      </c>
      <c r="F2330" s="125" t="s">
        <v>5365</v>
      </c>
      <c r="G2330" s="125" t="s">
        <v>5297</v>
      </c>
      <c r="H2330" s="125" t="s">
        <v>2748</v>
      </c>
      <c r="I2330" s="125" t="s">
        <v>5375</v>
      </c>
    </row>
    <row r="2331" spans="1:9" x14ac:dyDescent="0.25">
      <c r="A2331" s="125" t="s">
        <v>6120</v>
      </c>
      <c r="B2331" s="125" t="s">
        <v>5513</v>
      </c>
      <c r="C2331" s="125">
        <v>238</v>
      </c>
      <c r="D2331" s="125" t="s">
        <v>5514</v>
      </c>
      <c r="E2331" s="125" t="s">
        <v>5364</v>
      </c>
      <c r="F2331" s="125" t="s">
        <v>5365</v>
      </c>
      <c r="G2331" s="125" t="s">
        <v>5297</v>
      </c>
      <c r="H2331" s="125" t="s">
        <v>2748</v>
      </c>
      <c r="I2331" s="125" t="s">
        <v>5375</v>
      </c>
    </row>
    <row r="2332" spans="1:9" x14ac:dyDescent="0.25">
      <c r="A2332" s="125" t="s">
        <v>3394</v>
      </c>
      <c r="B2332" s="125" t="s">
        <v>5513</v>
      </c>
      <c r="C2332" s="125">
        <v>238</v>
      </c>
      <c r="D2332" s="125" t="s">
        <v>5514</v>
      </c>
      <c r="E2332" s="125" t="s">
        <v>5364</v>
      </c>
      <c r="F2332" s="125" t="s">
        <v>5365</v>
      </c>
      <c r="G2332" s="125" t="s">
        <v>5297</v>
      </c>
      <c r="H2332" s="125" t="s">
        <v>2748</v>
      </c>
      <c r="I2332" s="125" t="s">
        <v>5375</v>
      </c>
    </row>
    <row r="2333" spans="1:9" x14ac:dyDescent="0.25">
      <c r="A2333" s="125" t="s">
        <v>6121</v>
      </c>
      <c r="B2333" s="125" t="s">
        <v>5513</v>
      </c>
      <c r="C2333" s="125">
        <v>238</v>
      </c>
      <c r="D2333" s="125" t="s">
        <v>5514</v>
      </c>
      <c r="E2333" s="125" t="s">
        <v>5364</v>
      </c>
      <c r="F2333" s="125" t="s">
        <v>5365</v>
      </c>
      <c r="G2333" s="125" t="s">
        <v>5297</v>
      </c>
      <c r="H2333" s="125" t="s">
        <v>5516</v>
      </c>
      <c r="I2333" s="125" t="s">
        <v>5375</v>
      </c>
    </row>
    <row r="2334" spans="1:9" x14ac:dyDescent="0.25">
      <c r="A2334" s="125" t="s">
        <v>2230</v>
      </c>
      <c r="B2334" s="125" t="s">
        <v>5513</v>
      </c>
      <c r="C2334" s="125">
        <v>238</v>
      </c>
      <c r="D2334" s="125" t="s">
        <v>5514</v>
      </c>
      <c r="E2334" s="125" t="s">
        <v>5364</v>
      </c>
      <c r="F2334" s="125" t="s">
        <v>5365</v>
      </c>
      <c r="G2334" s="125" t="s">
        <v>5297</v>
      </c>
      <c r="H2334" s="125" t="s">
        <v>2748</v>
      </c>
      <c r="I2334" s="125" t="s">
        <v>5375</v>
      </c>
    </row>
    <row r="2335" spans="1:9" x14ac:dyDescent="0.25">
      <c r="A2335" s="125" t="s">
        <v>2224</v>
      </c>
      <c r="B2335" s="125" t="s">
        <v>5513</v>
      </c>
      <c r="C2335" s="125">
        <v>238</v>
      </c>
      <c r="D2335" s="125" t="s">
        <v>5514</v>
      </c>
      <c r="E2335" s="125" t="s">
        <v>5364</v>
      </c>
      <c r="F2335" s="125" t="s">
        <v>5365</v>
      </c>
      <c r="G2335" s="125" t="s">
        <v>5297</v>
      </c>
      <c r="H2335" s="125" t="s">
        <v>2748</v>
      </c>
      <c r="I2335" s="125" t="s">
        <v>5375</v>
      </c>
    </row>
    <row r="2336" spans="1:9" x14ac:dyDescent="0.25">
      <c r="A2336" s="125" t="s">
        <v>6122</v>
      </c>
      <c r="B2336" s="125" t="s">
        <v>5513</v>
      </c>
      <c r="C2336" s="125">
        <v>238</v>
      </c>
      <c r="D2336" s="125" t="s">
        <v>5514</v>
      </c>
      <c r="E2336" s="125" t="s">
        <v>5364</v>
      </c>
      <c r="F2336" s="125" t="s">
        <v>5365</v>
      </c>
      <c r="G2336" s="125" t="s">
        <v>5297</v>
      </c>
      <c r="H2336" s="125" t="s">
        <v>5517</v>
      </c>
      <c r="I2336" s="125" t="s">
        <v>1953</v>
      </c>
    </row>
    <row r="2337" spans="1:9" x14ac:dyDescent="0.25">
      <c r="A2337" s="125" t="s">
        <v>1743</v>
      </c>
      <c r="B2337" s="125" t="s">
        <v>5327</v>
      </c>
      <c r="C2337" s="125">
        <v>227</v>
      </c>
      <c r="D2337" s="125" t="s">
        <v>6093</v>
      </c>
      <c r="E2337" s="125" t="s">
        <v>5303</v>
      </c>
      <c r="F2337" s="125" t="s">
        <v>5304</v>
      </c>
      <c r="G2337" s="125" t="s">
        <v>5297</v>
      </c>
      <c r="H2337" s="125" t="s">
        <v>1247</v>
      </c>
      <c r="I2337" s="125" t="s">
        <v>5332</v>
      </c>
    </row>
    <row r="2338" spans="1:9" x14ac:dyDescent="0.25">
      <c r="A2338" s="125" t="s">
        <v>1243</v>
      </c>
      <c r="B2338" s="125" t="s">
        <v>5327</v>
      </c>
      <c r="C2338" s="125">
        <v>227</v>
      </c>
      <c r="D2338" s="125" t="s">
        <v>6093</v>
      </c>
      <c r="E2338" s="125" t="s">
        <v>5303</v>
      </c>
      <c r="F2338" s="125" t="s">
        <v>5304</v>
      </c>
      <c r="G2338" s="125" t="s">
        <v>5297</v>
      </c>
      <c r="H2338" s="125" t="s">
        <v>371</v>
      </c>
      <c r="I2338" s="125" t="s">
        <v>371</v>
      </c>
    </row>
    <row r="2339" spans="1:9" x14ac:dyDescent="0.25">
      <c r="A2339" s="125" t="s">
        <v>1404</v>
      </c>
      <c r="B2339" s="125" t="s">
        <v>5327</v>
      </c>
      <c r="C2339" s="125">
        <v>227</v>
      </c>
      <c r="D2339" s="125" t="s">
        <v>6093</v>
      </c>
      <c r="E2339" s="125" t="s">
        <v>5303</v>
      </c>
      <c r="F2339" s="125" t="s">
        <v>5304</v>
      </c>
      <c r="G2339" s="125" t="s">
        <v>5297</v>
      </c>
      <c r="H2339" s="125" t="s">
        <v>5332</v>
      </c>
      <c r="I2339" s="125" t="s">
        <v>5332</v>
      </c>
    </row>
    <row r="2340" spans="1:9" x14ac:dyDescent="0.25">
      <c r="A2340" s="125" t="s">
        <v>1667</v>
      </c>
      <c r="B2340" s="125" t="s">
        <v>5327</v>
      </c>
      <c r="C2340" s="125">
        <v>227</v>
      </c>
      <c r="D2340" s="125" t="s">
        <v>6093</v>
      </c>
      <c r="E2340" s="125" t="s">
        <v>5303</v>
      </c>
      <c r="F2340" s="125" t="s">
        <v>5304</v>
      </c>
      <c r="G2340" s="125" t="s">
        <v>5297</v>
      </c>
      <c r="H2340" s="125" t="s">
        <v>5332</v>
      </c>
      <c r="I2340" s="125" t="s">
        <v>5332</v>
      </c>
    </row>
    <row r="2341" spans="1:9" x14ac:dyDescent="0.25">
      <c r="A2341" s="125" t="s">
        <v>1487</v>
      </c>
      <c r="B2341" s="125" t="s">
        <v>5327</v>
      </c>
      <c r="C2341" s="125">
        <v>227</v>
      </c>
      <c r="D2341" s="125" t="s">
        <v>6093</v>
      </c>
      <c r="E2341" s="125" t="s">
        <v>5303</v>
      </c>
      <c r="F2341" s="125" t="s">
        <v>5304</v>
      </c>
      <c r="G2341" s="125" t="s">
        <v>5297</v>
      </c>
      <c r="H2341" s="125" t="s">
        <v>5332</v>
      </c>
      <c r="I2341" s="125" t="s">
        <v>5332</v>
      </c>
    </row>
    <row r="2342" spans="1:9" x14ac:dyDescent="0.25">
      <c r="A2342" s="125" t="s">
        <v>3136</v>
      </c>
      <c r="B2342" s="125" t="s">
        <v>5327</v>
      </c>
      <c r="C2342" s="125">
        <v>227</v>
      </c>
      <c r="D2342" s="125" t="s">
        <v>6093</v>
      </c>
      <c r="E2342" s="125" t="s">
        <v>5303</v>
      </c>
      <c r="F2342" s="125" t="s">
        <v>5304</v>
      </c>
      <c r="G2342" s="125" t="s">
        <v>5297</v>
      </c>
      <c r="H2342" s="125" t="s">
        <v>5332</v>
      </c>
      <c r="I2342" s="125" t="s">
        <v>5332</v>
      </c>
    </row>
    <row r="2343" spans="1:9" x14ac:dyDescent="0.25">
      <c r="A2343" s="125" t="s">
        <v>2692</v>
      </c>
      <c r="B2343" s="125" t="s">
        <v>5327</v>
      </c>
      <c r="C2343" s="125">
        <v>227</v>
      </c>
      <c r="D2343" s="125" t="s">
        <v>6093</v>
      </c>
      <c r="E2343" s="125" t="s">
        <v>5303</v>
      </c>
      <c r="F2343" s="125" t="s">
        <v>5304</v>
      </c>
      <c r="G2343" s="125" t="s">
        <v>5297</v>
      </c>
      <c r="H2343" s="125" t="s">
        <v>5332</v>
      </c>
      <c r="I2343" s="125" t="s">
        <v>5332</v>
      </c>
    </row>
    <row r="2344" spans="1:9" x14ac:dyDescent="0.25">
      <c r="A2344" s="125" t="s">
        <v>2838</v>
      </c>
      <c r="B2344" s="125" t="s">
        <v>5327</v>
      </c>
      <c r="C2344" s="125">
        <v>227</v>
      </c>
      <c r="D2344" s="125" t="s">
        <v>6093</v>
      </c>
      <c r="E2344" s="125" t="s">
        <v>5303</v>
      </c>
      <c r="F2344" s="125" t="s">
        <v>5304</v>
      </c>
      <c r="G2344" s="125" t="s">
        <v>5297</v>
      </c>
      <c r="H2344" s="125" t="s">
        <v>5332</v>
      </c>
      <c r="I2344" s="125" t="s">
        <v>5332</v>
      </c>
    </row>
    <row r="2345" spans="1:9" x14ac:dyDescent="0.25">
      <c r="A2345" s="125" t="s">
        <v>1274</v>
      </c>
      <c r="B2345" s="125" t="s">
        <v>5327</v>
      </c>
      <c r="C2345" s="125">
        <v>227</v>
      </c>
      <c r="D2345" s="125" t="s">
        <v>6093</v>
      </c>
      <c r="E2345" s="125" t="s">
        <v>5303</v>
      </c>
      <c r="F2345" s="125" t="s">
        <v>5304</v>
      </c>
      <c r="G2345" s="125" t="s">
        <v>5297</v>
      </c>
      <c r="H2345" s="125" t="s">
        <v>1247</v>
      </c>
      <c r="I2345" s="125" t="s">
        <v>5332</v>
      </c>
    </row>
    <row r="2346" spans="1:9" x14ac:dyDescent="0.25">
      <c r="A2346" s="125" t="s">
        <v>2940</v>
      </c>
      <c r="B2346" s="125" t="s">
        <v>5327</v>
      </c>
      <c r="C2346" s="125">
        <v>227</v>
      </c>
      <c r="D2346" s="125" t="s">
        <v>6093</v>
      </c>
      <c r="E2346" s="125" t="s">
        <v>5303</v>
      </c>
      <c r="F2346" s="125" t="s">
        <v>5304</v>
      </c>
      <c r="G2346" s="125" t="s">
        <v>5297</v>
      </c>
      <c r="H2346" s="125" t="s">
        <v>1247</v>
      </c>
      <c r="I2346" s="125" t="s">
        <v>5332</v>
      </c>
    </row>
    <row r="2347" spans="1:9" x14ac:dyDescent="0.25">
      <c r="A2347" s="125" t="s">
        <v>3448</v>
      </c>
      <c r="B2347" s="125" t="s">
        <v>5327</v>
      </c>
      <c r="C2347" s="125">
        <v>227</v>
      </c>
      <c r="D2347" s="125" t="s">
        <v>6093</v>
      </c>
      <c r="E2347" s="125" t="s">
        <v>5303</v>
      </c>
      <c r="F2347" s="125" t="s">
        <v>5304</v>
      </c>
      <c r="G2347" s="125" t="s">
        <v>5297</v>
      </c>
      <c r="H2347" s="125" t="s">
        <v>1247</v>
      </c>
      <c r="I2347" s="125" t="s">
        <v>5332</v>
      </c>
    </row>
    <row r="2348" spans="1:9" x14ac:dyDescent="0.25">
      <c r="A2348" s="125" t="s">
        <v>1248</v>
      </c>
      <c r="B2348" s="125" t="s">
        <v>5327</v>
      </c>
      <c r="C2348" s="125">
        <v>227</v>
      </c>
      <c r="D2348" s="125" t="s">
        <v>6093</v>
      </c>
      <c r="E2348" s="125" t="s">
        <v>5303</v>
      </c>
      <c r="F2348" s="125" t="s">
        <v>5304</v>
      </c>
      <c r="G2348" s="125" t="s">
        <v>5297</v>
      </c>
      <c r="H2348" s="125" t="s">
        <v>1247</v>
      </c>
      <c r="I2348" s="125" t="s">
        <v>5332</v>
      </c>
    </row>
    <row r="2349" spans="1:9" x14ac:dyDescent="0.25">
      <c r="A2349" s="125" t="s">
        <v>1349</v>
      </c>
      <c r="B2349" s="125" t="s">
        <v>5327</v>
      </c>
      <c r="C2349" s="125">
        <v>227</v>
      </c>
      <c r="D2349" s="125" t="s">
        <v>6093</v>
      </c>
      <c r="E2349" s="125" t="s">
        <v>5303</v>
      </c>
      <c r="F2349" s="125" t="s">
        <v>5304</v>
      </c>
      <c r="G2349" s="125" t="s">
        <v>5297</v>
      </c>
      <c r="H2349" s="125" t="s">
        <v>1247</v>
      </c>
      <c r="I2349" s="125" t="s">
        <v>5332</v>
      </c>
    </row>
    <row r="2350" spans="1:9" x14ac:dyDescent="0.25">
      <c r="A2350" s="125" t="s">
        <v>2225</v>
      </c>
      <c r="B2350" s="125" t="s">
        <v>5327</v>
      </c>
      <c r="C2350" s="125">
        <v>227</v>
      </c>
      <c r="D2350" s="125" t="s">
        <v>6093</v>
      </c>
      <c r="E2350" s="125" t="s">
        <v>5303</v>
      </c>
      <c r="F2350" s="125" t="s">
        <v>5304</v>
      </c>
      <c r="G2350" s="125" t="s">
        <v>5297</v>
      </c>
      <c r="H2350" s="125" t="s">
        <v>1247</v>
      </c>
      <c r="I2350" s="125" t="s">
        <v>5332</v>
      </c>
    </row>
    <row r="2351" spans="1:9" x14ac:dyDescent="0.25">
      <c r="A2351" s="125" t="s">
        <v>1610</v>
      </c>
      <c r="B2351" s="125" t="s">
        <v>5327</v>
      </c>
      <c r="C2351" s="125">
        <v>227</v>
      </c>
      <c r="D2351" s="125" t="s">
        <v>6093</v>
      </c>
      <c r="E2351" s="125" t="s">
        <v>5303</v>
      </c>
      <c r="F2351" s="125" t="s">
        <v>5304</v>
      </c>
      <c r="G2351" s="125" t="s">
        <v>5297</v>
      </c>
      <c r="H2351" s="125" t="s">
        <v>5332</v>
      </c>
      <c r="I2351" s="125" t="s">
        <v>5332</v>
      </c>
    </row>
    <row r="2352" spans="1:9" x14ac:dyDescent="0.25">
      <c r="A2352" s="125" t="s">
        <v>2325</v>
      </c>
      <c r="B2352" s="125" t="s">
        <v>5327</v>
      </c>
      <c r="C2352" s="125">
        <v>227</v>
      </c>
      <c r="D2352" s="125" t="s">
        <v>6093</v>
      </c>
      <c r="E2352" s="125" t="s">
        <v>5303</v>
      </c>
      <c r="F2352" s="125" t="s">
        <v>5304</v>
      </c>
      <c r="G2352" s="125" t="s">
        <v>5297</v>
      </c>
      <c r="H2352" s="125" t="s">
        <v>5976</v>
      </c>
      <c r="I2352" s="125" t="s">
        <v>3343</v>
      </c>
    </row>
    <row r="2353" spans="1:9" x14ac:dyDescent="0.25">
      <c r="A2353" s="125" t="s">
        <v>1899</v>
      </c>
      <c r="B2353" s="125" t="s">
        <v>5327</v>
      </c>
      <c r="C2353" s="125">
        <v>227</v>
      </c>
      <c r="D2353" s="125" t="s">
        <v>6093</v>
      </c>
      <c r="E2353" s="125" t="s">
        <v>5303</v>
      </c>
      <c r="F2353" s="125" t="s">
        <v>5304</v>
      </c>
      <c r="G2353" s="125" t="s">
        <v>5297</v>
      </c>
      <c r="H2353" s="125" t="s">
        <v>5332</v>
      </c>
      <c r="I2353" s="125" t="s">
        <v>5332</v>
      </c>
    </row>
    <row r="2354" spans="1:9" x14ac:dyDescent="0.25">
      <c r="A2354" s="125" t="s">
        <v>2317</v>
      </c>
      <c r="B2354" s="125" t="s">
        <v>5327</v>
      </c>
      <c r="C2354" s="125">
        <v>227</v>
      </c>
      <c r="D2354" s="125" t="s">
        <v>6093</v>
      </c>
      <c r="E2354" s="125" t="s">
        <v>5303</v>
      </c>
      <c r="F2354" s="125" t="s">
        <v>5304</v>
      </c>
      <c r="G2354" s="125" t="s">
        <v>5297</v>
      </c>
      <c r="H2354" s="125" t="s">
        <v>5332</v>
      </c>
      <c r="I2354" s="125" t="s">
        <v>5332</v>
      </c>
    </row>
    <row r="2355" spans="1:9" x14ac:dyDescent="0.25">
      <c r="A2355" s="125" t="s">
        <v>1140</v>
      </c>
      <c r="B2355" s="125" t="s">
        <v>5333</v>
      </c>
      <c r="C2355" s="125">
        <v>233</v>
      </c>
      <c r="D2355" s="125" t="s">
        <v>5334</v>
      </c>
      <c r="E2355" s="125" t="s">
        <v>5303</v>
      </c>
      <c r="F2355" s="125" t="s">
        <v>5304</v>
      </c>
      <c r="G2355" s="125" t="s">
        <v>5297</v>
      </c>
      <c r="H2355" s="125" t="s">
        <v>1067</v>
      </c>
      <c r="I2355" s="125" t="s">
        <v>3017</v>
      </c>
    </row>
    <row r="2356" spans="1:9" x14ac:dyDescent="0.25">
      <c r="A2356" s="125" t="s">
        <v>2261</v>
      </c>
      <c r="B2356" s="125" t="s">
        <v>5333</v>
      </c>
      <c r="C2356" s="125">
        <v>233</v>
      </c>
      <c r="D2356" s="125" t="s">
        <v>5334</v>
      </c>
      <c r="E2356" s="125" t="s">
        <v>5303</v>
      </c>
      <c r="F2356" s="125" t="s">
        <v>5304</v>
      </c>
      <c r="G2356" s="125" t="s">
        <v>5297</v>
      </c>
      <c r="H2356" s="125" t="s">
        <v>1067</v>
      </c>
      <c r="I2356" s="125" t="s">
        <v>3017</v>
      </c>
    </row>
    <row r="2357" spans="1:9" x14ac:dyDescent="0.25">
      <c r="A2357" s="125" t="s">
        <v>1678</v>
      </c>
      <c r="B2357" s="125" t="s">
        <v>5333</v>
      </c>
      <c r="C2357" s="125">
        <v>233</v>
      </c>
      <c r="D2357" s="125" t="s">
        <v>5334</v>
      </c>
      <c r="E2357" s="125" t="s">
        <v>5303</v>
      </c>
      <c r="F2357" s="125" t="s">
        <v>5304</v>
      </c>
      <c r="G2357" s="125" t="s">
        <v>5297</v>
      </c>
      <c r="H2357" s="125" t="s">
        <v>6123</v>
      </c>
      <c r="I2357" s="125" t="s">
        <v>3017</v>
      </c>
    </row>
    <row r="2358" spans="1:9" x14ac:dyDescent="0.25">
      <c r="A2358" s="125" t="s">
        <v>1813</v>
      </c>
      <c r="B2358" s="125" t="s">
        <v>5333</v>
      </c>
      <c r="C2358" s="125">
        <v>233</v>
      </c>
      <c r="D2358" s="125" t="s">
        <v>5334</v>
      </c>
      <c r="E2358" s="125" t="s">
        <v>5303</v>
      </c>
      <c r="F2358" s="125" t="s">
        <v>5304</v>
      </c>
      <c r="G2358" s="125" t="s">
        <v>5297</v>
      </c>
      <c r="H2358" s="125" t="s">
        <v>1067</v>
      </c>
      <c r="I2358" s="125" t="s">
        <v>3017</v>
      </c>
    </row>
    <row r="2359" spans="1:9" x14ac:dyDescent="0.25">
      <c r="A2359" s="125" t="s">
        <v>2016</v>
      </c>
      <c r="B2359" s="125" t="s">
        <v>5333</v>
      </c>
      <c r="C2359" s="125">
        <v>233</v>
      </c>
      <c r="D2359" s="125" t="s">
        <v>5334</v>
      </c>
      <c r="E2359" s="125" t="s">
        <v>5303</v>
      </c>
      <c r="F2359" s="125" t="s">
        <v>5304</v>
      </c>
      <c r="G2359" s="125" t="s">
        <v>5297</v>
      </c>
      <c r="H2359" s="125" t="s">
        <v>1067</v>
      </c>
      <c r="I2359" s="125" t="s">
        <v>3017</v>
      </c>
    </row>
    <row r="2360" spans="1:9" x14ac:dyDescent="0.25">
      <c r="A2360" s="125" t="s">
        <v>1242</v>
      </c>
      <c r="B2360" s="125" t="s">
        <v>5333</v>
      </c>
      <c r="C2360" s="125">
        <v>233</v>
      </c>
      <c r="D2360" s="125" t="s">
        <v>5334</v>
      </c>
      <c r="E2360" s="125" t="s">
        <v>5303</v>
      </c>
      <c r="F2360" s="125" t="s">
        <v>5304</v>
      </c>
      <c r="G2360" s="125" t="s">
        <v>5297</v>
      </c>
      <c r="H2360" s="125" t="s">
        <v>1067</v>
      </c>
      <c r="I2360" s="125" t="s">
        <v>3017</v>
      </c>
    </row>
    <row r="2361" spans="1:9" x14ac:dyDescent="0.25">
      <c r="A2361" s="125" t="s">
        <v>2434</v>
      </c>
      <c r="B2361" s="125" t="s">
        <v>5333</v>
      </c>
      <c r="C2361" s="125">
        <v>233</v>
      </c>
      <c r="D2361" s="125" t="s">
        <v>5334</v>
      </c>
      <c r="E2361" s="125" t="s">
        <v>5303</v>
      </c>
      <c r="F2361" s="125" t="s">
        <v>5304</v>
      </c>
      <c r="G2361" s="125" t="s">
        <v>5297</v>
      </c>
      <c r="H2361" s="125" t="s">
        <v>371</v>
      </c>
      <c r="I2361" s="125" t="s">
        <v>371</v>
      </c>
    </row>
    <row r="2362" spans="1:9" x14ac:dyDescent="0.25">
      <c r="A2362" s="125" t="s">
        <v>2382</v>
      </c>
      <c r="B2362" s="125" t="s">
        <v>5333</v>
      </c>
      <c r="C2362" s="125">
        <v>233</v>
      </c>
      <c r="D2362" s="125" t="s">
        <v>5334</v>
      </c>
      <c r="E2362" s="125" t="s">
        <v>5303</v>
      </c>
      <c r="F2362" s="125" t="s">
        <v>5304</v>
      </c>
      <c r="G2362" s="125" t="s">
        <v>5297</v>
      </c>
      <c r="H2362" s="125" t="s">
        <v>1425</v>
      </c>
      <c r="I2362" s="125" t="s">
        <v>3017</v>
      </c>
    </row>
    <row r="2363" spans="1:9" x14ac:dyDescent="0.25">
      <c r="A2363" s="125" t="s">
        <v>1811</v>
      </c>
      <c r="B2363" s="125" t="s">
        <v>5333</v>
      </c>
      <c r="C2363" s="125">
        <v>233</v>
      </c>
      <c r="D2363" s="125" t="s">
        <v>5334</v>
      </c>
      <c r="E2363" s="125" t="s">
        <v>5303</v>
      </c>
      <c r="F2363" s="125" t="s">
        <v>5304</v>
      </c>
      <c r="G2363" s="125" t="s">
        <v>5297</v>
      </c>
      <c r="H2363" s="125" t="s">
        <v>1425</v>
      </c>
      <c r="I2363" s="125" t="s">
        <v>3017</v>
      </c>
    </row>
    <row r="2364" spans="1:9" x14ac:dyDescent="0.25">
      <c r="A2364" s="125" t="s">
        <v>1426</v>
      </c>
      <c r="B2364" s="125" t="s">
        <v>5333</v>
      </c>
      <c r="C2364" s="125">
        <v>233</v>
      </c>
      <c r="D2364" s="125" t="s">
        <v>5334</v>
      </c>
      <c r="E2364" s="125" t="s">
        <v>5303</v>
      </c>
      <c r="F2364" s="125" t="s">
        <v>5304</v>
      </c>
      <c r="G2364" s="125" t="s">
        <v>5297</v>
      </c>
      <c r="H2364" s="125" t="s">
        <v>1425</v>
      </c>
      <c r="I2364" s="125" t="s">
        <v>3017</v>
      </c>
    </row>
    <row r="2365" spans="1:9" x14ac:dyDescent="0.25">
      <c r="A2365" s="125" t="s">
        <v>3024</v>
      </c>
      <c r="B2365" s="125" t="s">
        <v>5333</v>
      </c>
      <c r="C2365" s="125">
        <v>233</v>
      </c>
      <c r="D2365" s="125" t="s">
        <v>5334</v>
      </c>
      <c r="E2365" s="125" t="s">
        <v>5303</v>
      </c>
      <c r="F2365" s="125" t="s">
        <v>5304</v>
      </c>
      <c r="G2365" s="125" t="s">
        <v>5297</v>
      </c>
      <c r="H2365" s="125" t="s">
        <v>1425</v>
      </c>
      <c r="I2365" s="125" t="s">
        <v>3017</v>
      </c>
    </row>
    <row r="2366" spans="1:9" x14ac:dyDescent="0.25">
      <c r="A2366" s="125" t="s">
        <v>2978</v>
      </c>
      <c r="B2366" s="125" t="s">
        <v>5333</v>
      </c>
      <c r="C2366" s="125">
        <v>233</v>
      </c>
      <c r="D2366" s="125" t="s">
        <v>5334</v>
      </c>
      <c r="E2366" s="125" t="s">
        <v>5303</v>
      </c>
      <c r="F2366" s="125" t="s">
        <v>5304</v>
      </c>
      <c r="G2366" s="125" t="s">
        <v>5297</v>
      </c>
      <c r="H2366" s="125" t="s">
        <v>1766</v>
      </c>
      <c r="I2366" s="125" t="s">
        <v>3017</v>
      </c>
    </row>
    <row r="2367" spans="1:9" x14ac:dyDescent="0.25">
      <c r="A2367" s="125" t="s">
        <v>2445</v>
      </c>
      <c r="B2367" s="125" t="s">
        <v>5333</v>
      </c>
      <c r="C2367" s="125">
        <v>233</v>
      </c>
      <c r="D2367" s="125" t="s">
        <v>5334</v>
      </c>
      <c r="E2367" s="125" t="s">
        <v>5303</v>
      </c>
      <c r="F2367" s="125" t="s">
        <v>5304</v>
      </c>
      <c r="G2367" s="125" t="s">
        <v>5297</v>
      </c>
      <c r="H2367" s="125" t="s">
        <v>1766</v>
      </c>
      <c r="I2367" s="125" t="s">
        <v>3017</v>
      </c>
    </row>
    <row r="2368" spans="1:9" x14ac:dyDescent="0.25">
      <c r="A2368" s="125" t="s">
        <v>1872</v>
      </c>
      <c r="B2368" s="125" t="s">
        <v>5691</v>
      </c>
      <c r="C2368" s="125">
        <v>210</v>
      </c>
      <c r="D2368" s="125" t="s">
        <v>6079</v>
      </c>
      <c r="E2368" s="125" t="s">
        <v>5364</v>
      </c>
      <c r="F2368" s="125" t="s">
        <v>5365</v>
      </c>
      <c r="G2368" s="125" t="s">
        <v>5297</v>
      </c>
      <c r="H2368" s="125" t="s">
        <v>1425</v>
      </c>
      <c r="I2368" s="125" t="s">
        <v>3017</v>
      </c>
    </row>
    <row r="2369" spans="1:9" x14ac:dyDescent="0.25">
      <c r="A2369" s="125" t="s">
        <v>1324</v>
      </c>
      <c r="B2369" s="125" t="s">
        <v>5333</v>
      </c>
      <c r="C2369" s="125">
        <v>233</v>
      </c>
      <c r="D2369" s="125" t="s">
        <v>5334</v>
      </c>
      <c r="E2369" s="125" t="s">
        <v>5303</v>
      </c>
      <c r="F2369" s="125" t="s">
        <v>5304</v>
      </c>
      <c r="G2369" s="125" t="s">
        <v>5297</v>
      </c>
      <c r="H2369" s="125" t="s">
        <v>5359</v>
      </c>
      <c r="I2369" s="125" t="s">
        <v>3017</v>
      </c>
    </row>
    <row r="2370" spans="1:9" x14ac:dyDescent="0.25">
      <c r="A2370" s="125" t="s">
        <v>2092</v>
      </c>
      <c r="B2370" s="125" t="s">
        <v>5333</v>
      </c>
      <c r="C2370" s="125">
        <v>233</v>
      </c>
      <c r="D2370" s="125" t="s">
        <v>5334</v>
      </c>
      <c r="E2370" s="125" t="s">
        <v>5303</v>
      </c>
      <c r="F2370" s="125" t="s">
        <v>5304</v>
      </c>
      <c r="G2370" s="125" t="s">
        <v>5297</v>
      </c>
      <c r="H2370" s="125" t="s">
        <v>5359</v>
      </c>
      <c r="I2370" s="125" t="s">
        <v>3017</v>
      </c>
    </row>
    <row r="2371" spans="1:9" x14ac:dyDescent="0.25">
      <c r="A2371" s="125" t="s">
        <v>2424</v>
      </c>
      <c r="B2371" s="125" t="s">
        <v>5333</v>
      </c>
      <c r="C2371" s="125">
        <v>233</v>
      </c>
      <c r="D2371" s="125" t="s">
        <v>5334</v>
      </c>
      <c r="E2371" s="125" t="s">
        <v>5303</v>
      </c>
      <c r="F2371" s="125" t="s">
        <v>5304</v>
      </c>
      <c r="G2371" s="125" t="s">
        <v>5297</v>
      </c>
      <c r="H2371" s="125" t="s">
        <v>5359</v>
      </c>
      <c r="I2371" s="125" t="s">
        <v>3017</v>
      </c>
    </row>
    <row r="2372" spans="1:9" x14ac:dyDescent="0.25">
      <c r="A2372" s="125" t="s">
        <v>2354</v>
      </c>
      <c r="B2372" s="125" t="s">
        <v>5333</v>
      </c>
      <c r="C2372" s="125">
        <v>233</v>
      </c>
      <c r="D2372" s="125" t="s">
        <v>5334</v>
      </c>
      <c r="E2372" s="125" t="s">
        <v>5303</v>
      </c>
      <c r="F2372" s="125" t="s">
        <v>5304</v>
      </c>
      <c r="G2372" s="125" t="s">
        <v>5297</v>
      </c>
      <c r="H2372" s="125" t="s">
        <v>5359</v>
      </c>
      <c r="I2372" s="125" t="s">
        <v>3017</v>
      </c>
    </row>
    <row r="2373" spans="1:9" x14ac:dyDescent="0.25">
      <c r="A2373" s="125" t="s">
        <v>1833</v>
      </c>
      <c r="B2373" s="125" t="s">
        <v>5333</v>
      </c>
      <c r="C2373" s="125">
        <v>233</v>
      </c>
      <c r="D2373" s="125" t="s">
        <v>5334</v>
      </c>
      <c r="E2373" s="125" t="s">
        <v>5303</v>
      </c>
      <c r="F2373" s="125" t="s">
        <v>5304</v>
      </c>
      <c r="G2373" s="125" t="s">
        <v>5297</v>
      </c>
      <c r="H2373" s="125" t="s">
        <v>5359</v>
      </c>
      <c r="I2373" s="125" t="s">
        <v>3017</v>
      </c>
    </row>
    <row r="2374" spans="1:9" x14ac:dyDescent="0.25">
      <c r="A2374" s="125" t="s">
        <v>1767</v>
      </c>
      <c r="B2374" s="125" t="s">
        <v>5333</v>
      </c>
      <c r="C2374" s="125">
        <v>233</v>
      </c>
      <c r="D2374" s="125" t="s">
        <v>5334</v>
      </c>
      <c r="E2374" s="125" t="s">
        <v>5303</v>
      </c>
      <c r="F2374" s="125" t="s">
        <v>5304</v>
      </c>
      <c r="G2374" s="125" t="s">
        <v>5297</v>
      </c>
      <c r="H2374" s="125" t="s">
        <v>1766</v>
      </c>
      <c r="I2374" s="125" t="s">
        <v>3017</v>
      </c>
    </row>
    <row r="2375" spans="1:9" x14ac:dyDescent="0.25">
      <c r="A2375" s="125" t="s">
        <v>1176</v>
      </c>
      <c r="B2375" s="125" t="s">
        <v>5333</v>
      </c>
      <c r="C2375" s="125">
        <v>233</v>
      </c>
      <c r="D2375" s="125" t="s">
        <v>5334</v>
      </c>
      <c r="E2375" s="125" t="s">
        <v>5303</v>
      </c>
      <c r="F2375" s="125" t="s">
        <v>5304</v>
      </c>
      <c r="G2375" s="125" t="s">
        <v>5297</v>
      </c>
      <c r="H2375" s="125" t="s">
        <v>5359</v>
      </c>
      <c r="I2375" s="125" t="s">
        <v>3017</v>
      </c>
    </row>
    <row r="2376" spans="1:9" x14ac:dyDescent="0.25">
      <c r="A2376" s="125" t="s">
        <v>3287</v>
      </c>
      <c r="B2376" s="125" t="s">
        <v>5333</v>
      </c>
      <c r="C2376" s="125">
        <v>233</v>
      </c>
      <c r="D2376" s="125" t="s">
        <v>5334</v>
      </c>
      <c r="E2376" s="125" t="s">
        <v>5303</v>
      </c>
      <c r="F2376" s="125" t="s">
        <v>5304</v>
      </c>
      <c r="G2376" s="125" t="s">
        <v>5297</v>
      </c>
      <c r="H2376" s="125" t="s">
        <v>371</v>
      </c>
      <c r="I2376" s="125" t="s">
        <v>371</v>
      </c>
    </row>
    <row r="2377" spans="1:9" x14ac:dyDescent="0.25">
      <c r="A2377" s="125" t="s">
        <v>2961</v>
      </c>
      <c r="B2377" s="125" t="s">
        <v>5333</v>
      </c>
      <c r="C2377" s="125">
        <v>233</v>
      </c>
      <c r="D2377" s="125" t="s">
        <v>5334</v>
      </c>
      <c r="E2377" s="125" t="s">
        <v>5303</v>
      </c>
      <c r="F2377" s="125" t="s">
        <v>5304</v>
      </c>
      <c r="G2377" s="125" t="s">
        <v>5297</v>
      </c>
      <c r="H2377" s="125" t="s">
        <v>1766</v>
      </c>
      <c r="I2377" s="125" t="s">
        <v>3017</v>
      </c>
    </row>
    <row r="2378" spans="1:9" x14ac:dyDescent="0.25">
      <c r="A2378" s="125" t="s">
        <v>2351</v>
      </c>
      <c r="B2378" s="125" t="s">
        <v>5333</v>
      </c>
      <c r="C2378" s="125">
        <v>233</v>
      </c>
      <c r="D2378" s="125" t="s">
        <v>5334</v>
      </c>
      <c r="E2378" s="125" t="s">
        <v>5303</v>
      </c>
      <c r="F2378" s="125" t="s">
        <v>5304</v>
      </c>
      <c r="G2378" s="125" t="s">
        <v>5297</v>
      </c>
      <c r="H2378" s="125" t="s">
        <v>5332</v>
      </c>
      <c r="I2378" s="125" t="s">
        <v>5332</v>
      </c>
    </row>
    <row r="2379" spans="1:9" x14ac:dyDescent="0.25">
      <c r="A2379" s="125" t="s">
        <v>2079</v>
      </c>
      <c r="B2379" s="125" t="s">
        <v>5333</v>
      </c>
      <c r="C2379" s="125">
        <v>233</v>
      </c>
      <c r="D2379" s="125" t="s">
        <v>5334</v>
      </c>
      <c r="E2379" s="125" t="s">
        <v>5303</v>
      </c>
      <c r="F2379" s="125" t="s">
        <v>5304</v>
      </c>
      <c r="G2379" s="125" t="s">
        <v>5297</v>
      </c>
      <c r="H2379" s="125" t="s">
        <v>6123</v>
      </c>
      <c r="I2379" s="125" t="s">
        <v>3017</v>
      </c>
    </row>
    <row r="2380" spans="1:9" x14ac:dyDescent="0.25">
      <c r="A2380" s="125" t="s">
        <v>2195</v>
      </c>
      <c r="B2380" s="125" t="s">
        <v>5333</v>
      </c>
      <c r="C2380" s="125">
        <v>233</v>
      </c>
      <c r="D2380" s="125" t="s">
        <v>5334</v>
      </c>
      <c r="E2380" s="125" t="s">
        <v>5303</v>
      </c>
      <c r="F2380" s="125" t="s">
        <v>5304</v>
      </c>
      <c r="G2380" s="125" t="s">
        <v>5297</v>
      </c>
      <c r="H2380" s="125" t="s">
        <v>6123</v>
      </c>
      <c r="I2380" s="125" t="s">
        <v>3017</v>
      </c>
    </row>
    <row r="2381" spans="1:9" x14ac:dyDescent="0.25">
      <c r="A2381" s="125" t="s">
        <v>2890</v>
      </c>
      <c r="B2381" s="125" t="s">
        <v>5333</v>
      </c>
      <c r="C2381" s="125">
        <v>233</v>
      </c>
      <c r="D2381" s="125" t="s">
        <v>5334</v>
      </c>
      <c r="E2381" s="125" t="s">
        <v>5303</v>
      </c>
      <c r="F2381" s="125" t="s">
        <v>5304</v>
      </c>
      <c r="G2381" s="125" t="s">
        <v>5297</v>
      </c>
      <c r="H2381" s="125" t="s">
        <v>5332</v>
      </c>
      <c r="I2381" s="125" t="s">
        <v>5332</v>
      </c>
    </row>
    <row r="2382" spans="1:9" x14ac:dyDescent="0.25">
      <c r="A2382" s="125" t="s">
        <v>1679</v>
      </c>
      <c r="B2382" s="125" t="s">
        <v>5333</v>
      </c>
      <c r="C2382" s="125">
        <v>233</v>
      </c>
      <c r="D2382" s="125" t="s">
        <v>5334</v>
      </c>
      <c r="E2382" s="125" t="s">
        <v>5303</v>
      </c>
      <c r="F2382" s="125" t="s">
        <v>5304</v>
      </c>
      <c r="G2382" s="125" t="s">
        <v>5297</v>
      </c>
      <c r="H2382" s="125" t="s">
        <v>5332</v>
      </c>
      <c r="I2382" s="125" t="s">
        <v>5332</v>
      </c>
    </row>
    <row r="2383" spans="1:9" x14ac:dyDescent="0.25">
      <c r="A2383" s="125" t="s">
        <v>3129</v>
      </c>
      <c r="B2383" s="125" t="s">
        <v>5333</v>
      </c>
      <c r="C2383" s="125">
        <v>233</v>
      </c>
      <c r="D2383" s="125" t="s">
        <v>5334</v>
      </c>
      <c r="E2383" s="125" t="s">
        <v>5303</v>
      </c>
      <c r="F2383" s="125" t="s">
        <v>5304</v>
      </c>
      <c r="G2383" s="125" t="s">
        <v>5297</v>
      </c>
      <c r="H2383" s="125" t="s">
        <v>5332</v>
      </c>
      <c r="I2383" s="125" t="s">
        <v>5332</v>
      </c>
    </row>
    <row r="2384" spans="1:9" x14ac:dyDescent="0.25">
      <c r="A2384" s="125" t="s">
        <v>2071</v>
      </c>
      <c r="B2384" s="125" t="s">
        <v>5333</v>
      </c>
      <c r="C2384" s="125">
        <v>233</v>
      </c>
      <c r="D2384" s="125" t="s">
        <v>5334</v>
      </c>
      <c r="E2384" s="125" t="s">
        <v>5303</v>
      </c>
      <c r="F2384" s="125" t="s">
        <v>5304</v>
      </c>
      <c r="G2384" s="125" t="s">
        <v>5297</v>
      </c>
      <c r="H2384" s="125" t="s">
        <v>5332</v>
      </c>
      <c r="I2384" s="125" t="s">
        <v>5332</v>
      </c>
    </row>
    <row r="2385" spans="1:9" x14ac:dyDescent="0.25">
      <c r="A2385" s="125" t="s">
        <v>1637</v>
      </c>
      <c r="B2385" s="125" t="s">
        <v>5333</v>
      </c>
      <c r="C2385" s="125">
        <v>233</v>
      </c>
      <c r="D2385" s="125" t="s">
        <v>5334</v>
      </c>
      <c r="E2385" s="125" t="s">
        <v>5303</v>
      </c>
      <c r="F2385" s="125" t="s">
        <v>5304</v>
      </c>
      <c r="G2385" s="125" t="s">
        <v>5297</v>
      </c>
      <c r="H2385" s="125" t="s">
        <v>5359</v>
      </c>
      <c r="I2385" s="125" t="s">
        <v>3017</v>
      </c>
    </row>
    <row r="2386" spans="1:9" x14ac:dyDescent="0.25">
      <c r="A2386" s="125" t="s">
        <v>3232</v>
      </c>
      <c r="B2386" s="125" t="s">
        <v>5333</v>
      </c>
      <c r="C2386" s="125">
        <v>233</v>
      </c>
      <c r="D2386" s="125" t="s">
        <v>5334</v>
      </c>
      <c r="E2386" s="125" t="s">
        <v>5303</v>
      </c>
      <c r="F2386" s="125" t="s">
        <v>5304</v>
      </c>
      <c r="G2386" s="125" t="s">
        <v>5297</v>
      </c>
      <c r="H2386" s="125" t="s">
        <v>371</v>
      </c>
      <c r="I2386" s="125" t="s">
        <v>371</v>
      </c>
    </row>
    <row r="2387" spans="1:9" x14ac:dyDescent="0.25">
      <c r="A2387" s="125" t="s">
        <v>3231</v>
      </c>
      <c r="B2387" s="125" t="s">
        <v>5333</v>
      </c>
      <c r="C2387" s="125">
        <v>233</v>
      </c>
      <c r="D2387" s="125" t="s">
        <v>5334</v>
      </c>
      <c r="E2387" s="125" t="s">
        <v>5303</v>
      </c>
      <c r="F2387" s="125" t="s">
        <v>5304</v>
      </c>
      <c r="G2387" s="125" t="s">
        <v>5297</v>
      </c>
      <c r="H2387" s="125" t="s">
        <v>371</v>
      </c>
      <c r="I2387" s="125" t="s">
        <v>371</v>
      </c>
    </row>
    <row r="2388" spans="1:9" x14ac:dyDescent="0.25">
      <c r="A2388" s="125" t="s">
        <v>2938</v>
      </c>
      <c r="B2388" s="125" t="s">
        <v>5333</v>
      </c>
      <c r="C2388" s="125">
        <v>233</v>
      </c>
      <c r="D2388" s="125" t="s">
        <v>5334</v>
      </c>
      <c r="E2388" s="125" t="s">
        <v>5303</v>
      </c>
      <c r="F2388" s="125" t="s">
        <v>5304</v>
      </c>
      <c r="G2388" s="125" t="s">
        <v>5297</v>
      </c>
      <c r="H2388" s="125" t="s">
        <v>371</v>
      </c>
      <c r="I2388" s="125" t="s">
        <v>371</v>
      </c>
    </row>
    <row r="2389" spans="1:9" x14ac:dyDescent="0.25">
      <c r="A2389" s="125" t="s">
        <v>1737</v>
      </c>
      <c r="B2389" s="125" t="s">
        <v>5556</v>
      </c>
      <c r="C2389" s="125">
        <v>291</v>
      </c>
      <c r="D2389" s="125" t="s">
        <v>5557</v>
      </c>
      <c r="E2389" s="125" t="s">
        <v>5341</v>
      </c>
      <c r="F2389" s="140" t="s">
        <v>5342</v>
      </c>
      <c r="G2389" s="125" t="s">
        <v>5297</v>
      </c>
      <c r="H2389" s="125" t="s">
        <v>1109</v>
      </c>
      <c r="I2389" s="125" t="s">
        <v>3536</v>
      </c>
    </row>
    <row r="2390" spans="1:9" x14ac:dyDescent="0.25">
      <c r="A2390" s="125" t="s">
        <v>3510</v>
      </c>
      <c r="B2390" s="125" t="s">
        <v>5556</v>
      </c>
      <c r="C2390" s="125">
        <v>291</v>
      </c>
      <c r="D2390" s="125" t="s">
        <v>5557</v>
      </c>
      <c r="E2390" s="125" t="s">
        <v>5341</v>
      </c>
      <c r="F2390" s="140" t="s">
        <v>5342</v>
      </c>
      <c r="G2390" s="125" t="s">
        <v>5297</v>
      </c>
      <c r="H2390" s="125" t="s">
        <v>1109</v>
      </c>
      <c r="I2390" s="125" t="s">
        <v>3536</v>
      </c>
    </row>
    <row r="2391" spans="1:9" x14ac:dyDescent="0.25">
      <c r="A2391" s="125" t="s">
        <v>3534</v>
      </c>
      <c r="B2391" s="125" t="s">
        <v>5556</v>
      </c>
      <c r="C2391" s="125">
        <v>291</v>
      </c>
      <c r="D2391" s="125" t="s">
        <v>5557</v>
      </c>
      <c r="E2391" s="125" t="s">
        <v>5341</v>
      </c>
      <c r="F2391" s="140" t="s">
        <v>5342</v>
      </c>
      <c r="G2391" s="125" t="s">
        <v>5297</v>
      </c>
      <c r="H2391" s="125" t="s">
        <v>1109</v>
      </c>
      <c r="I2391" s="125" t="s">
        <v>3536</v>
      </c>
    </row>
    <row r="2392" spans="1:9" x14ac:dyDescent="0.25">
      <c r="A2392" s="125" t="s">
        <v>1110</v>
      </c>
      <c r="B2392" s="125" t="s">
        <v>5556</v>
      </c>
      <c r="C2392" s="125">
        <v>291</v>
      </c>
      <c r="D2392" s="125" t="s">
        <v>5557</v>
      </c>
      <c r="E2392" s="125" t="s">
        <v>5341</v>
      </c>
      <c r="F2392" s="140" t="s">
        <v>5342</v>
      </c>
      <c r="G2392" s="125" t="s">
        <v>5297</v>
      </c>
      <c r="H2392" s="125" t="s">
        <v>1109</v>
      </c>
      <c r="I2392" s="125" t="s">
        <v>3536</v>
      </c>
    </row>
    <row r="2393" spans="1:9" x14ac:dyDescent="0.25">
      <c r="A2393" s="125" t="s">
        <v>1560</v>
      </c>
      <c r="B2393" s="125" t="s">
        <v>5556</v>
      </c>
      <c r="C2393" s="125">
        <v>291</v>
      </c>
      <c r="D2393" s="125" t="s">
        <v>5557</v>
      </c>
      <c r="E2393" s="125" t="s">
        <v>5341</v>
      </c>
      <c r="F2393" s="140" t="s">
        <v>5342</v>
      </c>
      <c r="G2393" s="125" t="s">
        <v>5297</v>
      </c>
      <c r="H2393" s="125" t="s">
        <v>1109</v>
      </c>
      <c r="I2393" s="125" t="s">
        <v>3536</v>
      </c>
    </row>
    <row r="2394" spans="1:9" x14ac:dyDescent="0.25">
      <c r="A2394" s="125" t="s">
        <v>1559</v>
      </c>
      <c r="B2394" s="125" t="s">
        <v>5556</v>
      </c>
      <c r="C2394" s="125">
        <v>291</v>
      </c>
      <c r="D2394" s="125" t="s">
        <v>5557</v>
      </c>
      <c r="E2394" s="125" t="s">
        <v>5341</v>
      </c>
      <c r="F2394" s="140" t="s">
        <v>5342</v>
      </c>
      <c r="G2394" s="125" t="s">
        <v>5297</v>
      </c>
      <c r="H2394" s="125" t="s">
        <v>1109</v>
      </c>
      <c r="I2394" s="125" t="s">
        <v>3536</v>
      </c>
    </row>
    <row r="2395" spans="1:9" x14ac:dyDescent="0.25">
      <c r="A2395" s="125" t="s">
        <v>1558</v>
      </c>
      <c r="B2395" s="125" t="s">
        <v>5556</v>
      </c>
      <c r="C2395" s="125">
        <v>291</v>
      </c>
      <c r="D2395" s="125" t="s">
        <v>5557</v>
      </c>
      <c r="E2395" s="125" t="s">
        <v>5341</v>
      </c>
      <c r="F2395" s="140" t="s">
        <v>5342</v>
      </c>
      <c r="G2395" s="125" t="s">
        <v>5297</v>
      </c>
      <c r="H2395" s="125" t="s">
        <v>371</v>
      </c>
      <c r="I2395" s="125" t="s">
        <v>371</v>
      </c>
    </row>
    <row r="2396" spans="1:9" x14ac:dyDescent="0.25">
      <c r="A2396" s="125" t="s">
        <v>2318</v>
      </c>
      <c r="B2396" s="125" t="s">
        <v>5556</v>
      </c>
      <c r="C2396" s="125">
        <v>291</v>
      </c>
      <c r="D2396" s="125" t="s">
        <v>5557</v>
      </c>
      <c r="E2396" s="125" t="s">
        <v>5341</v>
      </c>
      <c r="F2396" s="140" t="s">
        <v>5342</v>
      </c>
      <c r="G2396" s="125" t="s">
        <v>5297</v>
      </c>
      <c r="H2396" s="125" t="s">
        <v>371</v>
      </c>
      <c r="I2396" s="125" t="s">
        <v>371</v>
      </c>
    </row>
    <row r="2397" spans="1:9" x14ac:dyDescent="0.25">
      <c r="A2397" s="125" t="s">
        <v>2453</v>
      </c>
      <c r="B2397" s="125" t="s">
        <v>5500</v>
      </c>
      <c r="C2397" s="125">
        <v>237</v>
      </c>
      <c r="D2397" s="125" t="s">
        <v>5501</v>
      </c>
      <c r="E2397" s="125" t="s">
        <v>5295</v>
      </c>
      <c r="F2397" s="125" t="s">
        <v>5296</v>
      </c>
      <c r="G2397" s="125" t="s">
        <v>5297</v>
      </c>
      <c r="H2397" s="125" t="s">
        <v>3207</v>
      </c>
      <c r="I2397" s="125" t="s">
        <v>3183</v>
      </c>
    </row>
    <row r="2398" spans="1:9" x14ac:dyDescent="0.25">
      <c r="A2398" s="125" t="s">
        <v>2416</v>
      </c>
      <c r="B2398" s="125" t="s">
        <v>5500</v>
      </c>
      <c r="C2398" s="125">
        <v>237</v>
      </c>
      <c r="D2398" s="125" t="s">
        <v>5501</v>
      </c>
      <c r="E2398" s="125" t="s">
        <v>5295</v>
      </c>
      <c r="F2398" s="125" t="s">
        <v>5296</v>
      </c>
      <c r="G2398" s="125" t="s">
        <v>5297</v>
      </c>
      <c r="H2398" s="125" t="s">
        <v>3207</v>
      </c>
      <c r="I2398" s="125" t="s">
        <v>3183</v>
      </c>
    </row>
    <row r="2399" spans="1:9" x14ac:dyDescent="0.25">
      <c r="A2399" s="125" t="s">
        <v>2063</v>
      </c>
      <c r="B2399" s="125" t="s">
        <v>5500</v>
      </c>
      <c r="C2399" s="125">
        <v>237</v>
      </c>
      <c r="D2399" s="125" t="s">
        <v>5501</v>
      </c>
      <c r="E2399" s="125" t="s">
        <v>5295</v>
      </c>
      <c r="F2399" s="125" t="s">
        <v>5296</v>
      </c>
      <c r="G2399" s="125" t="s">
        <v>5297</v>
      </c>
      <c r="H2399" s="125" t="s">
        <v>1218</v>
      </c>
      <c r="I2399" s="125" t="s">
        <v>3183</v>
      </c>
    </row>
    <row r="2400" spans="1:9" x14ac:dyDescent="0.25">
      <c r="A2400" s="125" t="s">
        <v>3174</v>
      </c>
      <c r="B2400" s="125" t="s">
        <v>5500</v>
      </c>
      <c r="C2400" s="125">
        <v>237</v>
      </c>
      <c r="D2400" s="125" t="s">
        <v>5501</v>
      </c>
      <c r="E2400" s="125" t="s">
        <v>5295</v>
      </c>
      <c r="F2400" s="125" t="s">
        <v>5296</v>
      </c>
      <c r="G2400" s="125" t="s">
        <v>5297</v>
      </c>
      <c r="H2400" s="125" t="s">
        <v>1729</v>
      </c>
      <c r="I2400" s="125" t="s">
        <v>3183</v>
      </c>
    </row>
    <row r="2401" spans="1:9" x14ac:dyDescent="0.25">
      <c r="A2401" s="125" t="s">
        <v>3339</v>
      </c>
      <c r="B2401" s="125" t="s">
        <v>5500</v>
      </c>
      <c r="C2401" s="125">
        <v>237</v>
      </c>
      <c r="D2401" s="125" t="s">
        <v>5501</v>
      </c>
      <c r="E2401" s="125" t="s">
        <v>5295</v>
      </c>
      <c r="F2401" s="125" t="s">
        <v>5296</v>
      </c>
      <c r="G2401" s="125" t="s">
        <v>5297</v>
      </c>
      <c r="H2401" s="125" t="s">
        <v>1729</v>
      </c>
      <c r="I2401" s="125" t="s">
        <v>3183</v>
      </c>
    </row>
    <row r="2402" spans="1:9" x14ac:dyDescent="0.25">
      <c r="A2402" s="125" t="s">
        <v>2350</v>
      </c>
      <c r="B2402" s="125" t="s">
        <v>5500</v>
      </c>
      <c r="C2402" s="125">
        <v>237</v>
      </c>
      <c r="D2402" s="125" t="s">
        <v>5501</v>
      </c>
      <c r="E2402" s="125" t="s">
        <v>5295</v>
      </c>
      <c r="F2402" s="125" t="s">
        <v>5296</v>
      </c>
      <c r="G2402" s="125" t="s">
        <v>5297</v>
      </c>
      <c r="H2402" s="125" t="s">
        <v>1729</v>
      </c>
      <c r="I2402" s="125" t="s">
        <v>3183</v>
      </c>
    </row>
    <row r="2403" spans="1:9" x14ac:dyDescent="0.25">
      <c r="A2403" s="125" t="s">
        <v>3416</v>
      </c>
      <c r="B2403" s="125" t="s">
        <v>5500</v>
      </c>
      <c r="C2403" s="125">
        <v>237</v>
      </c>
      <c r="D2403" s="125" t="s">
        <v>5501</v>
      </c>
      <c r="E2403" s="125" t="s">
        <v>5295</v>
      </c>
      <c r="F2403" s="125" t="s">
        <v>5296</v>
      </c>
      <c r="G2403" s="125" t="s">
        <v>5297</v>
      </c>
      <c r="H2403" s="125" t="s">
        <v>1729</v>
      </c>
      <c r="I2403" s="125" t="s">
        <v>3183</v>
      </c>
    </row>
    <row r="2404" spans="1:9" x14ac:dyDescent="0.25">
      <c r="A2404" s="125" t="s">
        <v>1730</v>
      </c>
      <c r="B2404" s="125" t="s">
        <v>5500</v>
      </c>
      <c r="C2404" s="125">
        <v>237</v>
      </c>
      <c r="D2404" s="125" t="s">
        <v>5501</v>
      </c>
      <c r="E2404" s="125" t="s">
        <v>5295</v>
      </c>
      <c r="F2404" s="125" t="s">
        <v>5296</v>
      </c>
      <c r="G2404" s="125" t="s">
        <v>5297</v>
      </c>
      <c r="H2404" s="125" t="s">
        <v>1729</v>
      </c>
      <c r="I2404" s="125" t="s">
        <v>3183</v>
      </c>
    </row>
    <row r="2405" spans="1:9" x14ac:dyDescent="0.25">
      <c r="A2405" s="125" t="s">
        <v>1337</v>
      </c>
      <c r="B2405" s="125" t="s">
        <v>5500</v>
      </c>
      <c r="C2405" s="125">
        <v>237</v>
      </c>
      <c r="D2405" s="125" t="s">
        <v>5501</v>
      </c>
      <c r="E2405" s="125" t="s">
        <v>5295</v>
      </c>
      <c r="F2405" s="125" t="s">
        <v>5296</v>
      </c>
      <c r="G2405" s="125" t="s">
        <v>5297</v>
      </c>
      <c r="H2405" s="125" t="s">
        <v>6086</v>
      </c>
      <c r="I2405" s="125" t="s">
        <v>3183</v>
      </c>
    </row>
    <row r="2406" spans="1:9" x14ac:dyDescent="0.25">
      <c r="A2406" s="125" t="s">
        <v>3039</v>
      </c>
      <c r="B2406" s="125" t="s">
        <v>5500</v>
      </c>
      <c r="C2406" s="125">
        <v>237</v>
      </c>
      <c r="D2406" s="125" t="s">
        <v>5501</v>
      </c>
      <c r="E2406" s="125" t="s">
        <v>5295</v>
      </c>
      <c r="F2406" s="125" t="s">
        <v>5296</v>
      </c>
      <c r="G2406" s="125" t="s">
        <v>5297</v>
      </c>
      <c r="H2406" s="125" t="s">
        <v>3207</v>
      </c>
      <c r="I2406" s="125" t="s">
        <v>3183</v>
      </c>
    </row>
    <row r="2407" spans="1:9" x14ac:dyDescent="0.25">
      <c r="A2407" s="125" t="s">
        <v>3095</v>
      </c>
      <c r="B2407" s="125" t="s">
        <v>5500</v>
      </c>
      <c r="C2407" s="125">
        <v>237</v>
      </c>
      <c r="D2407" s="125" t="s">
        <v>5501</v>
      </c>
      <c r="E2407" s="125" t="s">
        <v>5295</v>
      </c>
      <c r="F2407" s="125" t="s">
        <v>5296</v>
      </c>
      <c r="G2407" s="125" t="s">
        <v>5297</v>
      </c>
      <c r="H2407" s="125" t="s">
        <v>3207</v>
      </c>
      <c r="I2407" s="125" t="s">
        <v>3183</v>
      </c>
    </row>
    <row r="2408" spans="1:9" x14ac:dyDescent="0.25">
      <c r="A2408" s="125" t="s">
        <v>2594</v>
      </c>
      <c r="B2408" s="125" t="s">
        <v>5500</v>
      </c>
      <c r="C2408" s="125">
        <v>237</v>
      </c>
      <c r="D2408" s="125" t="s">
        <v>5501</v>
      </c>
      <c r="E2408" s="125" t="s">
        <v>5295</v>
      </c>
      <c r="F2408" s="125" t="s">
        <v>5296</v>
      </c>
      <c r="G2408" s="125" t="s">
        <v>5297</v>
      </c>
      <c r="H2408" s="125" t="s">
        <v>2593</v>
      </c>
      <c r="I2408" s="125" t="s">
        <v>3183</v>
      </c>
    </row>
    <row r="2409" spans="1:9" x14ac:dyDescent="0.25">
      <c r="A2409" s="125" t="s">
        <v>3199</v>
      </c>
      <c r="B2409" s="125" t="s">
        <v>5500</v>
      </c>
      <c r="C2409" s="125">
        <v>237</v>
      </c>
      <c r="D2409" s="125" t="s">
        <v>5501</v>
      </c>
      <c r="E2409" s="125" t="s">
        <v>5295</v>
      </c>
      <c r="F2409" s="125" t="s">
        <v>5296</v>
      </c>
      <c r="G2409" s="125" t="s">
        <v>5297</v>
      </c>
      <c r="H2409" s="125" t="s">
        <v>2593</v>
      </c>
      <c r="I2409" s="125" t="s">
        <v>3183</v>
      </c>
    </row>
    <row r="2410" spans="1:9" x14ac:dyDescent="0.25">
      <c r="A2410" s="125" t="s">
        <v>1694</v>
      </c>
      <c r="B2410" s="125" t="s">
        <v>5500</v>
      </c>
      <c r="C2410" s="125">
        <v>237</v>
      </c>
      <c r="D2410" s="125" t="s">
        <v>5501</v>
      </c>
      <c r="E2410" s="125" t="s">
        <v>5295</v>
      </c>
      <c r="F2410" s="125" t="s">
        <v>5296</v>
      </c>
      <c r="G2410" s="125" t="s">
        <v>5297</v>
      </c>
      <c r="H2410" s="125" t="s">
        <v>2593</v>
      </c>
      <c r="I2410" s="125" t="s">
        <v>3183</v>
      </c>
    </row>
    <row r="2411" spans="1:9" x14ac:dyDescent="0.25">
      <c r="A2411" s="125" t="s">
        <v>3311</v>
      </c>
      <c r="B2411" s="125" t="s">
        <v>5500</v>
      </c>
      <c r="C2411" s="125">
        <v>237</v>
      </c>
      <c r="D2411" s="125" t="s">
        <v>5501</v>
      </c>
      <c r="E2411" s="125" t="s">
        <v>5295</v>
      </c>
      <c r="F2411" s="125" t="s">
        <v>5296</v>
      </c>
      <c r="G2411" s="125" t="s">
        <v>5297</v>
      </c>
      <c r="H2411" s="125" t="s">
        <v>6124</v>
      </c>
      <c r="I2411" s="125" t="s">
        <v>3183</v>
      </c>
    </row>
    <row r="2412" spans="1:9" x14ac:dyDescent="0.25">
      <c r="A2412" s="125" t="s">
        <v>6125</v>
      </c>
      <c r="B2412" s="125" t="s">
        <v>5500</v>
      </c>
      <c r="C2412" s="125">
        <v>237</v>
      </c>
      <c r="D2412" s="125" t="s">
        <v>5501</v>
      </c>
      <c r="E2412" s="125" t="s">
        <v>5295</v>
      </c>
      <c r="F2412" s="125" t="s">
        <v>5296</v>
      </c>
      <c r="G2412" s="125" t="s">
        <v>5297</v>
      </c>
      <c r="H2412" s="125" t="s">
        <v>6124</v>
      </c>
      <c r="I2412" s="125" t="s">
        <v>3183</v>
      </c>
    </row>
    <row r="2413" spans="1:9" x14ac:dyDescent="0.25">
      <c r="A2413" s="125" t="s">
        <v>2789</v>
      </c>
      <c r="B2413" s="125" t="s">
        <v>5500</v>
      </c>
      <c r="C2413" s="125">
        <v>237</v>
      </c>
      <c r="D2413" s="125" t="s">
        <v>5501</v>
      </c>
      <c r="E2413" s="125" t="s">
        <v>5295</v>
      </c>
      <c r="F2413" s="125" t="s">
        <v>5296</v>
      </c>
      <c r="G2413" s="125" t="s">
        <v>5297</v>
      </c>
      <c r="H2413" s="125" t="s">
        <v>3207</v>
      </c>
      <c r="I2413" s="125" t="s">
        <v>3183</v>
      </c>
    </row>
    <row r="2414" spans="1:9" x14ac:dyDescent="0.25">
      <c r="A2414" s="125" t="s">
        <v>3252</v>
      </c>
      <c r="B2414" s="125" t="s">
        <v>5323</v>
      </c>
      <c r="C2414" s="125">
        <v>211</v>
      </c>
      <c r="D2414" s="125" t="s">
        <v>5324</v>
      </c>
      <c r="E2414" s="125" t="s">
        <v>5303</v>
      </c>
      <c r="F2414" s="125" t="s">
        <v>5304</v>
      </c>
      <c r="G2414" s="125" t="s">
        <v>5297</v>
      </c>
      <c r="H2414" s="125" t="s">
        <v>1702</v>
      </c>
      <c r="I2414" s="125" t="s">
        <v>2878</v>
      </c>
    </row>
    <row r="2415" spans="1:9" x14ac:dyDescent="0.25">
      <c r="A2415" s="125" t="s">
        <v>2253</v>
      </c>
      <c r="B2415" s="125" t="s">
        <v>5876</v>
      </c>
      <c r="C2415" s="125">
        <v>282</v>
      </c>
      <c r="D2415" s="125" t="s">
        <v>5529</v>
      </c>
      <c r="E2415" s="125" t="s">
        <v>5341</v>
      </c>
      <c r="F2415" s="140" t="s">
        <v>5342</v>
      </c>
      <c r="G2415" s="125" t="s">
        <v>5297</v>
      </c>
      <c r="H2415" s="125" t="s">
        <v>6126</v>
      </c>
      <c r="I2415" s="125" t="s">
        <v>2878</v>
      </c>
    </row>
    <row r="2416" spans="1:9" x14ac:dyDescent="0.25">
      <c r="A2416" s="125" t="s">
        <v>2842</v>
      </c>
      <c r="B2416" s="125" t="s">
        <v>5876</v>
      </c>
      <c r="C2416" s="125">
        <v>282</v>
      </c>
      <c r="D2416" s="125" t="s">
        <v>5529</v>
      </c>
      <c r="E2416" s="125" t="s">
        <v>5341</v>
      </c>
      <c r="F2416" s="140" t="s">
        <v>5342</v>
      </c>
      <c r="G2416" s="125" t="s">
        <v>5297</v>
      </c>
      <c r="H2416" s="125" t="s">
        <v>1888</v>
      </c>
      <c r="I2416" s="125" t="s">
        <v>2878</v>
      </c>
    </row>
    <row r="2417" spans="1:9" x14ac:dyDescent="0.25">
      <c r="A2417" s="125" t="s">
        <v>2567</v>
      </c>
      <c r="B2417" s="125" t="s">
        <v>5876</v>
      </c>
      <c r="C2417" s="125">
        <v>282</v>
      </c>
      <c r="D2417" s="125" t="s">
        <v>5529</v>
      </c>
      <c r="E2417" s="125" t="s">
        <v>5341</v>
      </c>
      <c r="F2417" s="140" t="s">
        <v>5342</v>
      </c>
      <c r="G2417" s="125" t="s">
        <v>5297</v>
      </c>
      <c r="H2417" s="125" t="s">
        <v>371</v>
      </c>
      <c r="I2417" s="125" t="s">
        <v>371</v>
      </c>
    </row>
    <row r="2418" spans="1:9" x14ac:dyDescent="0.25">
      <c r="A2418" s="125" t="s">
        <v>1257</v>
      </c>
      <c r="B2418" s="125" t="s">
        <v>5876</v>
      </c>
      <c r="C2418" s="125">
        <v>282</v>
      </c>
      <c r="D2418" s="125" t="s">
        <v>5529</v>
      </c>
      <c r="E2418" s="125" t="s">
        <v>5341</v>
      </c>
      <c r="F2418" s="140" t="s">
        <v>5342</v>
      </c>
      <c r="G2418" s="125" t="s">
        <v>5297</v>
      </c>
      <c r="H2418" s="125" t="s">
        <v>6126</v>
      </c>
      <c r="I2418" s="125" t="s">
        <v>2878</v>
      </c>
    </row>
    <row r="2419" spans="1:9" x14ac:dyDescent="0.25">
      <c r="A2419" s="125" t="s">
        <v>2319</v>
      </c>
      <c r="B2419" s="125" t="s">
        <v>5876</v>
      </c>
      <c r="C2419" s="125">
        <v>282</v>
      </c>
      <c r="D2419" s="125" t="s">
        <v>5529</v>
      </c>
      <c r="E2419" s="125" t="s">
        <v>5341</v>
      </c>
      <c r="F2419" s="140" t="s">
        <v>5342</v>
      </c>
      <c r="G2419" s="125" t="s">
        <v>5297</v>
      </c>
      <c r="H2419" s="125" t="s">
        <v>5538</v>
      </c>
      <c r="I2419" s="125" t="s">
        <v>2878</v>
      </c>
    </row>
    <row r="2420" spans="1:9" x14ac:dyDescent="0.25">
      <c r="A2420" s="125" t="s">
        <v>2726</v>
      </c>
      <c r="B2420" s="125" t="s">
        <v>5323</v>
      </c>
      <c r="C2420" s="125">
        <v>211</v>
      </c>
      <c r="D2420" s="125" t="s">
        <v>5324</v>
      </c>
      <c r="E2420" s="125" t="s">
        <v>5303</v>
      </c>
      <c r="F2420" s="140" t="s">
        <v>5304</v>
      </c>
      <c r="G2420" s="125" t="s">
        <v>5297</v>
      </c>
      <c r="H2420" s="125" t="s">
        <v>371</v>
      </c>
      <c r="I2420" s="125" t="s">
        <v>371</v>
      </c>
    </row>
    <row r="2421" spans="1:9" x14ac:dyDescent="0.25">
      <c r="A2421" s="125" t="s">
        <v>2658</v>
      </c>
      <c r="B2421" s="125" t="s">
        <v>5323</v>
      </c>
      <c r="C2421" s="125">
        <v>211</v>
      </c>
      <c r="D2421" s="125" t="s">
        <v>5324</v>
      </c>
      <c r="E2421" s="125" t="s">
        <v>5303</v>
      </c>
      <c r="F2421" s="140" t="s">
        <v>5304</v>
      </c>
      <c r="G2421" s="125" t="s">
        <v>5297</v>
      </c>
      <c r="H2421" s="125" t="s">
        <v>1888</v>
      </c>
      <c r="I2421" s="125" t="s">
        <v>2878</v>
      </c>
    </row>
    <row r="2422" spans="1:9" x14ac:dyDescent="0.25">
      <c r="A2422" s="125" t="s">
        <v>3128</v>
      </c>
      <c r="B2422" s="125" t="s">
        <v>5323</v>
      </c>
      <c r="C2422" s="125">
        <v>211</v>
      </c>
      <c r="D2422" s="125" t="s">
        <v>5324</v>
      </c>
      <c r="E2422" s="125" t="s">
        <v>5303</v>
      </c>
      <c r="F2422" s="140" t="s">
        <v>5304</v>
      </c>
      <c r="G2422" s="125" t="s">
        <v>5297</v>
      </c>
      <c r="H2422" s="125" t="s">
        <v>1888</v>
      </c>
      <c r="I2422" s="125" t="s">
        <v>2878</v>
      </c>
    </row>
    <row r="2423" spans="1:9" x14ac:dyDescent="0.25">
      <c r="A2423" s="125" t="s">
        <v>2808</v>
      </c>
      <c r="B2423" s="125" t="s">
        <v>5323</v>
      </c>
      <c r="C2423" s="125">
        <v>211</v>
      </c>
      <c r="D2423" s="125" t="s">
        <v>5324</v>
      </c>
      <c r="E2423" s="125" t="s">
        <v>5303</v>
      </c>
      <c r="F2423" s="125" t="s">
        <v>5304</v>
      </c>
      <c r="G2423" s="125" t="s">
        <v>5297</v>
      </c>
      <c r="H2423" s="125" t="s">
        <v>5577</v>
      </c>
      <c r="I2423" s="125" t="s">
        <v>2878</v>
      </c>
    </row>
    <row r="2424" spans="1:9" x14ac:dyDescent="0.25">
      <c r="A2424" s="125" t="s">
        <v>1889</v>
      </c>
      <c r="B2424" s="125" t="s">
        <v>5323</v>
      </c>
      <c r="C2424" s="125">
        <v>211</v>
      </c>
      <c r="D2424" s="125" t="s">
        <v>5324</v>
      </c>
      <c r="E2424" s="125" t="s">
        <v>5303</v>
      </c>
      <c r="F2424" s="125" t="s">
        <v>5304</v>
      </c>
      <c r="G2424" s="125" t="s">
        <v>5297</v>
      </c>
      <c r="H2424" s="125" t="s">
        <v>5577</v>
      </c>
      <c r="I2424" s="125" t="s">
        <v>2878</v>
      </c>
    </row>
    <row r="2425" spans="1:9" x14ac:dyDescent="0.25">
      <c r="A2425" s="125" t="s">
        <v>2868</v>
      </c>
      <c r="B2425" s="125" t="s">
        <v>5323</v>
      </c>
      <c r="C2425" s="125">
        <v>211</v>
      </c>
      <c r="D2425" s="125" t="s">
        <v>5324</v>
      </c>
      <c r="E2425" s="125" t="s">
        <v>5303</v>
      </c>
      <c r="F2425" s="125" t="s">
        <v>5304</v>
      </c>
      <c r="G2425" s="125" t="s">
        <v>5297</v>
      </c>
      <c r="H2425" s="125" t="s">
        <v>371</v>
      </c>
      <c r="I2425" s="125" t="s">
        <v>371</v>
      </c>
    </row>
    <row r="2426" spans="1:9" x14ac:dyDescent="0.25">
      <c r="A2426" s="125" t="s">
        <v>2510</v>
      </c>
      <c r="B2426" s="125" t="s">
        <v>5323</v>
      </c>
      <c r="C2426" s="125">
        <v>211</v>
      </c>
      <c r="D2426" s="125" t="s">
        <v>5324</v>
      </c>
      <c r="E2426" s="125" t="s">
        <v>5303</v>
      </c>
      <c r="F2426" s="125" t="s">
        <v>5304</v>
      </c>
      <c r="G2426" s="125" t="s">
        <v>5297</v>
      </c>
      <c r="H2426" s="125" t="s">
        <v>371</v>
      </c>
      <c r="I2426" s="125" t="s">
        <v>371</v>
      </c>
    </row>
    <row r="2427" spans="1:9" x14ac:dyDescent="0.25">
      <c r="A2427" s="125" t="s">
        <v>2565</v>
      </c>
      <c r="B2427" s="125" t="s">
        <v>5323</v>
      </c>
      <c r="C2427" s="125">
        <v>211</v>
      </c>
      <c r="D2427" s="125" t="s">
        <v>5324</v>
      </c>
      <c r="E2427" s="125" t="s">
        <v>5303</v>
      </c>
      <c r="F2427" s="125" t="s">
        <v>5304</v>
      </c>
      <c r="G2427" s="125" t="s">
        <v>5297</v>
      </c>
      <c r="H2427" s="125" t="s">
        <v>371</v>
      </c>
      <c r="I2427" s="125" t="s">
        <v>371</v>
      </c>
    </row>
    <row r="2428" spans="1:9" x14ac:dyDescent="0.25">
      <c r="A2428" s="125" t="s">
        <v>1090</v>
      </c>
      <c r="B2428" s="125" t="s">
        <v>5323</v>
      </c>
      <c r="C2428" s="125">
        <v>211</v>
      </c>
      <c r="D2428" s="125" t="s">
        <v>5324</v>
      </c>
      <c r="E2428" s="125" t="s">
        <v>5303</v>
      </c>
      <c r="F2428" s="125" t="s">
        <v>5304</v>
      </c>
      <c r="G2428" s="125" t="s">
        <v>5297</v>
      </c>
      <c r="H2428" s="125" t="s">
        <v>1702</v>
      </c>
      <c r="I2428" s="125" t="s">
        <v>2878</v>
      </c>
    </row>
    <row r="2429" spans="1:9" x14ac:dyDescent="0.25">
      <c r="A2429" s="125" t="s">
        <v>1703</v>
      </c>
      <c r="B2429" s="125" t="s">
        <v>5323</v>
      </c>
      <c r="C2429" s="125">
        <v>211</v>
      </c>
      <c r="D2429" s="125" t="s">
        <v>5324</v>
      </c>
      <c r="E2429" s="125" t="s">
        <v>5303</v>
      </c>
      <c r="F2429" s="125" t="s">
        <v>5304</v>
      </c>
      <c r="G2429" s="125" t="s">
        <v>5297</v>
      </c>
      <c r="H2429" s="125" t="s">
        <v>1702</v>
      </c>
      <c r="I2429" s="125" t="s">
        <v>2878</v>
      </c>
    </row>
    <row r="2430" spans="1:9" x14ac:dyDescent="0.25">
      <c r="A2430" s="125" t="s">
        <v>1926</v>
      </c>
      <c r="B2430" s="125" t="s">
        <v>5323</v>
      </c>
      <c r="C2430" s="125">
        <v>211</v>
      </c>
      <c r="D2430" s="125" t="s">
        <v>5324</v>
      </c>
      <c r="E2430" s="125" t="s">
        <v>5303</v>
      </c>
      <c r="F2430" s="125" t="s">
        <v>5304</v>
      </c>
      <c r="G2430" s="125" t="s">
        <v>5297</v>
      </c>
      <c r="H2430" s="125" t="s">
        <v>3562</v>
      </c>
      <c r="I2430" s="125" t="s">
        <v>2878</v>
      </c>
    </row>
    <row r="2431" spans="1:9" x14ac:dyDescent="0.25">
      <c r="A2431" s="125" t="s">
        <v>2714</v>
      </c>
      <c r="B2431" s="125" t="s">
        <v>5323</v>
      </c>
      <c r="C2431" s="125">
        <v>211</v>
      </c>
      <c r="D2431" s="125" t="s">
        <v>5324</v>
      </c>
      <c r="E2431" s="125" t="s">
        <v>5303</v>
      </c>
      <c r="F2431" s="125" t="s">
        <v>5304</v>
      </c>
      <c r="G2431" s="125" t="s">
        <v>5297</v>
      </c>
      <c r="H2431" s="125" t="s">
        <v>1702</v>
      </c>
      <c r="I2431" s="125" t="s">
        <v>2878</v>
      </c>
    </row>
    <row r="2432" spans="1:9" x14ac:dyDescent="0.25">
      <c r="A2432" s="125" t="s">
        <v>1816</v>
      </c>
      <c r="B2432" s="125" t="s">
        <v>5323</v>
      </c>
      <c r="C2432" s="125">
        <v>211</v>
      </c>
      <c r="D2432" s="125" t="s">
        <v>5324</v>
      </c>
      <c r="E2432" s="125" t="s">
        <v>5303</v>
      </c>
      <c r="F2432" s="125" t="s">
        <v>5304</v>
      </c>
      <c r="G2432" s="125" t="s">
        <v>5297</v>
      </c>
      <c r="H2432" s="125" t="s">
        <v>5527</v>
      </c>
      <c r="I2432" s="125" t="s">
        <v>5495</v>
      </c>
    </row>
    <row r="2433" spans="1:9" x14ac:dyDescent="0.25">
      <c r="A2433" s="125" t="s">
        <v>1185</v>
      </c>
      <c r="B2433" s="125" t="s">
        <v>5876</v>
      </c>
      <c r="C2433" s="125">
        <v>282</v>
      </c>
      <c r="D2433" s="125" t="s">
        <v>5529</v>
      </c>
      <c r="E2433" s="125" t="s">
        <v>5341</v>
      </c>
      <c r="F2433" s="140" t="s">
        <v>5342</v>
      </c>
      <c r="G2433" s="125" t="s">
        <v>5297</v>
      </c>
      <c r="H2433" s="125" t="s">
        <v>371</v>
      </c>
      <c r="I2433" s="125" t="s">
        <v>371</v>
      </c>
    </row>
    <row r="2434" spans="1:9" x14ac:dyDescent="0.25">
      <c r="A2434" s="125" t="s">
        <v>1671</v>
      </c>
      <c r="B2434" s="125" t="s">
        <v>5876</v>
      </c>
      <c r="C2434" s="125">
        <v>282</v>
      </c>
      <c r="D2434" s="125" t="s">
        <v>5529</v>
      </c>
      <c r="E2434" s="125" t="s">
        <v>5341</v>
      </c>
      <c r="F2434" s="140" t="s">
        <v>5342</v>
      </c>
      <c r="G2434" s="125" t="s">
        <v>5297</v>
      </c>
      <c r="H2434" s="125" t="s">
        <v>6126</v>
      </c>
      <c r="I2434" s="125" t="s">
        <v>2878</v>
      </c>
    </row>
    <row r="2435" spans="1:9" x14ac:dyDescent="0.25">
      <c r="A2435" s="125" t="s">
        <v>6127</v>
      </c>
      <c r="B2435" s="125" t="s">
        <v>5588</v>
      </c>
      <c r="C2435" s="125">
        <v>243</v>
      </c>
      <c r="D2435" s="125" t="s">
        <v>5589</v>
      </c>
      <c r="E2435" s="125" t="s">
        <v>5364</v>
      </c>
      <c r="F2435" s="125" t="s">
        <v>5365</v>
      </c>
      <c r="G2435" s="125" t="s">
        <v>5297</v>
      </c>
      <c r="H2435" s="125" t="s">
        <v>6128</v>
      </c>
      <c r="I2435" s="125" t="s">
        <v>5581</v>
      </c>
    </row>
    <row r="2436" spans="1:9" x14ac:dyDescent="0.25">
      <c r="A2436" s="125" t="s">
        <v>1741</v>
      </c>
      <c r="B2436" s="125" t="s">
        <v>5513</v>
      </c>
      <c r="C2436" s="125">
        <v>238</v>
      </c>
      <c r="D2436" s="125" t="s">
        <v>5514</v>
      </c>
      <c r="E2436" s="125" t="s">
        <v>5364</v>
      </c>
      <c r="F2436" s="125" t="s">
        <v>5365</v>
      </c>
      <c r="G2436" s="125" t="s">
        <v>5297</v>
      </c>
      <c r="H2436" s="125" t="s">
        <v>6129</v>
      </c>
      <c r="I2436" s="125" t="s">
        <v>5581</v>
      </c>
    </row>
    <row r="2437" spans="1:9" x14ac:dyDescent="0.25">
      <c r="A2437" s="125" t="s">
        <v>1784</v>
      </c>
      <c r="B2437" s="125" t="s">
        <v>5513</v>
      </c>
      <c r="C2437" s="125">
        <v>238</v>
      </c>
      <c r="D2437" s="125" t="s">
        <v>5514</v>
      </c>
      <c r="E2437" s="125" t="s">
        <v>5364</v>
      </c>
      <c r="F2437" s="125" t="s">
        <v>5365</v>
      </c>
      <c r="G2437" s="125" t="s">
        <v>5297</v>
      </c>
      <c r="H2437" s="125" t="s">
        <v>3398</v>
      </c>
      <c r="I2437" s="125" t="s">
        <v>5581</v>
      </c>
    </row>
    <row r="2438" spans="1:9" x14ac:dyDescent="0.25">
      <c r="A2438" s="125" t="s">
        <v>3165</v>
      </c>
      <c r="B2438" s="125" t="s">
        <v>5513</v>
      </c>
      <c r="C2438" s="125">
        <v>238</v>
      </c>
      <c r="D2438" s="125" t="s">
        <v>5514</v>
      </c>
      <c r="E2438" s="125" t="s">
        <v>5364</v>
      </c>
      <c r="F2438" s="125" t="s">
        <v>5365</v>
      </c>
      <c r="G2438" s="125" t="s">
        <v>5297</v>
      </c>
      <c r="H2438" s="125" t="s">
        <v>6130</v>
      </c>
      <c r="I2438" s="125" t="s">
        <v>5375</v>
      </c>
    </row>
    <row r="2439" spans="1:9" x14ac:dyDescent="0.25">
      <c r="A2439" s="125" t="s">
        <v>3091</v>
      </c>
      <c r="B2439" s="125" t="s">
        <v>5513</v>
      </c>
      <c r="C2439" s="125">
        <v>238</v>
      </c>
      <c r="D2439" s="125" t="s">
        <v>5514</v>
      </c>
      <c r="E2439" s="125" t="s">
        <v>5364</v>
      </c>
      <c r="F2439" s="125" t="s">
        <v>5365</v>
      </c>
      <c r="G2439" s="125" t="s">
        <v>5297</v>
      </c>
      <c r="H2439" s="125" t="s">
        <v>6130</v>
      </c>
      <c r="I2439" s="125" t="s">
        <v>5375</v>
      </c>
    </row>
    <row r="2440" spans="1:9" x14ac:dyDescent="0.25">
      <c r="A2440" s="125" t="s">
        <v>1602</v>
      </c>
      <c r="B2440" s="125" t="s">
        <v>5513</v>
      </c>
      <c r="C2440" s="125">
        <v>238</v>
      </c>
      <c r="D2440" s="125" t="s">
        <v>5514</v>
      </c>
      <c r="E2440" s="125" t="s">
        <v>5364</v>
      </c>
      <c r="F2440" s="125" t="s">
        <v>5365</v>
      </c>
      <c r="G2440" s="125" t="s">
        <v>5297</v>
      </c>
      <c r="H2440" s="125" t="s">
        <v>6129</v>
      </c>
      <c r="I2440" s="125" t="s">
        <v>5581</v>
      </c>
    </row>
    <row r="2441" spans="1:9" x14ac:dyDescent="0.25">
      <c r="A2441" s="125" t="s">
        <v>1832</v>
      </c>
      <c r="B2441" s="125" t="s">
        <v>5373</v>
      </c>
      <c r="C2441" s="125">
        <v>207</v>
      </c>
      <c r="D2441" s="125" t="s">
        <v>5374</v>
      </c>
      <c r="E2441" s="125" t="s">
        <v>5364</v>
      </c>
      <c r="F2441" s="125" t="s">
        <v>5365</v>
      </c>
      <c r="G2441" s="125" t="s">
        <v>5297</v>
      </c>
      <c r="H2441" s="125" t="s">
        <v>3398</v>
      </c>
      <c r="I2441" s="125" t="s">
        <v>5581</v>
      </c>
    </row>
    <row r="2442" spans="1:9" x14ac:dyDescent="0.25">
      <c r="A2442" s="125" t="s">
        <v>3509</v>
      </c>
      <c r="B2442" s="125" t="s">
        <v>5513</v>
      </c>
      <c r="C2442" s="125">
        <v>238</v>
      </c>
      <c r="D2442" s="125" t="s">
        <v>5514</v>
      </c>
      <c r="E2442" s="125" t="s">
        <v>5364</v>
      </c>
      <c r="F2442" s="125" t="s">
        <v>5365</v>
      </c>
      <c r="G2442" s="125" t="s">
        <v>5297</v>
      </c>
      <c r="H2442" s="125" t="s">
        <v>6129</v>
      </c>
      <c r="I2442" s="125" t="s">
        <v>5581</v>
      </c>
    </row>
    <row r="2443" spans="1:9" x14ac:dyDescent="0.25">
      <c r="A2443" s="125" t="s">
        <v>1370</v>
      </c>
      <c r="B2443" s="125" t="s">
        <v>5513</v>
      </c>
      <c r="C2443" s="125">
        <v>238</v>
      </c>
      <c r="D2443" s="125" t="s">
        <v>5514</v>
      </c>
      <c r="E2443" s="125" t="s">
        <v>5364</v>
      </c>
      <c r="F2443" s="125" t="s">
        <v>5365</v>
      </c>
      <c r="G2443" s="125" t="s">
        <v>5297</v>
      </c>
      <c r="H2443" s="125" t="s">
        <v>6129</v>
      </c>
      <c r="I2443" s="125" t="s">
        <v>5581</v>
      </c>
    </row>
    <row r="2444" spans="1:9" x14ac:dyDescent="0.25">
      <c r="A2444" s="125" t="s">
        <v>2754</v>
      </c>
      <c r="B2444" s="125" t="s">
        <v>5513</v>
      </c>
      <c r="C2444" s="125">
        <v>238</v>
      </c>
      <c r="D2444" s="125" t="s">
        <v>5514</v>
      </c>
      <c r="E2444" s="125" t="s">
        <v>5364</v>
      </c>
      <c r="F2444" s="125" t="s">
        <v>5365</v>
      </c>
      <c r="G2444" s="125" t="s">
        <v>5297</v>
      </c>
      <c r="H2444" s="125" t="s">
        <v>5516</v>
      </c>
      <c r="I2444" s="125" t="s">
        <v>5375</v>
      </c>
    </row>
    <row r="2445" spans="1:9" x14ac:dyDescent="0.25">
      <c r="A2445" s="125" t="s">
        <v>6131</v>
      </c>
      <c r="B2445" s="125" t="s">
        <v>5588</v>
      </c>
      <c r="C2445" s="125">
        <v>243</v>
      </c>
      <c r="D2445" s="125" t="s">
        <v>5589</v>
      </c>
      <c r="E2445" s="125" t="s">
        <v>5364</v>
      </c>
      <c r="F2445" s="125" t="s">
        <v>5365</v>
      </c>
      <c r="G2445" s="125" t="s">
        <v>5297</v>
      </c>
      <c r="H2445" s="125" t="s">
        <v>5973</v>
      </c>
      <c r="I2445" s="125" t="s">
        <v>5581</v>
      </c>
    </row>
    <row r="2446" spans="1:9" x14ac:dyDescent="0.25">
      <c r="A2446" s="125" t="s">
        <v>6132</v>
      </c>
      <c r="B2446" s="125" t="s">
        <v>5588</v>
      </c>
      <c r="C2446" s="125">
        <v>243</v>
      </c>
      <c r="D2446" s="125" t="s">
        <v>5589</v>
      </c>
      <c r="E2446" s="125" t="s">
        <v>5364</v>
      </c>
      <c r="F2446" s="125" t="s">
        <v>5365</v>
      </c>
      <c r="G2446" s="125" t="s">
        <v>5297</v>
      </c>
      <c r="H2446" s="125" t="s">
        <v>5973</v>
      </c>
      <c r="I2446" s="125" t="s">
        <v>5581</v>
      </c>
    </row>
    <row r="2447" spans="1:9" x14ac:dyDescent="0.25">
      <c r="A2447" s="125" t="s">
        <v>6133</v>
      </c>
      <c r="B2447" s="125" t="s">
        <v>5588</v>
      </c>
      <c r="C2447" s="125">
        <v>243</v>
      </c>
      <c r="D2447" s="125" t="s">
        <v>5589</v>
      </c>
      <c r="E2447" s="125" t="s">
        <v>5364</v>
      </c>
      <c r="F2447" s="125" t="s">
        <v>5365</v>
      </c>
      <c r="G2447" s="125" t="s">
        <v>5297</v>
      </c>
      <c r="H2447" s="125" t="s">
        <v>5973</v>
      </c>
      <c r="I2447" s="125" t="s">
        <v>5581</v>
      </c>
    </row>
    <row r="2448" spans="1:9" x14ac:dyDescent="0.25">
      <c r="A2448" s="125" t="s">
        <v>2639</v>
      </c>
      <c r="B2448" s="125" t="s">
        <v>5588</v>
      </c>
      <c r="C2448" s="125">
        <v>243</v>
      </c>
      <c r="D2448" s="125" t="s">
        <v>5589</v>
      </c>
      <c r="E2448" s="125" t="s">
        <v>5364</v>
      </c>
      <c r="F2448" s="125" t="s">
        <v>5365</v>
      </c>
      <c r="G2448" s="125" t="s">
        <v>5297</v>
      </c>
      <c r="H2448" s="125" t="s">
        <v>5973</v>
      </c>
      <c r="I2448" s="125" t="s">
        <v>5581</v>
      </c>
    </row>
    <row r="2449" spans="1:9" x14ac:dyDescent="0.25">
      <c r="A2449" s="125" t="s">
        <v>3082</v>
      </c>
      <c r="B2449" s="125" t="s">
        <v>5588</v>
      </c>
      <c r="C2449" s="125">
        <v>243</v>
      </c>
      <c r="D2449" s="125" t="s">
        <v>5589</v>
      </c>
      <c r="E2449" s="125" t="s">
        <v>5364</v>
      </c>
      <c r="F2449" s="125" t="s">
        <v>5365</v>
      </c>
      <c r="G2449" s="125" t="s">
        <v>5297</v>
      </c>
      <c r="H2449" s="125" t="s">
        <v>5973</v>
      </c>
      <c r="I2449" s="125" t="s">
        <v>5581</v>
      </c>
    </row>
    <row r="2450" spans="1:9" x14ac:dyDescent="0.25">
      <c r="A2450" s="125" t="s">
        <v>2943</v>
      </c>
      <c r="B2450" s="125" t="s">
        <v>5588</v>
      </c>
      <c r="C2450" s="125">
        <v>243</v>
      </c>
      <c r="D2450" s="125" t="s">
        <v>5589</v>
      </c>
      <c r="E2450" s="125" t="s">
        <v>5364</v>
      </c>
      <c r="F2450" s="125" t="s">
        <v>5365</v>
      </c>
      <c r="G2450" s="125" t="s">
        <v>5297</v>
      </c>
      <c r="H2450" s="125" t="s">
        <v>5973</v>
      </c>
      <c r="I2450" s="125" t="s">
        <v>5581</v>
      </c>
    </row>
    <row r="2451" spans="1:9" x14ac:dyDescent="0.25">
      <c r="A2451" s="125" t="s">
        <v>2161</v>
      </c>
      <c r="B2451" s="125" t="s">
        <v>5588</v>
      </c>
      <c r="C2451" s="125">
        <v>243</v>
      </c>
      <c r="D2451" s="125" t="s">
        <v>5589</v>
      </c>
      <c r="E2451" s="125" t="s">
        <v>5364</v>
      </c>
      <c r="F2451" s="125" t="s">
        <v>5365</v>
      </c>
      <c r="G2451" s="125" t="s">
        <v>5297</v>
      </c>
      <c r="H2451" s="125" t="s">
        <v>6128</v>
      </c>
      <c r="I2451" s="125" t="s">
        <v>5581</v>
      </c>
    </row>
    <row r="2452" spans="1:9" x14ac:dyDescent="0.25">
      <c r="A2452" s="125" t="s">
        <v>2765</v>
      </c>
      <c r="B2452" s="125" t="s">
        <v>5588</v>
      </c>
      <c r="C2452" s="125">
        <v>243</v>
      </c>
      <c r="D2452" s="125" t="s">
        <v>5589</v>
      </c>
      <c r="E2452" s="125" t="s">
        <v>5364</v>
      </c>
      <c r="F2452" s="125" t="s">
        <v>5365</v>
      </c>
      <c r="G2452" s="125" t="s">
        <v>5297</v>
      </c>
      <c r="H2452" s="125" t="s">
        <v>5973</v>
      </c>
      <c r="I2452" s="125" t="s">
        <v>5581</v>
      </c>
    </row>
    <row r="2453" spans="1:9" x14ac:dyDescent="0.25">
      <c r="A2453" s="125" t="s">
        <v>3015</v>
      </c>
      <c r="B2453" s="125" t="s">
        <v>5373</v>
      </c>
      <c r="C2453" s="125">
        <v>207</v>
      </c>
      <c r="D2453" s="125" t="s">
        <v>5374</v>
      </c>
      <c r="E2453" s="125" t="s">
        <v>5364</v>
      </c>
      <c r="F2453" s="125" t="s">
        <v>5365</v>
      </c>
      <c r="G2453" s="125" t="s">
        <v>5297</v>
      </c>
      <c r="H2453" s="125" t="s">
        <v>371</v>
      </c>
      <c r="I2453" s="125" t="s">
        <v>371</v>
      </c>
    </row>
    <row r="2454" spans="1:9" x14ac:dyDescent="0.25">
      <c r="A2454" s="125" t="s">
        <v>6134</v>
      </c>
      <c r="B2454" s="125" t="s">
        <v>5513</v>
      </c>
      <c r="C2454" s="125">
        <v>238</v>
      </c>
      <c r="D2454" s="125" t="s">
        <v>5514</v>
      </c>
      <c r="E2454" s="125" t="s">
        <v>5364</v>
      </c>
      <c r="F2454" s="125" t="s">
        <v>5365</v>
      </c>
      <c r="G2454" s="125" t="s">
        <v>5297</v>
      </c>
      <c r="H2454" s="125" t="s">
        <v>5516</v>
      </c>
      <c r="I2454" s="125" t="s">
        <v>5375</v>
      </c>
    </row>
    <row r="2455" spans="1:9" x14ac:dyDescent="0.25">
      <c r="A2455" s="125" t="s">
        <v>3079</v>
      </c>
      <c r="B2455" s="125" t="s">
        <v>5588</v>
      </c>
      <c r="C2455" s="125">
        <v>243</v>
      </c>
      <c r="D2455" s="125" t="s">
        <v>5589</v>
      </c>
      <c r="E2455" s="125" t="s">
        <v>5364</v>
      </c>
      <c r="F2455" s="125" t="s">
        <v>5365</v>
      </c>
      <c r="G2455" s="125" t="s">
        <v>5297</v>
      </c>
      <c r="H2455" s="125" t="s">
        <v>6128</v>
      </c>
      <c r="I2455" s="125" t="s">
        <v>5581</v>
      </c>
    </row>
    <row r="2456" spans="1:9" x14ac:dyDescent="0.25">
      <c r="A2456" s="125" t="s">
        <v>3383</v>
      </c>
      <c r="B2456" s="125" t="s">
        <v>5513</v>
      </c>
      <c r="C2456" s="125">
        <v>238</v>
      </c>
      <c r="D2456" s="125" t="s">
        <v>5514</v>
      </c>
      <c r="E2456" s="125" t="s">
        <v>5364</v>
      </c>
      <c r="F2456" s="125" t="s">
        <v>5365</v>
      </c>
      <c r="G2456" s="125" t="s">
        <v>5297</v>
      </c>
      <c r="H2456" s="125" t="s">
        <v>3398</v>
      </c>
      <c r="I2456" s="125" t="s">
        <v>5581</v>
      </c>
    </row>
    <row r="2457" spans="1:9" x14ac:dyDescent="0.25">
      <c r="A2457" s="125" t="s">
        <v>6135</v>
      </c>
      <c r="B2457" s="125" t="s">
        <v>5588</v>
      </c>
      <c r="C2457" s="125">
        <v>243</v>
      </c>
      <c r="D2457" s="125" t="s">
        <v>5589</v>
      </c>
      <c r="E2457" s="125" t="s">
        <v>5364</v>
      </c>
      <c r="F2457" s="125" t="s">
        <v>5365</v>
      </c>
      <c r="G2457" s="125" t="s">
        <v>5297</v>
      </c>
      <c r="H2457" s="125" t="s">
        <v>6128</v>
      </c>
      <c r="I2457" s="125" t="s">
        <v>5581</v>
      </c>
    </row>
    <row r="2458" spans="1:9" x14ac:dyDescent="0.25">
      <c r="A2458" s="125" t="s">
        <v>2767</v>
      </c>
      <c r="B2458" s="125" t="s">
        <v>5588</v>
      </c>
      <c r="C2458" s="125">
        <v>243</v>
      </c>
      <c r="D2458" s="125" t="s">
        <v>5589</v>
      </c>
      <c r="E2458" s="125" t="s">
        <v>5364</v>
      </c>
      <c r="F2458" s="125" t="s">
        <v>5365</v>
      </c>
      <c r="G2458" s="125" t="s">
        <v>5297</v>
      </c>
      <c r="H2458" s="125" t="s">
        <v>6136</v>
      </c>
      <c r="I2458" s="125" t="s">
        <v>5581</v>
      </c>
    </row>
    <row r="2459" spans="1:9" x14ac:dyDescent="0.25">
      <c r="A2459" s="125" t="s">
        <v>6137</v>
      </c>
      <c r="B2459" s="125" t="s">
        <v>5588</v>
      </c>
      <c r="C2459" s="125">
        <v>243</v>
      </c>
      <c r="D2459" s="125" t="s">
        <v>5589</v>
      </c>
      <c r="E2459" s="125" t="s">
        <v>5364</v>
      </c>
      <c r="F2459" s="125" t="s">
        <v>5365</v>
      </c>
      <c r="G2459" s="125" t="s">
        <v>5297</v>
      </c>
      <c r="H2459" s="125" t="s">
        <v>6128</v>
      </c>
      <c r="I2459" s="125" t="s">
        <v>5581</v>
      </c>
    </row>
    <row r="2460" spans="1:9" x14ac:dyDescent="0.25">
      <c r="A2460" s="125" t="s">
        <v>1357</v>
      </c>
      <c r="B2460" s="125" t="s">
        <v>5588</v>
      </c>
      <c r="C2460" s="125">
        <v>243</v>
      </c>
      <c r="D2460" s="125" t="s">
        <v>5589</v>
      </c>
      <c r="E2460" s="125" t="s">
        <v>5364</v>
      </c>
      <c r="F2460" s="125" t="s">
        <v>5365</v>
      </c>
      <c r="G2460" s="125" t="s">
        <v>5297</v>
      </c>
      <c r="H2460" s="125" t="s">
        <v>3398</v>
      </c>
      <c r="I2460" s="125" t="s">
        <v>5581</v>
      </c>
    </row>
    <row r="2461" spans="1:9" x14ac:dyDescent="0.25">
      <c r="A2461" s="125" t="s">
        <v>2942</v>
      </c>
      <c r="B2461" s="125" t="s">
        <v>5373</v>
      </c>
      <c r="C2461" s="125">
        <v>207</v>
      </c>
      <c r="D2461" s="125" t="s">
        <v>5374</v>
      </c>
      <c r="E2461" s="125" t="s">
        <v>5364</v>
      </c>
      <c r="F2461" s="125" t="s">
        <v>5365</v>
      </c>
      <c r="G2461" s="125" t="s">
        <v>5297</v>
      </c>
      <c r="H2461" s="125" t="s">
        <v>3398</v>
      </c>
      <c r="I2461" s="125" t="s">
        <v>5581</v>
      </c>
    </row>
    <row r="2462" spans="1:9" x14ac:dyDescent="0.25">
      <c r="A2462" s="125" t="s">
        <v>1742</v>
      </c>
      <c r="B2462" s="125" t="s">
        <v>5323</v>
      </c>
      <c r="C2462" s="125">
        <v>211</v>
      </c>
      <c r="D2462" s="125" t="s">
        <v>5324</v>
      </c>
      <c r="E2462" s="125" t="s">
        <v>5303</v>
      </c>
      <c r="F2462" s="125" t="s">
        <v>5304</v>
      </c>
      <c r="G2462" s="125" t="s">
        <v>5297</v>
      </c>
      <c r="H2462" s="125" t="s">
        <v>3501</v>
      </c>
      <c r="I2462" s="125" t="s">
        <v>3501</v>
      </c>
    </row>
    <row r="2463" spans="1:9" x14ac:dyDescent="0.25">
      <c r="A2463" s="125" t="s">
        <v>1973</v>
      </c>
      <c r="B2463" s="125" t="s">
        <v>5323</v>
      </c>
      <c r="C2463" s="125">
        <v>211</v>
      </c>
      <c r="D2463" s="125" t="s">
        <v>5324</v>
      </c>
      <c r="E2463" s="125" t="s">
        <v>5303</v>
      </c>
      <c r="F2463" s="125" t="s">
        <v>5304</v>
      </c>
      <c r="G2463" s="125" t="s">
        <v>5297</v>
      </c>
      <c r="H2463" s="125" t="s">
        <v>371</v>
      </c>
      <c r="I2463" s="125" t="s">
        <v>371</v>
      </c>
    </row>
    <row r="2464" spans="1:9" x14ac:dyDescent="0.25">
      <c r="A2464" s="125" t="s">
        <v>1436</v>
      </c>
      <c r="B2464" s="125" t="s">
        <v>5323</v>
      </c>
      <c r="C2464" s="125">
        <v>211</v>
      </c>
      <c r="D2464" s="125" t="s">
        <v>5324</v>
      </c>
      <c r="E2464" s="125" t="s">
        <v>5303</v>
      </c>
      <c r="F2464" s="125" t="s">
        <v>5304</v>
      </c>
      <c r="G2464" s="125" t="s">
        <v>5297</v>
      </c>
      <c r="H2464" s="125" t="s">
        <v>3501</v>
      </c>
      <c r="I2464" s="125" t="s">
        <v>3501</v>
      </c>
    </row>
    <row r="2465" spans="1:9" x14ac:dyDescent="0.25">
      <c r="A2465" s="125" t="s">
        <v>1270</v>
      </c>
      <c r="B2465" s="125" t="s">
        <v>5323</v>
      </c>
      <c r="C2465" s="125">
        <v>211</v>
      </c>
      <c r="D2465" s="125" t="s">
        <v>5324</v>
      </c>
      <c r="E2465" s="125" t="s">
        <v>5303</v>
      </c>
      <c r="F2465" s="125" t="s">
        <v>5304</v>
      </c>
      <c r="G2465" s="125" t="s">
        <v>5297</v>
      </c>
      <c r="H2465" s="125" t="s">
        <v>3501</v>
      </c>
      <c r="I2465" s="125" t="s">
        <v>3501</v>
      </c>
    </row>
    <row r="2466" spans="1:9" x14ac:dyDescent="0.25">
      <c r="A2466" s="125" t="s">
        <v>2892</v>
      </c>
      <c r="B2466" s="125" t="s">
        <v>5323</v>
      </c>
      <c r="C2466" s="125">
        <v>211</v>
      </c>
      <c r="D2466" s="125" t="s">
        <v>5324</v>
      </c>
      <c r="E2466" s="125" t="s">
        <v>5303</v>
      </c>
      <c r="F2466" s="125" t="s">
        <v>5304</v>
      </c>
      <c r="G2466" s="125" t="s">
        <v>5297</v>
      </c>
      <c r="H2466" s="125" t="s">
        <v>5527</v>
      </c>
      <c r="I2466" s="125" t="s">
        <v>5495</v>
      </c>
    </row>
    <row r="2467" spans="1:9" x14ac:dyDescent="0.25">
      <c r="A2467" s="125" t="s">
        <v>2226</v>
      </c>
      <c r="B2467" s="125" t="s">
        <v>5323</v>
      </c>
      <c r="C2467" s="125">
        <v>211</v>
      </c>
      <c r="D2467" s="125" t="s">
        <v>5324</v>
      </c>
      <c r="E2467" s="125" t="s">
        <v>5303</v>
      </c>
      <c r="F2467" s="125" t="s">
        <v>5304</v>
      </c>
      <c r="G2467" s="125" t="s">
        <v>5297</v>
      </c>
      <c r="H2467" s="125" t="s">
        <v>371</v>
      </c>
      <c r="I2467" s="125" t="s">
        <v>371</v>
      </c>
    </row>
    <row r="2468" spans="1:9" x14ac:dyDescent="0.25">
      <c r="A2468" s="125" t="s">
        <v>6138</v>
      </c>
      <c r="B2468" s="125" t="s">
        <v>5323</v>
      </c>
      <c r="C2468" s="125">
        <v>211</v>
      </c>
      <c r="D2468" s="125" t="s">
        <v>5324</v>
      </c>
      <c r="E2468" s="125" t="s">
        <v>5303</v>
      </c>
      <c r="F2468" s="125" t="s">
        <v>5304</v>
      </c>
      <c r="G2468" s="125" t="s">
        <v>5297</v>
      </c>
      <c r="H2468" s="125" t="s">
        <v>371</v>
      </c>
      <c r="I2468" s="125" t="s">
        <v>371</v>
      </c>
    </row>
    <row r="2469" spans="1:9" x14ac:dyDescent="0.25">
      <c r="A2469" s="125" t="s">
        <v>3127</v>
      </c>
      <c r="B2469" s="125" t="s">
        <v>5323</v>
      </c>
      <c r="C2469" s="125">
        <v>211</v>
      </c>
      <c r="D2469" s="125" t="s">
        <v>5324</v>
      </c>
      <c r="E2469" s="125" t="s">
        <v>5303</v>
      </c>
      <c r="F2469" s="125" t="s">
        <v>5304</v>
      </c>
      <c r="G2469" s="125" t="s">
        <v>5297</v>
      </c>
      <c r="H2469" s="125" t="s">
        <v>371</v>
      </c>
      <c r="I2469" s="125" t="s">
        <v>371</v>
      </c>
    </row>
    <row r="2470" spans="1:9" x14ac:dyDescent="0.25">
      <c r="A2470" s="125" t="s">
        <v>6139</v>
      </c>
      <c r="B2470" s="125" t="s">
        <v>5323</v>
      </c>
      <c r="C2470" s="125">
        <v>211</v>
      </c>
      <c r="D2470" s="125" t="s">
        <v>5324</v>
      </c>
      <c r="E2470" s="125" t="s">
        <v>5303</v>
      </c>
      <c r="F2470" s="125" t="s">
        <v>5304</v>
      </c>
      <c r="G2470" s="125" t="s">
        <v>5297</v>
      </c>
      <c r="H2470" s="125" t="s">
        <v>371</v>
      </c>
      <c r="I2470" s="125" t="s">
        <v>371</v>
      </c>
    </row>
    <row r="2471" spans="1:9" x14ac:dyDescent="0.25">
      <c r="A2471" s="125" t="s">
        <v>6140</v>
      </c>
      <c r="B2471" s="125" t="s">
        <v>5323</v>
      </c>
      <c r="C2471" s="125">
        <v>211</v>
      </c>
      <c r="D2471" s="125" t="s">
        <v>5324</v>
      </c>
      <c r="E2471" s="125" t="s">
        <v>5303</v>
      </c>
      <c r="F2471" s="125" t="s">
        <v>5304</v>
      </c>
      <c r="G2471" s="125" t="s">
        <v>5297</v>
      </c>
      <c r="H2471" s="125" t="s">
        <v>1092</v>
      </c>
      <c r="I2471" s="125" t="s">
        <v>1092</v>
      </c>
    </row>
    <row r="2472" spans="1:9" x14ac:dyDescent="0.25">
      <c r="A2472" s="125" t="s">
        <v>6141</v>
      </c>
      <c r="B2472" s="125" t="s">
        <v>5323</v>
      </c>
      <c r="C2472" s="125">
        <v>211</v>
      </c>
      <c r="D2472" s="125" t="s">
        <v>5324</v>
      </c>
      <c r="E2472" s="125" t="s">
        <v>5303</v>
      </c>
      <c r="F2472" s="125" t="s">
        <v>5304</v>
      </c>
      <c r="G2472" s="125" t="s">
        <v>5297</v>
      </c>
      <c r="H2472" s="125" t="s">
        <v>371</v>
      </c>
      <c r="I2472" s="125" t="s">
        <v>371</v>
      </c>
    </row>
    <row r="2473" spans="1:9" x14ac:dyDescent="0.25">
      <c r="A2473" s="125" t="s">
        <v>1131</v>
      </c>
      <c r="B2473" s="125" t="s">
        <v>5323</v>
      </c>
      <c r="C2473" s="125">
        <v>211</v>
      </c>
      <c r="D2473" s="125" t="s">
        <v>5324</v>
      </c>
      <c r="E2473" s="125" t="s">
        <v>5303</v>
      </c>
      <c r="F2473" s="125" t="s">
        <v>5304</v>
      </c>
      <c r="G2473" s="125" t="s">
        <v>5297</v>
      </c>
      <c r="H2473" s="125" t="s">
        <v>371</v>
      </c>
      <c r="I2473" s="125" t="s">
        <v>371</v>
      </c>
    </row>
    <row r="2474" spans="1:9" x14ac:dyDescent="0.25">
      <c r="A2474" s="125" t="s">
        <v>1082</v>
      </c>
      <c r="B2474" s="125" t="s">
        <v>5323</v>
      </c>
      <c r="C2474" s="125">
        <v>211</v>
      </c>
      <c r="D2474" s="125" t="s">
        <v>5324</v>
      </c>
      <c r="E2474" s="125" t="s">
        <v>5303</v>
      </c>
      <c r="F2474" s="125" t="s">
        <v>5304</v>
      </c>
      <c r="G2474" s="125" t="s">
        <v>5297</v>
      </c>
      <c r="H2474" s="125" t="s">
        <v>1092</v>
      </c>
      <c r="I2474" s="125" t="s">
        <v>1092</v>
      </c>
    </row>
    <row r="2475" spans="1:9" x14ac:dyDescent="0.25">
      <c r="A2475" s="125" t="s">
        <v>2005</v>
      </c>
      <c r="B2475" s="125" t="s">
        <v>5323</v>
      </c>
      <c r="C2475" s="125">
        <v>211</v>
      </c>
      <c r="D2475" s="125" t="s">
        <v>5324</v>
      </c>
      <c r="E2475" s="125" t="s">
        <v>5303</v>
      </c>
      <c r="F2475" s="125" t="s">
        <v>5304</v>
      </c>
      <c r="G2475" s="125" t="s">
        <v>5297</v>
      </c>
      <c r="H2475" s="125" t="s">
        <v>1092</v>
      </c>
      <c r="I2475" s="125" t="s">
        <v>1092</v>
      </c>
    </row>
    <row r="2476" spans="1:9" x14ac:dyDescent="0.25">
      <c r="A2476" s="125" t="s">
        <v>3351</v>
      </c>
      <c r="B2476" s="125" t="s">
        <v>5323</v>
      </c>
      <c r="C2476" s="125">
        <v>211</v>
      </c>
      <c r="D2476" s="125" t="s">
        <v>5324</v>
      </c>
      <c r="E2476" s="125" t="s">
        <v>5303</v>
      </c>
      <c r="F2476" s="125" t="s">
        <v>5304</v>
      </c>
      <c r="G2476" s="125" t="s">
        <v>5297</v>
      </c>
      <c r="H2476" s="125" t="s">
        <v>371</v>
      </c>
      <c r="I2476" s="125" t="s">
        <v>371</v>
      </c>
    </row>
    <row r="2477" spans="1:9" x14ac:dyDescent="0.25">
      <c r="A2477" s="125" t="s">
        <v>2534</v>
      </c>
      <c r="B2477" s="125" t="s">
        <v>5323</v>
      </c>
      <c r="C2477" s="125">
        <v>211</v>
      </c>
      <c r="D2477" s="125" t="s">
        <v>5324</v>
      </c>
      <c r="E2477" s="125" t="s">
        <v>5303</v>
      </c>
      <c r="F2477" s="125" t="s">
        <v>5304</v>
      </c>
      <c r="G2477" s="125" t="s">
        <v>5297</v>
      </c>
      <c r="H2477" s="125" t="s">
        <v>371</v>
      </c>
      <c r="I2477" s="125" t="s">
        <v>371</v>
      </c>
    </row>
    <row r="2478" spans="1:9" x14ac:dyDescent="0.25">
      <c r="A2478" s="125" t="s">
        <v>2380</v>
      </c>
      <c r="B2478" s="125" t="s">
        <v>5323</v>
      </c>
      <c r="C2478" s="125">
        <v>211</v>
      </c>
      <c r="D2478" s="125" t="s">
        <v>5324</v>
      </c>
      <c r="E2478" s="125" t="s">
        <v>5303</v>
      </c>
      <c r="F2478" s="125" t="s">
        <v>5304</v>
      </c>
      <c r="G2478" s="125" t="s">
        <v>5297</v>
      </c>
      <c r="H2478" s="125" t="s">
        <v>371</v>
      </c>
      <c r="I2478" s="125" t="s">
        <v>371</v>
      </c>
    </row>
    <row r="2479" spans="1:9" x14ac:dyDescent="0.25">
      <c r="A2479" s="125" t="s">
        <v>6142</v>
      </c>
      <c r="B2479" s="125" t="s">
        <v>5323</v>
      </c>
      <c r="C2479" s="125">
        <v>211</v>
      </c>
      <c r="D2479" s="125" t="s">
        <v>5324</v>
      </c>
      <c r="E2479" s="125" t="s">
        <v>5303</v>
      </c>
      <c r="F2479" s="125" t="s">
        <v>5304</v>
      </c>
      <c r="G2479" s="125" t="s">
        <v>5297</v>
      </c>
      <c r="H2479" s="125" t="s">
        <v>371</v>
      </c>
      <c r="I2479" s="125" t="s">
        <v>371</v>
      </c>
    </row>
    <row r="2480" spans="1:9" x14ac:dyDescent="0.25">
      <c r="A2480" s="125" t="s">
        <v>1380</v>
      </c>
      <c r="B2480" s="125" t="s">
        <v>5323</v>
      </c>
      <c r="C2480" s="125">
        <v>211</v>
      </c>
      <c r="D2480" s="125" t="s">
        <v>5324</v>
      </c>
      <c r="E2480" s="125" t="s">
        <v>5303</v>
      </c>
      <c r="F2480" s="125" t="s">
        <v>5304</v>
      </c>
      <c r="G2480" s="125" t="s">
        <v>5297</v>
      </c>
      <c r="H2480" s="125" t="s">
        <v>3501</v>
      </c>
      <c r="I2480" s="125" t="s">
        <v>3501</v>
      </c>
    </row>
    <row r="2481" spans="1:9" x14ac:dyDescent="0.25">
      <c r="A2481" s="125" t="s">
        <v>2227</v>
      </c>
      <c r="B2481" s="125" t="s">
        <v>5323</v>
      </c>
      <c r="C2481" s="125">
        <v>211</v>
      </c>
      <c r="D2481" s="125" t="s">
        <v>5324</v>
      </c>
      <c r="E2481" s="125" t="s">
        <v>5303</v>
      </c>
      <c r="F2481" s="125" t="s">
        <v>5304</v>
      </c>
      <c r="G2481" s="125" t="s">
        <v>5297</v>
      </c>
      <c r="H2481" s="125" t="s">
        <v>3501</v>
      </c>
      <c r="I2481" s="125" t="s">
        <v>3501</v>
      </c>
    </row>
    <row r="2482" spans="1:9" x14ac:dyDescent="0.25">
      <c r="A2482" s="125" t="s">
        <v>2614</v>
      </c>
      <c r="B2482" s="125" t="s">
        <v>5323</v>
      </c>
      <c r="C2482" s="125">
        <v>211</v>
      </c>
      <c r="D2482" s="125" t="s">
        <v>5324</v>
      </c>
      <c r="E2482" s="125" t="s">
        <v>5303</v>
      </c>
      <c r="F2482" s="125" t="s">
        <v>5304</v>
      </c>
      <c r="G2482" s="125" t="s">
        <v>5297</v>
      </c>
      <c r="H2482" s="125" t="s">
        <v>3501</v>
      </c>
      <c r="I2482" s="125" t="s">
        <v>3501</v>
      </c>
    </row>
    <row r="2483" spans="1:9" x14ac:dyDescent="0.25">
      <c r="A2483" s="125" t="s">
        <v>3020</v>
      </c>
      <c r="B2483" s="125" t="s">
        <v>5323</v>
      </c>
      <c r="C2483" s="125">
        <v>211</v>
      </c>
      <c r="D2483" s="125" t="s">
        <v>5324</v>
      </c>
      <c r="E2483" s="125" t="s">
        <v>5303</v>
      </c>
      <c r="F2483" s="125" t="s">
        <v>5304</v>
      </c>
      <c r="G2483" s="125" t="s">
        <v>5297</v>
      </c>
      <c r="H2483" s="125" t="s">
        <v>3501</v>
      </c>
      <c r="I2483" s="125" t="s">
        <v>3501</v>
      </c>
    </row>
    <row r="2484" spans="1:9" x14ac:dyDescent="0.25">
      <c r="A2484" s="125" t="s">
        <v>6143</v>
      </c>
      <c r="B2484" s="125" t="s">
        <v>5323</v>
      </c>
      <c r="C2484" s="125">
        <v>211</v>
      </c>
      <c r="D2484" s="125" t="s">
        <v>5324</v>
      </c>
      <c r="E2484" s="125" t="s">
        <v>5303</v>
      </c>
      <c r="F2484" s="125" t="s">
        <v>5304</v>
      </c>
      <c r="G2484" s="125" t="s">
        <v>5297</v>
      </c>
      <c r="H2484" s="125" t="s">
        <v>3501</v>
      </c>
      <c r="I2484" s="125" t="s">
        <v>3501</v>
      </c>
    </row>
    <row r="2485" spans="1:9" x14ac:dyDescent="0.25">
      <c r="A2485" s="125" t="s">
        <v>1263</v>
      </c>
      <c r="B2485" s="125" t="s">
        <v>5323</v>
      </c>
      <c r="C2485" s="125">
        <v>211</v>
      </c>
      <c r="D2485" s="125" t="s">
        <v>5324</v>
      </c>
      <c r="E2485" s="125" t="s">
        <v>5303</v>
      </c>
      <c r="F2485" s="125" t="s">
        <v>5304</v>
      </c>
      <c r="G2485" s="125" t="s">
        <v>5297</v>
      </c>
      <c r="H2485" s="125" t="s">
        <v>3501</v>
      </c>
      <c r="I2485" s="125" t="s">
        <v>3501</v>
      </c>
    </row>
    <row r="2486" spans="1:9" x14ac:dyDescent="0.25">
      <c r="A2486" s="125" t="s">
        <v>3548</v>
      </c>
      <c r="B2486" s="125" t="s">
        <v>5323</v>
      </c>
      <c r="C2486" s="125">
        <v>211</v>
      </c>
      <c r="D2486" s="125" t="s">
        <v>5324</v>
      </c>
      <c r="E2486" s="125" t="s">
        <v>5303</v>
      </c>
      <c r="F2486" s="125" t="s">
        <v>5304</v>
      </c>
      <c r="G2486" s="125" t="s">
        <v>5297</v>
      </c>
      <c r="H2486" s="125" t="s">
        <v>3501</v>
      </c>
      <c r="I2486" s="125" t="s">
        <v>3501</v>
      </c>
    </row>
    <row r="2487" spans="1:9" x14ac:dyDescent="0.25">
      <c r="A2487" s="125" t="s">
        <v>1680</v>
      </c>
      <c r="B2487" s="125" t="s">
        <v>5336</v>
      </c>
      <c r="C2487" s="125">
        <v>222</v>
      </c>
      <c r="D2487" s="125" t="s">
        <v>5337</v>
      </c>
      <c r="E2487" s="125" t="s">
        <v>5303</v>
      </c>
      <c r="F2487" s="125" t="s">
        <v>5304</v>
      </c>
      <c r="G2487" s="125" t="s">
        <v>5297</v>
      </c>
      <c r="H2487" s="125" t="s">
        <v>6144</v>
      </c>
      <c r="I2487" s="125" t="s">
        <v>3575</v>
      </c>
    </row>
    <row r="2488" spans="1:9" x14ac:dyDescent="0.25">
      <c r="A2488" s="125" t="s">
        <v>6145</v>
      </c>
      <c r="B2488" s="125" t="s">
        <v>5336</v>
      </c>
      <c r="C2488" s="125">
        <v>222</v>
      </c>
      <c r="D2488" s="125" t="s">
        <v>5337</v>
      </c>
      <c r="E2488" s="125" t="s">
        <v>5303</v>
      </c>
      <c r="F2488" s="125" t="s">
        <v>5304</v>
      </c>
      <c r="G2488" s="125" t="s">
        <v>5297</v>
      </c>
      <c r="H2488" s="125" t="s">
        <v>371</v>
      </c>
      <c r="I2488" s="125" t="s">
        <v>371</v>
      </c>
    </row>
    <row r="2489" spans="1:9" x14ac:dyDescent="0.25">
      <c r="A2489" s="125" t="s">
        <v>1996</v>
      </c>
      <c r="B2489" s="125" t="s">
        <v>5336</v>
      </c>
      <c r="C2489" s="125">
        <v>222</v>
      </c>
      <c r="D2489" s="125" t="s">
        <v>5337</v>
      </c>
      <c r="E2489" s="125" t="s">
        <v>5303</v>
      </c>
      <c r="F2489" s="125" t="s">
        <v>5304</v>
      </c>
      <c r="G2489" s="125" t="s">
        <v>5297</v>
      </c>
      <c r="H2489" s="125" t="s">
        <v>371</v>
      </c>
      <c r="I2489" s="125" t="s">
        <v>371</v>
      </c>
    </row>
    <row r="2490" spans="1:9" x14ac:dyDescent="0.25">
      <c r="A2490" s="125" t="s">
        <v>3237</v>
      </c>
      <c r="B2490" s="125" t="s">
        <v>5336</v>
      </c>
      <c r="C2490" s="125">
        <v>222</v>
      </c>
      <c r="D2490" s="125" t="s">
        <v>5337</v>
      </c>
      <c r="E2490" s="125" t="s">
        <v>5303</v>
      </c>
      <c r="F2490" s="125" t="s">
        <v>5304</v>
      </c>
      <c r="G2490" s="125" t="s">
        <v>5297</v>
      </c>
      <c r="H2490" s="125" t="s">
        <v>6144</v>
      </c>
      <c r="I2490" s="125" t="s">
        <v>3575</v>
      </c>
    </row>
    <row r="2491" spans="1:9" x14ac:dyDescent="0.25">
      <c r="A2491" s="125" t="s">
        <v>1251</v>
      </c>
      <c r="B2491" s="125" t="s">
        <v>5336</v>
      </c>
      <c r="C2491" s="125">
        <v>222</v>
      </c>
      <c r="D2491" s="125" t="s">
        <v>5337</v>
      </c>
      <c r="E2491" s="125" t="s">
        <v>5303</v>
      </c>
      <c r="F2491" s="125" t="s">
        <v>5304</v>
      </c>
      <c r="G2491" s="125" t="s">
        <v>5297</v>
      </c>
      <c r="H2491" s="125" t="s">
        <v>371</v>
      </c>
      <c r="I2491" s="125" t="s">
        <v>371</v>
      </c>
    </row>
    <row r="2492" spans="1:9" x14ac:dyDescent="0.25">
      <c r="A2492" s="125" t="s">
        <v>3111</v>
      </c>
      <c r="B2492" s="125" t="s">
        <v>5336</v>
      </c>
      <c r="C2492" s="125">
        <v>222</v>
      </c>
      <c r="D2492" s="125" t="s">
        <v>5337</v>
      </c>
      <c r="E2492" s="125" t="s">
        <v>5303</v>
      </c>
      <c r="F2492" s="125" t="s">
        <v>5304</v>
      </c>
      <c r="G2492" s="125" t="s">
        <v>5297</v>
      </c>
      <c r="H2492" s="125" t="s">
        <v>371</v>
      </c>
      <c r="I2492" s="125" t="s">
        <v>371</v>
      </c>
    </row>
    <row r="2493" spans="1:9" x14ac:dyDescent="0.25">
      <c r="A2493" s="125" t="s">
        <v>3213</v>
      </c>
      <c r="B2493" s="125" t="s">
        <v>5336</v>
      </c>
      <c r="C2493" s="125">
        <v>222</v>
      </c>
      <c r="D2493" s="125" t="s">
        <v>5337</v>
      </c>
      <c r="E2493" s="125" t="s">
        <v>5303</v>
      </c>
      <c r="F2493" s="125" t="s">
        <v>5304</v>
      </c>
      <c r="G2493" s="125" t="s">
        <v>5297</v>
      </c>
      <c r="H2493" s="125" t="s">
        <v>5335</v>
      </c>
      <c r="I2493" s="125" t="s">
        <v>3575</v>
      </c>
    </row>
    <row r="2494" spans="1:9" x14ac:dyDescent="0.25">
      <c r="A2494" s="125" t="s">
        <v>6146</v>
      </c>
      <c r="B2494" s="125" t="s">
        <v>5336</v>
      </c>
      <c r="C2494" s="125">
        <v>222</v>
      </c>
      <c r="D2494" s="125" t="s">
        <v>5337</v>
      </c>
      <c r="E2494" s="125" t="s">
        <v>5303</v>
      </c>
      <c r="F2494" s="125" t="s">
        <v>5304</v>
      </c>
      <c r="G2494" s="125" t="s">
        <v>5297</v>
      </c>
      <c r="H2494" s="125" t="s">
        <v>371</v>
      </c>
      <c r="I2494" s="125" t="s">
        <v>371</v>
      </c>
    </row>
    <row r="2495" spans="1:9" x14ac:dyDescent="0.25">
      <c r="A2495" s="125" t="s">
        <v>3313</v>
      </c>
      <c r="B2495" s="125" t="s">
        <v>5336</v>
      </c>
      <c r="C2495" s="125">
        <v>222</v>
      </c>
      <c r="D2495" s="125" t="s">
        <v>5337</v>
      </c>
      <c r="E2495" s="125" t="s">
        <v>5303</v>
      </c>
      <c r="F2495" s="125" t="s">
        <v>5304</v>
      </c>
      <c r="G2495" s="125" t="s">
        <v>5297</v>
      </c>
      <c r="H2495" s="125" t="s">
        <v>371</v>
      </c>
      <c r="I2495" s="125" t="s">
        <v>371</v>
      </c>
    </row>
    <row r="2496" spans="1:9" x14ac:dyDescent="0.25">
      <c r="A2496" s="125" t="s">
        <v>3108</v>
      </c>
      <c r="B2496" s="125" t="s">
        <v>5336</v>
      </c>
      <c r="C2496" s="125">
        <v>222</v>
      </c>
      <c r="D2496" s="125" t="s">
        <v>5337</v>
      </c>
      <c r="E2496" s="125" t="s">
        <v>5303</v>
      </c>
      <c r="F2496" s="125" t="s">
        <v>5304</v>
      </c>
      <c r="G2496" s="125" t="s">
        <v>5297</v>
      </c>
      <c r="H2496" s="125" t="s">
        <v>371</v>
      </c>
      <c r="I2496" s="125" t="s">
        <v>371</v>
      </c>
    </row>
    <row r="2497" spans="1:9" x14ac:dyDescent="0.25">
      <c r="A2497" s="125" t="s">
        <v>3194</v>
      </c>
      <c r="B2497" s="125" t="s">
        <v>5336</v>
      </c>
      <c r="C2497" s="125">
        <v>222</v>
      </c>
      <c r="D2497" s="125" t="s">
        <v>5337</v>
      </c>
      <c r="E2497" s="125" t="s">
        <v>5303</v>
      </c>
      <c r="F2497" s="125" t="s">
        <v>5304</v>
      </c>
      <c r="G2497" s="125" t="s">
        <v>5297</v>
      </c>
      <c r="H2497" s="125" t="s">
        <v>371</v>
      </c>
      <c r="I2497" s="125" t="s">
        <v>371</v>
      </c>
    </row>
    <row r="2498" spans="1:9" x14ac:dyDescent="0.25">
      <c r="A2498" s="125" t="s">
        <v>2355</v>
      </c>
      <c r="B2498" s="125" t="s">
        <v>5336</v>
      </c>
      <c r="C2498" s="125">
        <v>222</v>
      </c>
      <c r="D2498" s="125" t="s">
        <v>5337</v>
      </c>
      <c r="E2498" s="125" t="s">
        <v>5303</v>
      </c>
      <c r="F2498" s="125" t="s">
        <v>5304</v>
      </c>
      <c r="G2498" s="125" t="s">
        <v>5297</v>
      </c>
      <c r="H2498" s="125" t="s">
        <v>6144</v>
      </c>
      <c r="I2498" s="125" t="s">
        <v>3575</v>
      </c>
    </row>
    <row r="2499" spans="1:9" x14ac:dyDescent="0.25">
      <c r="A2499" s="125" t="s">
        <v>2357</v>
      </c>
      <c r="B2499" s="125" t="s">
        <v>5336</v>
      </c>
      <c r="C2499" s="125">
        <v>222</v>
      </c>
      <c r="D2499" s="125" t="s">
        <v>5337</v>
      </c>
      <c r="E2499" s="125" t="s">
        <v>5303</v>
      </c>
      <c r="F2499" s="125" t="s">
        <v>5304</v>
      </c>
      <c r="G2499" s="125" t="s">
        <v>5297</v>
      </c>
      <c r="H2499" s="125" t="s">
        <v>371</v>
      </c>
      <c r="I2499" s="125" t="s">
        <v>371</v>
      </c>
    </row>
    <row r="2500" spans="1:9" x14ac:dyDescent="0.25">
      <c r="A2500" s="125" t="s">
        <v>3149</v>
      </c>
      <c r="B2500" s="125" t="s">
        <v>5336</v>
      </c>
      <c r="C2500" s="125">
        <v>222</v>
      </c>
      <c r="D2500" s="125" t="s">
        <v>5337</v>
      </c>
      <c r="E2500" s="125" t="s">
        <v>5303</v>
      </c>
      <c r="F2500" s="125" t="s">
        <v>5304</v>
      </c>
      <c r="G2500" s="125" t="s">
        <v>5297</v>
      </c>
      <c r="H2500" s="125" t="s">
        <v>6144</v>
      </c>
      <c r="I2500" s="125" t="s">
        <v>3575</v>
      </c>
    </row>
    <row r="2501" spans="1:9" x14ac:dyDescent="0.25">
      <c r="A2501" s="125" t="s">
        <v>3384</v>
      </c>
      <c r="B2501" s="125" t="s">
        <v>5336</v>
      </c>
      <c r="C2501" s="125">
        <v>222</v>
      </c>
      <c r="D2501" s="125" t="s">
        <v>5337</v>
      </c>
      <c r="E2501" s="125" t="s">
        <v>5303</v>
      </c>
      <c r="F2501" s="125" t="s">
        <v>5304</v>
      </c>
      <c r="G2501" s="125" t="s">
        <v>5297</v>
      </c>
      <c r="H2501" s="125" t="s">
        <v>5636</v>
      </c>
      <c r="I2501" s="125" t="s">
        <v>5633</v>
      </c>
    </row>
    <row r="2502" spans="1:9" x14ac:dyDescent="0.25">
      <c r="A2502" s="125" t="s">
        <v>3270</v>
      </c>
      <c r="B2502" s="125" t="s">
        <v>5336</v>
      </c>
      <c r="C2502" s="125">
        <v>222</v>
      </c>
      <c r="D2502" s="125" t="s">
        <v>5337</v>
      </c>
      <c r="E2502" s="125" t="s">
        <v>5303</v>
      </c>
      <c r="F2502" s="125" t="s">
        <v>5304</v>
      </c>
      <c r="G2502" s="125" t="s">
        <v>5297</v>
      </c>
      <c r="H2502" s="125" t="s">
        <v>6144</v>
      </c>
      <c r="I2502" s="125" t="s">
        <v>3575</v>
      </c>
    </row>
    <row r="2503" spans="1:9" x14ac:dyDescent="0.25">
      <c r="A2503" s="125" t="s">
        <v>3336</v>
      </c>
      <c r="B2503" s="125" t="s">
        <v>5336</v>
      </c>
      <c r="C2503" s="125">
        <v>222</v>
      </c>
      <c r="D2503" s="125" t="s">
        <v>5337</v>
      </c>
      <c r="E2503" s="125" t="s">
        <v>5303</v>
      </c>
      <c r="F2503" s="125" t="s">
        <v>5304</v>
      </c>
      <c r="G2503" s="125" t="s">
        <v>5297</v>
      </c>
      <c r="H2503" s="125" t="s">
        <v>6144</v>
      </c>
      <c r="I2503" s="125" t="s">
        <v>3575</v>
      </c>
    </row>
    <row r="2504" spans="1:9" x14ac:dyDescent="0.25">
      <c r="A2504" s="125" t="s">
        <v>2885</v>
      </c>
      <c r="B2504" s="125" t="s">
        <v>5336</v>
      </c>
      <c r="C2504" s="125">
        <v>222</v>
      </c>
      <c r="D2504" s="125" t="s">
        <v>5337</v>
      </c>
      <c r="E2504" s="125" t="s">
        <v>5303</v>
      </c>
      <c r="F2504" s="125" t="s">
        <v>5304</v>
      </c>
      <c r="G2504" s="125" t="s">
        <v>5297</v>
      </c>
      <c r="H2504" s="125" t="s">
        <v>6144</v>
      </c>
      <c r="I2504" s="125" t="s">
        <v>3575</v>
      </c>
    </row>
    <row r="2505" spans="1:9" x14ac:dyDescent="0.25">
      <c r="A2505" s="125" t="s">
        <v>1224</v>
      </c>
      <c r="B2505" s="125" t="s">
        <v>5336</v>
      </c>
      <c r="C2505" s="125">
        <v>222</v>
      </c>
      <c r="D2505" s="125" t="s">
        <v>5337</v>
      </c>
      <c r="E2505" s="125" t="s">
        <v>5303</v>
      </c>
      <c r="F2505" s="125" t="s">
        <v>5304</v>
      </c>
      <c r="G2505" s="125" t="s">
        <v>5297</v>
      </c>
      <c r="H2505" s="125" t="s">
        <v>6144</v>
      </c>
      <c r="I2505" s="125" t="s">
        <v>3575</v>
      </c>
    </row>
    <row r="2506" spans="1:9" x14ac:dyDescent="0.25">
      <c r="A2506" s="125" t="s">
        <v>2967</v>
      </c>
      <c r="B2506" s="125" t="s">
        <v>5336</v>
      </c>
      <c r="C2506" s="125">
        <v>222</v>
      </c>
      <c r="D2506" s="125" t="s">
        <v>5337</v>
      </c>
      <c r="E2506" s="125" t="s">
        <v>5303</v>
      </c>
      <c r="F2506" s="125" t="s">
        <v>5304</v>
      </c>
      <c r="G2506" s="125" t="s">
        <v>5297</v>
      </c>
      <c r="H2506" s="125" t="s">
        <v>371</v>
      </c>
      <c r="I2506" s="125" t="s">
        <v>371</v>
      </c>
    </row>
    <row r="2507" spans="1:9" x14ac:dyDescent="0.25">
      <c r="A2507" s="125" t="s">
        <v>2185</v>
      </c>
      <c r="B2507" s="125" t="s">
        <v>5336</v>
      </c>
      <c r="C2507" s="125">
        <v>222</v>
      </c>
      <c r="D2507" s="125" t="s">
        <v>5337</v>
      </c>
      <c r="E2507" s="125" t="s">
        <v>5303</v>
      </c>
      <c r="F2507" s="125" t="s">
        <v>5304</v>
      </c>
      <c r="G2507" s="125" t="s">
        <v>5297</v>
      </c>
      <c r="H2507" s="125" t="s">
        <v>6147</v>
      </c>
      <c r="I2507" s="125" t="s">
        <v>3575</v>
      </c>
    </row>
    <row r="2508" spans="1:9" x14ac:dyDescent="0.25">
      <c r="A2508" s="125" t="s">
        <v>3123</v>
      </c>
      <c r="B2508" s="125" t="s">
        <v>5336</v>
      </c>
      <c r="C2508" s="125">
        <v>222</v>
      </c>
      <c r="D2508" s="125" t="s">
        <v>5337</v>
      </c>
      <c r="E2508" s="125" t="s">
        <v>5303</v>
      </c>
      <c r="F2508" s="125" t="s">
        <v>5304</v>
      </c>
      <c r="G2508" s="125" t="s">
        <v>5297</v>
      </c>
      <c r="H2508" s="125" t="s">
        <v>6147</v>
      </c>
      <c r="I2508" s="125" t="s">
        <v>3575</v>
      </c>
    </row>
    <row r="2509" spans="1:9" x14ac:dyDescent="0.25">
      <c r="A2509" s="125" t="s">
        <v>2169</v>
      </c>
      <c r="B2509" s="125" t="s">
        <v>5336</v>
      </c>
      <c r="C2509" s="125">
        <v>222</v>
      </c>
      <c r="D2509" s="125" t="s">
        <v>5337</v>
      </c>
      <c r="E2509" s="125" t="s">
        <v>5303</v>
      </c>
      <c r="F2509" s="125" t="s">
        <v>5304</v>
      </c>
      <c r="G2509" s="125" t="s">
        <v>5297</v>
      </c>
      <c r="H2509" s="125" t="s">
        <v>6147</v>
      </c>
      <c r="I2509" s="125" t="s">
        <v>3575</v>
      </c>
    </row>
    <row r="2510" spans="1:9" x14ac:dyDescent="0.25">
      <c r="A2510" s="125" t="s">
        <v>1893</v>
      </c>
      <c r="B2510" s="125" t="s">
        <v>5336</v>
      </c>
      <c r="C2510" s="125">
        <v>222</v>
      </c>
      <c r="D2510" s="125" t="s">
        <v>5337</v>
      </c>
      <c r="E2510" s="125" t="s">
        <v>5303</v>
      </c>
      <c r="F2510" s="125" t="s">
        <v>5304</v>
      </c>
      <c r="G2510" s="125" t="s">
        <v>5297</v>
      </c>
      <c r="H2510" s="125" t="s">
        <v>6147</v>
      </c>
      <c r="I2510" s="125" t="s">
        <v>3575</v>
      </c>
    </row>
    <row r="2511" spans="1:9" x14ac:dyDescent="0.25">
      <c r="A2511" s="125" t="s">
        <v>1947</v>
      </c>
      <c r="B2511" s="125" t="s">
        <v>5616</v>
      </c>
      <c r="C2511" s="125">
        <v>744</v>
      </c>
      <c r="D2511" s="125" t="s">
        <v>5617</v>
      </c>
      <c r="E2511" s="125" t="s">
        <v>5465</v>
      </c>
      <c r="F2511" s="125" t="s">
        <v>5466</v>
      </c>
      <c r="G2511" s="125" t="s">
        <v>5270</v>
      </c>
      <c r="H2511" s="125" t="s">
        <v>5625</v>
      </c>
      <c r="I2511" s="125" t="s">
        <v>5625</v>
      </c>
    </row>
    <row r="2512" spans="1:9" x14ac:dyDescent="0.25">
      <c r="A2512" s="125" t="s">
        <v>6148</v>
      </c>
      <c r="B2512" s="125" t="s">
        <v>5616</v>
      </c>
      <c r="C2512" s="125">
        <v>744</v>
      </c>
      <c r="D2512" s="125" t="s">
        <v>5617</v>
      </c>
      <c r="E2512" s="125" t="s">
        <v>5465</v>
      </c>
      <c r="F2512" s="125" t="s">
        <v>5466</v>
      </c>
      <c r="G2512" s="125" t="s">
        <v>5270</v>
      </c>
      <c r="H2512" s="125" t="s">
        <v>5625</v>
      </c>
      <c r="I2512" s="125" t="s">
        <v>5625</v>
      </c>
    </row>
    <row r="2513" spans="1:9" x14ac:dyDescent="0.25">
      <c r="A2513" s="125" t="s">
        <v>6149</v>
      </c>
      <c r="B2513" s="125" t="s">
        <v>5616</v>
      </c>
      <c r="C2513" s="125">
        <v>744</v>
      </c>
      <c r="D2513" s="125" t="s">
        <v>5617</v>
      </c>
      <c r="E2513" s="125" t="s">
        <v>5465</v>
      </c>
      <c r="F2513" s="125" t="s">
        <v>5466</v>
      </c>
      <c r="G2513" s="125" t="s">
        <v>5270</v>
      </c>
      <c r="H2513" s="125" t="s">
        <v>5625</v>
      </c>
      <c r="I2513" s="125" t="s">
        <v>5625</v>
      </c>
    </row>
    <row r="2514" spans="1:9" x14ac:dyDescent="0.25">
      <c r="A2514" s="125" t="s">
        <v>2707</v>
      </c>
      <c r="B2514" s="125" t="s">
        <v>5616</v>
      </c>
      <c r="C2514" s="125">
        <v>744</v>
      </c>
      <c r="D2514" s="125" t="s">
        <v>5617</v>
      </c>
      <c r="E2514" s="125" t="s">
        <v>5465</v>
      </c>
      <c r="F2514" s="125" t="s">
        <v>5466</v>
      </c>
      <c r="G2514" s="125" t="s">
        <v>5270</v>
      </c>
      <c r="H2514" s="125" t="s">
        <v>5625</v>
      </c>
      <c r="I2514" s="125" t="s">
        <v>5625</v>
      </c>
    </row>
    <row r="2515" spans="1:9" x14ac:dyDescent="0.25">
      <c r="A2515" s="125" t="s">
        <v>6150</v>
      </c>
      <c r="B2515" s="125" t="s">
        <v>5616</v>
      </c>
      <c r="C2515" s="125">
        <v>744</v>
      </c>
      <c r="D2515" s="125" t="s">
        <v>5617</v>
      </c>
      <c r="E2515" s="125" t="s">
        <v>5465</v>
      </c>
      <c r="F2515" s="125" t="s">
        <v>5466</v>
      </c>
      <c r="G2515" s="125" t="s">
        <v>5270</v>
      </c>
      <c r="H2515" s="125" t="s">
        <v>5625</v>
      </c>
      <c r="I2515" s="125" t="s">
        <v>5625</v>
      </c>
    </row>
    <row r="2516" spans="1:9" x14ac:dyDescent="0.25">
      <c r="A2516" s="125" t="s">
        <v>6151</v>
      </c>
      <c r="B2516" s="125" t="s">
        <v>5616</v>
      </c>
      <c r="C2516" s="125">
        <v>744</v>
      </c>
      <c r="D2516" s="125" t="s">
        <v>5617</v>
      </c>
      <c r="E2516" s="125" t="s">
        <v>5465</v>
      </c>
      <c r="F2516" s="125" t="s">
        <v>5466</v>
      </c>
      <c r="G2516" s="125" t="s">
        <v>5270</v>
      </c>
      <c r="H2516" s="125" t="s">
        <v>5625</v>
      </c>
      <c r="I2516" s="125" t="s">
        <v>5625</v>
      </c>
    </row>
    <row r="2517" spans="1:9" x14ac:dyDescent="0.25">
      <c r="A2517" s="125" t="s">
        <v>1254</v>
      </c>
      <c r="B2517" s="125" t="s">
        <v>5616</v>
      </c>
      <c r="C2517" s="125">
        <v>744</v>
      </c>
      <c r="D2517" s="125" t="s">
        <v>5617</v>
      </c>
      <c r="E2517" s="125" t="s">
        <v>5465</v>
      </c>
      <c r="F2517" s="125" t="s">
        <v>5466</v>
      </c>
      <c r="G2517" s="125" t="s">
        <v>5270</v>
      </c>
      <c r="H2517" s="125" t="s">
        <v>5869</v>
      </c>
      <c r="I2517" s="125" t="s">
        <v>5869</v>
      </c>
    </row>
    <row r="2518" spans="1:9" x14ac:dyDescent="0.25">
      <c r="A2518" s="125" t="s">
        <v>6152</v>
      </c>
      <c r="B2518" s="125" t="s">
        <v>5616</v>
      </c>
      <c r="C2518" s="125">
        <v>744</v>
      </c>
      <c r="D2518" s="125" t="s">
        <v>5617</v>
      </c>
      <c r="E2518" s="125" t="s">
        <v>5465</v>
      </c>
      <c r="F2518" s="125" t="s">
        <v>5466</v>
      </c>
      <c r="G2518" s="125" t="s">
        <v>5270</v>
      </c>
      <c r="H2518" s="125" t="s">
        <v>5625</v>
      </c>
      <c r="I2518" s="125" t="s">
        <v>5625</v>
      </c>
    </row>
    <row r="2519" spans="1:9" x14ac:dyDescent="0.25">
      <c r="A2519" s="125" t="s">
        <v>6153</v>
      </c>
      <c r="B2519" s="125" t="s">
        <v>5616</v>
      </c>
      <c r="C2519" s="125">
        <v>744</v>
      </c>
      <c r="D2519" s="125" t="s">
        <v>5617</v>
      </c>
      <c r="E2519" s="125" t="s">
        <v>5465</v>
      </c>
      <c r="F2519" s="125" t="s">
        <v>5466</v>
      </c>
      <c r="G2519" s="125" t="s">
        <v>5270</v>
      </c>
      <c r="H2519" s="125" t="s">
        <v>5625</v>
      </c>
      <c r="I2519" s="125" t="s">
        <v>5625</v>
      </c>
    </row>
    <row r="2520" spans="1:9" x14ac:dyDescent="0.25">
      <c r="A2520" s="125" t="s">
        <v>6154</v>
      </c>
      <c r="B2520" s="125" t="s">
        <v>5616</v>
      </c>
      <c r="C2520" s="125">
        <v>744</v>
      </c>
      <c r="D2520" s="125" t="s">
        <v>5617</v>
      </c>
      <c r="E2520" s="125" t="s">
        <v>5465</v>
      </c>
      <c r="F2520" s="125" t="s">
        <v>5466</v>
      </c>
      <c r="G2520" s="125" t="s">
        <v>5270</v>
      </c>
      <c r="H2520" s="125" t="s">
        <v>5625</v>
      </c>
      <c r="I2520" s="125" t="s">
        <v>5625</v>
      </c>
    </row>
    <row r="2521" spans="1:9" x14ac:dyDescent="0.25">
      <c r="A2521" s="125" t="s">
        <v>6155</v>
      </c>
      <c r="B2521" s="125" t="s">
        <v>5616</v>
      </c>
      <c r="C2521" s="125">
        <v>744</v>
      </c>
      <c r="D2521" s="125" t="s">
        <v>5617</v>
      </c>
      <c r="E2521" s="125" t="s">
        <v>5465</v>
      </c>
      <c r="F2521" s="125" t="s">
        <v>5466</v>
      </c>
      <c r="G2521" s="125" t="s">
        <v>5270</v>
      </c>
      <c r="H2521" s="125" t="s">
        <v>5625</v>
      </c>
      <c r="I2521" s="125" t="s">
        <v>5625</v>
      </c>
    </row>
    <row r="2522" spans="1:9" x14ac:dyDescent="0.25">
      <c r="A2522" s="125" t="s">
        <v>3475</v>
      </c>
      <c r="B2522" s="125" t="s">
        <v>5616</v>
      </c>
      <c r="C2522" s="125">
        <v>744</v>
      </c>
      <c r="D2522" s="125" t="s">
        <v>5617</v>
      </c>
      <c r="E2522" s="125" t="s">
        <v>5465</v>
      </c>
      <c r="F2522" s="125" t="s">
        <v>5466</v>
      </c>
      <c r="G2522" s="125" t="s">
        <v>5270</v>
      </c>
      <c r="H2522" s="125" t="s">
        <v>5625</v>
      </c>
      <c r="I2522" s="125" t="s">
        <v>5625</v>
      </c>
    </row>
    <row r="2523" spans="1:9" x14ac:dyDescent="0.25">
      <c r="A2523" s="125" t="s">
        <v>6156</v>
      </c>
      <c r="B2523" s="125" t="s">
        <v>5463</v>
      </c>
      <c r="C2523" s="125">
        <v>709</v>
      </c>
      <c r="D2523" s="125" t="s">
        <v>5464</v>
      </c>
      <c r="E2523" s="125" t="s">
        <v>5465</v>
      </c>
      <c r="F2523" s="125" t="s">
        <v>5466</v>
      </c>
      <c r="G2523" s="125" t="s">
        <v>5270</v>
      </c>
      <c r="H2523" s="125" t="s">
        <v>5625</v>
      </c>
      <c r="I2523" s="125" t="s">
        <v>5625</v>
      </c>
    </row>
    <row r="2524" spans="1:9" x14ac:dyDescent="0.25">
      <c r="A2524" s="125" t="s">
        <v>6157</v>
      </c>
      <c r="B2524" s="125" t="s">
        <v>5616</v>
      </c>
      <c r="C2524" s="125">
        <v>744</v>
      </c>
      <c r="D2524" s="125" t="s">
        <v>5617</v>
      </c>
      <c r="E2524" s="125" t="s">
        <v>5465</v>
      </c>
      <c r="F2524" s="125" t="s">
        <v>5466</v>
      </c>
      <c r="G2524" s="125" t="s">
        <v>5270</v>
      </c>
      <c r="H2524" s="125" t="s">
        <v>5625</v>
      </c>
      <c r="I2524" s="125" t="s">
        <v>5625</v>
      </c>
    </row>
    <row r="2525" spans="1:9" x14ac:dyDescent="0.25">
      <c r="A2525" s="125" t="s">
        <v>6158</v>
      </c>
      <c r="B2525" s="125" t="s">
        <v>5463</v>
      </c>
      <c r="C2525" s="125">
        <v>709</v>
      </c>
      <c r="D2525" s="125" t="s">
        <v>5464</v>
      </c>
      <c r="E2525" s="125" t="s">
        <v>5465</v>
      </c>
      <c r="F2525" s="125" t="s">
        <v>5466</v>
      </c>
      <c r="G2525" s="125" t="s">
        <v>5270</v>
      </c>
      <c r="H2525" s="125" t="s">
        <v>5625</v>
      </c>
      <c r="I2525" s="125" t="s">
        <v>5625</v>
      </c>
    </row>
    <row r="2526" spans="1:9" x14ac:dyDescent="0.25">
      <c r="A2526" s="125" t="s">
        <v>2797</v>
      </c>
      <c r="B2526" s="125" t="s">
        <v>5323</v>
      </c>
      <c r="C2526" s="125">
        <v>211</v>
      </c>
      <c r="D2526" s="125" t="s">
        <v>5324</v>
      </c>
      <c r="E2526" s="125" t="s">
        <v>5303</v>
      </c>
      <c r="F2526" s="125" t="s">
        <v>5304</v>
      </c>
      <c r="G2526" s="125" t="s">
        <v>5297</v>
      </c>
      <c r="H2526" s="125" t="s">
        <v>6159</v>
      </c>
      <c r="I2526" s="125" t="s">
        <v>3501</v>
      </c>
    </row>
    <row r="2527" spans="1:9" x14ac:dyDescent="0.25">
      <c r="A2527" s="125" t="s">
        <v>2324</v>
      </c>
      <c r="B2527" s="125" t="s">
        <v>5323</v>
      </c>
      <c r="C2527" s="125">
        <v>211</v>
      </c>
      <c r="D2527" s="125" t="s">
        <v>5324</v>
      </c>
      <c r="E2527" s="125" t="s">
        <v>5303</v>
      </c>
      <c r="F2527" s="125" t="s">
        <v>5304</v>
      </c>
      <c r="G2527" s="125" t="s">
        <v>5297</v>
      </c>
      <c r="H2527" s="125" t="s">
        <v>6159</v>
      </c>
      <c r="I2527" s="125" t="s">
        <v>3501</v>
      </c>
    </row>
    <row r="2528" spans="1:9" x14ac:dyDescent="0.25">
      <c r="A2528" s="125" t="s">
        <v>2411</v>
      </c>
      <c r="B2528" s="125" t="s">
        <v>5323</v>
      </c>
      <c r="C2528" s="125">
        <v>211</v>
      </c>
      <c r="D2528" s="125" t="s">
        <v>5324</v>
      </c>
      <c r="E2528" s="125" t="s">
        <v>5303</v>
      </c>
      <c r="F2528" s="125" t="s">
        <v>5304</v>
      </c>
      <c r="G2528" s="125" t="s">
        <v>5297</v>
      </c>
      <c r="H2528" s="125" t="s">
        <v>3501</v>
      </c>
      <c r="I2528" s="125" t="s">
        <v>3501</v>
      </c>
    </row>
    <row r="2529" spans="1:9" x14ac:dyDescent="0.25">
      <c r="A2529" s="125" t="s">
        <v>2676</v>
      </c>
      <c r="B2529" s="125" t="s">
        <v>5323</v>
      </c>
      <c r="C2529" s="125">
        <v>211</v>
      </c>
      <c r="D2529" s="125" t="s">
        <v>5324</v>
      </c>
      <c r="E2529" s="125" t="s">
        <v>5303</v>
      </c>
      <c r="F2529" s="125" t="s">
        <v>5304</v>
      </c>
      <c r="G2529" s="125" t="s">
        <v>5297</v>
      </c>
      <c r="H2529" s="125" t="s">
        <v>3501</v>
      </c>
      <c r="I2529" s="125" t="s">
        <v>3501</v>
      </c>
    </row>
    <row r="2530" spans="1:9" x14ac:dyDescent="0.25">
      <c r="A2530" s="125" t="s">
        <v>3470</v>
      </c>
      <c r="B2530" s="125" t="s">
        <v>5323</v>
      </c>
      <c r="C2530" s="125">
        <v>211</v>
      </c>
      <c r="D2530" s="125" t="s">
        <v>5324</v>
      </c>
      <c r="E2530" s="125" t="s">
        <v>5303</v>
      </c>
      <c r="F2530" s="125" t="s">
        <v>5304</v>
      </c>
      <c r="G2530" s="125" t="s">
        <v>5297</v>
      </c>
      <c r="H2530" s="125" t="s">
        <v>371</v>
      </c>
      <c r="I2530" s="125" t="s">
        <v>371</v>
      </c>
    </row>
    <row r="2531" spans="1:9" x14ac:dyDescent="0.25">
      <c r="A2531" s="125" t="s">
        <v>1150</v>
      </c>
      <c r="B2531" s="125" t="s">
        <v>5323</v>
      </c>
      <c r="C2531" s="125">
        <v>211</v>
      </c>
      <c r="D2531" s="125" t="s">
        <v>5324</v>
      </c>
      <c r="E2531" s="125" t="s">
        <v>5303</v>
      </c>
      <c r="F2531" s="125" t="s">
        <v>5304</v>
      </c>
      <c r="G2531" s="125" t="s">
        <v>5297</v>
      </c>
      <c r="H2531" s="125" t="s">
        <v>6159</v>
      </c>
      <c r="I2531" s="125" t="s">
        <v>3501</v>
      </c>
    </row>
    <row r="2532" spans="1:9" x14ac:dyDescent="0.25">
      <c r="A2532" s="125" t="s">
        <v>3041</v>
      </c>
      <c r="B2532" s="125" t="s">
        <v>5323</v>
      </c>
      <c r="C2532" s="125">
        <v>211</v>
      </c>
      <c r="D2532" s="125" t="s">
        <v>5324</v>
      </c>
      <c r="E2532" s="125" t="s">
        <v>5303</v>
      </c>
      <c r="F2532" s="125" t="s">
        <v>5304</v>
      </c>
      <c r="G2532" s="125" t="s">
        <v>5297</v>
      </c>
      <c r="H2532" s="125" t="s">
        <v>6159</v>
      </c>
      <c r="I2532" s="125" t="s">
        <v>3501</v>
      </c>
    </row>
    <row r="2533" spans="1:9" x14ac:dyDescent="0.25">
      <c r="A2533" s="125" t="s">
        <v>3044</v>
      </c>
      <c r="B2533" s="125" t="s">
        <v>5323</v>
      </c>
      <c r="C2533" s="125">
        <v>211</v>
      </c>
      <c r="D2533" s="125" t="s">
        <v>5324</v>
      </c>
      <c r="E2533" s="125" t="s">
        <v>5303</v>
      </c>
      <c r="F2533" s="125" t="s">
        <v>5304</v>
      </c>
      <c r="G2533" s="125" t="s">
        <v>5297</v>
      </c>
      <c r="H2533" s="125" t="s">
        <v>371</v>
      </c>
      <c r="I2533" s="125" t="s">
        <v>371</v>
      </c>
    </row>
    <row r="2534" spans="1:9" x14ac:dyDescent="0.25">
      <c r="A2534" s="125" t="s">
        <v>3294</v>
      </c>
      <c r="B2534" s="125" t="s">
        <v>5323</v>
      </c>
      <c r="C2534" s="125">
        <v>211</v>
      </c>
      <c r="D2534" s="125" t="s">
        <v>5324</v>
      </c>
      <c r="E2534" s="125" t="s">
        <v>5303</v>
      </c>
      <c r="F2534" s="125" t="s">
        <v>5304</v>
      </c>
      <c r="G2534" s="125" t="s">
        <v>5297</v>
      </c>
      <c r="H2534" s="125" t="s">
        <v>371</v>
      </c>
      <c r="I2534" s="125" t="s">
        <v>371</v>
      </c>
    </row>
    <row r="2535" spans="1:9" x14ac:dyDescent="0.25">
      <c r="A2535" s="125" t="s">
        <v>3455</v>
      </c>
      <c r="B2535" s="125" t="s">
        <v>5323</v>
      </c>
      <c r="C2535" s="125">
        <v>211</v>
      </c>
      <c r="D2535" s="125" t="s">
        <v>5324</v>
      </c>
      <c r="E2535" s="125" t="s">
        <v>5303</v>
      </c>
      <c r="F2535" s="125" t="s">
        <v>5304</v>
      </c>
      <c r="G2535" s="125" t="s">
        <v>5297</v>
      </c>
      <c r="H2535" s="125" t="s">
        <v>6159</v>
      </c>
      <c r="I2535" s="125" t="s">
        <v>3501</v>
      </c>
    </row>
    <row r="2536" spans="1:9" x14ac:dyDescent="0.25">
      <c r="A2536" s="125" t="s">
        <v>1864</v>
      </c>
      <c r="B2536" s="125" t="s">
        <v>5323</v>
      </c>
      <c r="C2536" s="125">
        <v>211</v>
      </c>
      <c r="D2536" s="125" t="s">
        <v>5324</v>
      </c>
      <c r="E2536" s="125" t="s">
        <v>5303</v>
      </c>
      <c r="F2536" s="125" t="s">
        <v>5304</v>
      </c>
      <c r="G2536" s="125" t="s">
        <v>5297</v>
      </c>
      <c r="H2536" s="125" t="s">
        <v>6159</v>
      </c>
      <c r="I2536" s="125" t="s">
        <v>3501</v>
      </c>
    </row>
    <row r="2537" spans="1:9" x14ac:dyDescent="0.25">
      <c r="A2537" s="125" t="s">
        <v>2971</v>
      </c>
      <c r="B2537" s="125" t="s">
        <v>5323</v>
      </c>
      <c r="C2537" s="125">
        <v>211</v>
      </c>
      <c r="D2537" s="125" t="s">
        <v>5324</v>
      </c>
      <c r="E2537" s="125" t="s">
        <v>5303</v>
      </c>
      <c r="F2537" s="125" t="s">
        <v>5304</v>
      </c>
      <c r="G2537" s="125" t="s">
        <v>5297</v>
      </c>
      <c r="H2537" s="125" t="s">
        <v>3501</v>
      </c>
      <c r="I2537" s="125" t="s">
        <v>3501</v>
      </c>
    </row>
    <row r="2538" spans="1:9" x14ac:dyDescent="0.25">
      <c r="A2538" s="125" t="s">
        <v>1769</v>
      </c>
      <c r="B2538" s="125" t="s">
        <v>5323</v>
      </c>
      <c r="C2538" s="125">
        <v>211</v>
      </c>
      <c r="D2538" s="125" t="s">
        <v>5324</v>
      </c>
      <c r="E2538" s="125" t="s">
        <v>5303</v>
      </c>
      <c r="F2538" s="125" t="s">
        <v>5304</v>
      </c>
      <c r="G2538" s="125" t="s">
        <v>5297</v>
      </c>
      <c r="H2538" s="125" t="s">
        <v>3501</v>
      </c>
      <c r="I2538" s="125" t="s">
        <v>3501</v>
      </c>
    </row>
    <row r="2539" spans="1:9" x14ac:dyDescent="0.25">
      <c r="A2539" s="125" t="s">
        <v>1289</v>
      </c>
      <c r="B2539" s="125" t="s">
        <v>5362</v>
      </c>
      <c r="C2539" s="125">
        <v>209</v>
      </c>
      <c r="D2539" s="125" t="s">
        <v>5363</v>
      </c>
      <c r="E2539" s="125" t="s">
        <v>5364</v>
      </c>
      <c r="F2539" s="125" t="s">
        <v>5365</v>
      </c>
      <c r="G2539" s="125" t="s">
        <v>5297</v>
      </c>
      <c r="H2539" s="125" t="s">
        <v>1288</v>
      </c>
      <c r="I2539" s="125" t="s">
        <v>2263</v>
      </c>
    </row>
    <row r="2540" spans="1:9" x14ac:dyDescent="0.25">
      <c r="A2540" s="125" t="s">
        <v>3070</v>
      </c>
      <c r="B2540" s="125" t="s">
        <v>5362</v>
      </c>
      <c r="C2540" s="125">
        <v>209</v>
      </c>
      <c r="D2540" s="125" t="s">
        <v>5363</v>
      </c>
      <c r="E2540" s="125" t="s">
        <v>5364</v>
      </c>
      <c r="F2540" s="125" t="s">
        <v>5365</v>
      </c>
      <c r="G2540" s="125" t="s">
        <v>5297</v>
      </c>
      <c r="H2540" s="125" t="s">
        <v>371</v>
      </c>
      <c r="I2540" s="125" t="s">
        <v>371</v>
      </c>
    </row>
    <row r="2541" spans="1:9" x14ac:dyDescent="0.25">
      <c r="A2541" s="125" t="s">
        <v>2425</v>
      </c>
      <c r="B2541" s="125" t="s">
        <v>5362</v>
      </c>
      <c r="C2541" s="125">
        <v>209</v>
      </c>
      <c r="D2541" s="125" t="s">
        <v>5363</v>
      </c>
      <c r="E2541" s="125" t="s">
        <v>5364</v>
      </c>
      <c r="F2541" s="125" t="s">
        <v>5365</v>
      </c>
      <c r="G2541" s="125" t="s">
        <v>5297</v>
      </c>
      <c r="H2541" s="125" t="s">
        <v>1478</v>
      </c>
      <c r="I2541" s="125" t="s">
        <v>2263</v>
      </c>
    </row>
    <row r="2542" spans="1:9" x14ac:dyDescent="0.25">
      <c r="A2542" s="125" t="s">
        <v>1123</v>
      </c>
      <c r="B2542" s="125" t="s">
        <v>5362</v>
      </c>
      <c r="C2542" s="125">
        <v>209</v>
      </c>
      <c r="D2542" s="125" t="s">
        <v>5363</v>
      </c>
      <c r="E2542" s="125" t="s">
        <v>5364</v>
      </c>
      <c r="F2542" s="125" t="s">
        <v>5365</v>
      </c>
      <c r="G2542" s="125" t="s">
        <v>5297</v>
      </c>
      <c r="H2542" s="125" t="s">
        <v>1421</v>
      </c>
      <c r="I2542" s="125" t="s">
        <v>2263</v>
      </c>
    </row>
    <row r="2543" spans="1:9" x14ac:dyDescent="0.25">
      <c r="A2543" s="125" t="s">
        <v>3007</v>
      </c>
      <c r="B2543" s="125" t="s">
        <v>5362</v>
      </c>
      <c r="C2543" s="125">
        <v>209</v>
      </c>
      <c r="D2543" s="125" t="s">
        <v>5363</v>
      </c>
      <c r="E2543" s="125" t="s">
        <v>5364</v>
      </c>
      <c r="F2543" s="125" t="s">
        <v>5365</v>
      </c>
      <c r="G2543" s="125" t="s">
        <v>5297</v>
      </c>
      <c r="H2543" s="125" t="s">
        <v>1478</v>
      </c>
      <c r="I2543" s="125" t="s">
        <v>2263</v>
      </c>
    </row>
    <row r="2544" spans="1:9" x14ac:dyDescent="0.25">
      <c r="A2544" s="125" t="s">
        <v>1479</v>
      </c>
      <c r="B2544" s="125" t="s">
        <v>5362</v>
      </c>
      <c r="C2544" s="125">
        <v>209</v>
      </c>
      <c r="D2544" s="125" t="s">
        <v>5363</v>
      </c>
      <c r="E2544" s="125" t="s">
        <v>5364</v>
      </c>
      <c r="F2544" s="125" t="s">
        <v>5365</v>
      </c>
      <c r="G2544" s="125" t="s">
        <v>5297</v>
      </c>
      <c r="H2544" s="125" t="s">
        <v>1478</v>
      </c>
      <c r="I2544" s="125" t="s">
        <v>2263</v>
      </c>
    </row>
    <row r="2545" spans="1:9" x14ac:dyDescent="0.25">
      <c r="A2545" s="125" t="s">
        <v>2320</v>
      </c>
      <c r="B2545" s="125" t="s">
        <v>5362</v>
      </c>
      <c r="C2545" s="125">
        <v>209</v>
      </c>
      <c r="D2545" s="125" t="s">
        <v>5363</v>
      </c>
      <c r="E2545" s="125" t="s">
        <v>5364</v>
      </c>
      <c r="F2545" s="125" t="s">
        <v>5365</v>
      </c>
      <c r="G2545" s="125" t="s">
        <v>5297</v>
      </c>
      <c r="H2545" s="125" t="s">
        <v>5925</v>
      </c>
      <c r="I2545" s="125" t="s">
        <v>2263</v>
      </c>
    </row>
    <row r="2546" spans="1:9" x14ac:dyDescent="0.25">
      <c r="A2546" s="125" t="s">
        <v>2240</v>
      </c>
      <c r="B2546" s="125" t="s">
        <v>5362</v>
      </c>
      <c r="C2546" s="125">
        <v>209</v>
      </c>
      <c r="D2546" s="125" t="s">
        <v>5363</v>
      </c>
      <c r="E2546" s="125" t="s">
        <v>5364</v>
      </c>
      <c r="F2546" s="125" t="s">
        <v>5365</v>
      </c>
      <c r="G2546" s="125" t="s">
        <v>5297</v>
      </c>
      <c r="H2546" s="125" t="s">
        <v>1478</v>
      </c>
      <c r="I2546" s="125" t="s">
        <v>2263</v>
      </c>
    </row>
    <row r="2547" spans="1:9" x14ac:dyDescent="0.25">
      <c r="A2547" s="125" t="s">
        <v>1329</v>
      </c>
      <c r="B2547" s="125" t="s">
        <v>5362</v>
      </c>
      <c r="C2547" s="125">
        <v>209</v>
      </c>
      <c r="D2547" s="125" t="s">
        <v>5363</v>
      </c>
      <c r="E2547" s="125" t="s">
        <v>5364</v>
      </c>
      <c r="F2547" s="125" t="s">
        <v>5365</v>
      </c>
      <c r="G2547" s="125" t="s">
        <v>5297</v>
      </c>
      <c r="H2547" s="125" t="s">
        <v>371</v>
      </c>
      <c r="I2547" s="125" t="s">
        <v>371</v>
      </c>
    </row>
    <row r="2548" spans="1:9" x14ac:dyDescent="0.25">
      <c r="A2548" s="125" t="s">
        <v>3456</v>
      </c>
      <c r="B2548" s="125" t="s">
        <v>5362</v>
      </c>
      <c r="C2548" s="125">
        <v>209</v>
      </c>
      <c r="D2548" s="125" t="s">
        <v>5363</v>
      </c>
      <c r="E2548" s="125" t="s">
        <v>5364</v>
      </c>
      <c r="F2548" s="125" t="s">
        <v>5365</v>
      </c>
      <c r="G2548" s="125" t="s">
        <v>5297</v>
      </c>
      <c r="H2548" s="125" t="s">
        <v>1288</v>
      </c>
      <c r="I2548" s="125" t="s">
        <v>2263</v>
      </c>
    </row>
    <row r="2549" spans="1:9" x14ac:dyDescent="0.25">
      <c r="A2549" s="125" t="s">
        <v>1913</v>
      </c>
      <c r="B2549" s="125" t="s">
        <v>5362</v>
      </c>
      <c r="C2549" s="125">
        <v>209</v>
      </c>
      <c r="D2549" s="125" t="s">
        <v>5363</v>
      </c>
      <c r="E2549" s="125" t="s">
        <v>5364</v>
      </c>
      <c r="F2549" s="125" t="s">
        <v>5365</v>
      </c>
      <c r="G2549" s="125" t="s">
        <v>5297</v>
      </c>
      <c r="H2549" s="125" t="s">
        <v>6160</v>
      </c>
      <c r="I2549" s="125" t="s">
        <v>1869</v>
      </c>
    </row>
    <row r="2550" spans="1:9" x14ac:dyDescent="0.25">
      <c r="A2550" s="125" t="s">
        <v>2832</v>
      </c>
      <c r="B2550" s="125" t="s">
        <v>5362</v>
      </c>
      <c r="C2550" s="125">
        <v>209</v>
      </c>
      <c r="D2550" s="125" t="s">
        <v>5363</v>
      </c>
      <c r="E2550" s="125" t="s">
        <v>5364</v>
      </c>
      <c r="F2550" s="125" t="s">
        <v>5365</v>
      </c>
      <c r="G2550" s="125" t="s">
        <v>5297</v>
      </c>
      <c r="H2550" s="125" t="s">
        <v>1288</v>
      </c>
      <c r="I2550" s="125" t="s">
        <v>2263</v>
      </c>
    </row>
    <row r="2551" spans="1:9" x14ac:dyDescent="0.25">
      <c r="A2551" s="125" t="s">
        <v>6161</v>
      </c>
      <c r="B2551" s="125" t="s">
        <v>5362</v>
      </c>
      <c r="C2551" s="125">
        <v>209</v>
      </c>
      <c r="D2551" s="125" t="s">
        <v>5363</v>
      </c>
      <c r="E2551" s="125" t="s">
        <v>5364</v>
      </c>
      <c r="F2551" s="125" t="s">
        <v>5365</v>
      </c>
      <c r="G2551" s="125" t="s">
        <v>5297</v>
      </c>
      <c r="H2551" s="125" t="s">
        <v>5371</v>
      </c>
      <c r="I2551" s="125" t="s">
        <v>1869</v>
      </c>
    </row>
    <row r="2552" spans="1:9" x14ac:dyDescent="0.25">
      <c r="A2552" s="125" t="s">
        <v>2418</v>
      </c>
      <c r="B2552" s="125" t="s">
        <v>5362</v>
      </c>
      <c r="C2552" s="125">
        <v>209</v>
      </c>
      <c r="D2552" s="125" t="s">
        <v>5363</v>
      </c>
      <c r="E2552" s="125" t="s">
        <v>5364</v>
      </c>
      <c r="F2552" s="125" t="s">
        <v>5365</v>
      </c>
      <c r="G2552" s="125" t="s">
        <v>5297</v>
      </c>
      <c r="H2552" s="125" t="s">
        <v>5371</v>
      </c>
      <c r="I2552" s="125" t="s">
        <v>1869</v>
      </c>
    </row>
    <row r="2553" spans="1:9" x14ac:dyDescent="0.25">
      <c r="A2553" s="125" t="s">
        <v>1483</v>
      </c>
      <c r="B2553" s="125" t="s">
        <v>5362</v>
      </c>
      <c r="C2553" s="125">
        <v>209</v>
      </c>
      <c r="D2553" s="125" t="s">
        <v>5363</v>
      </c>
      <c r="E2553" s="125" t="s">
        <v>5364</v>
      </c>
      <c r="F2553" s="125" t="s">
        <v>5365</v>
      </c>
      <c r="G2553" s="125" t="s">
        <v>5297</v>
      </c>
      <c r="H2553" s="125" t="s">
        <v>5371</v>
      </c>
      <c r="I2553" s="125" t="s">
        <v>1869</v>
      </c>
    </row>
    <row r="2554" spans="1:9" x14ac:dyDescent="0.25">
      <c r="A2554" s="125" t="s">
        <v>1732</v>
      </c>
      <c r="B2554" s="125" t="s">
        <v>5362</v>
      </c>
      <c r="C2554" s="125">
        <v>209</v>
      </c>
      <c r="D2554" s="125" t="s">
        <v>5363</v>
      </c>
      <c r="E2554" s="125" t="s">
        <v>5364</v>
      </c>
      <c r="F2554" s="125" t="s">
        <v>5365</v>
      </c>
      <c r="G2554" s="125" t="s">
        <v>5297</v>
      </c>
      <c r="H2554" s="125" t="s">
        <v>371</v>
      </c>
      <c r="I2554" s="125" t="s">
        <v>371</v>
      </c>
    </row>
    <row r="2555" spans="1:9" x14ac:dyDescent="0.25">
      <c r="A2555" s="125" t="s">
        <v>2769</v>
      </c>
      <c r="B2555" s="125" t="s">
        <v>5362</v>
      </c>
      <c r="C2555" s="125">
        <v>209</v>
      </c>
      <c r="D2555" s="125" t="s">
        <v>5363</v>
      </c>
      <c r="E2555" s="125" t="s">
        <v>5364</v>
      </c>
      <c r="F2555" s="125" t="s">
        <v>5365</v>
      </c>
      <c r="G2555" s="125" t="s">
        <v>5297</v>
      </c>
      <c r="H2555" s="125" t="s">
        <v>1731</v>
      </c>
      <c r="I2555" s="125" t="s">
        <v>2263</v>
      </c>
    </row>
    <row r="2556" spans="1:9" x14ac:dyDescent="0.25">
      <c r="A2556" s="125" t="s">
        <v>1193</v>
      </c>
      <c r="B2556" s="125" t="s">
        <v>5376</v>
      </c>
      <c r="C2556" s="125">
        <v>223</v>
      </c>
      <c r="D2556" s="125" t="s">
        <v>5377</v>
      </c>
      <c r="E2556" s="125" t="s">
        <v>5364</v>
      </c>
      <c r="F2556" s="125" t="s">
        <v>5365</v>
      </c>
      <c r="G2556" s="125" t="s">
        <v>5297</v>
      </c>
      <c r="H2556" s="125" t="s">
        <v>1731</v>
      </c>
      <c r="I2556" s="125" t="s">
        <v>2263</v>
      </c>
    </row>
    <row r="2557" spans="1:9" x14ac:dyDescent="0.25">
      <c r="A2557" s="125" t="s">
        <v>1198</v>
      </c>
      <c r="B2557" s="125" t="s">
        <v>5362</v>
      </c>
      <c r="C2557" s="125">
        <v>209</v>
      </c>
      <c r="D2557" s="125" t="s">
        <v>5363</v>
      </c>
      <c r="E2557" s="125" t="s">
        <v>5364</v>
      </c>
      <c r="F2557" s="125" t="s">
        <v>5365</v>
      </c>
      <c r="G2557" s="125" t="s">
        <v>5297</v>
      </c>
      <c r="H2557" s="125" t="s">
        <v>1731</v>
      </c>
      <c r="I2557" s="125" t="s">
        <v>2263</v>
      </c>
    </row>
    <row r="2558" spans="1:9" x14ac:dyDescent="0.25">
      <c r="A2558" s="125" t="s">
        <v>2055</v>
      </c>
      <c r="B2558" s="125" t="s">
        <v>5362</v>
      </c>
      <c r="C2558" s="125">
        <v>209</v>
      </c>
      <c r="D2558" s="125" t="s">
        <v>5363</v>
      </c>
      <c r="E2558" s="125" t="s">
        <v>5364</v>
      </c>
      <c r="F2558" s="125" t="s">
        <v>5365</v>
      </c>
      <c r="G2558" s="125" t="s">
        <v>5297</v>
      </c>
      <c r="H2558" s="125" t="s">
        <v>1731</v>
      </c>
      <c r="I2558" s="125" t="s">
        <v>2263</v>
      </c>
    </row>
    <row r="2559" spans="1:9" x14ac:dyDescent="0.25">
      <c r="A2559" s="125" t="s">
        <v>2747</v>
      </c>
      <c r="B2559" s="125" t="s">
        <v>5362</v>
      </c>
      <c r="C2559" s="125">
        <v>209</v>
      </c>
      <c r="D2559" s="125" t="s">
        <v>5363</v>
      </c>
      <c r="E2559" s="125" t="s">
        <v>5364</v>
      </c>
      <c r="F2559" s="125" t="s">
        <v>5365</v>
      </c>
      <c r="G2559" s="125" t="s">
        <v>5297</v>
      </c>
      <c r="H2559" s="125" t="s">
        <v>5520</v>
      </c>
      <c r="I2559" s="125" t="s">
        <v>2263</v>
      </c>
    </row>
    <row r="2560" spans="1:9" x14ac:dyDescent="0.25">
      <c r="A2560" s="125" t="s">
        <v>1225</v>
      </c>
      <c r="B2560" s="125" t="s">
        <v>5362</v>
      </c>
      <c r="C2560" s="125">
        <v>209</v>
      </c>
      <c r="D2560" s="125" t="s">
        <v>5363</v>
      </c>
      <c r="E2560" s="125" t="s">
        <v>5364</v>
      </c>
      <c r="F2560" s="125" t="s">
        <v>5365</v>
      </c>
      <c r="G2560" s="125" t="s">
        <v>5297</v>
      </c>
      <c r="H2560" s="125" t="s">
        <v>5520</v>
      </c>
      <c r="I2560" s="125" t="s">
        <v>2263</v>
      </c>
    </row>
    <row r="2561" spans="1:9" x14ac:dyDescent="0.25">
      <c r="A2561" s="125" t="s">
        <v>1821</v>
      </c>
      <c r="B2561" s="125" t="s">
        <v>5362</v>
      </c>
      <c r="C2561" s="125">
        <v>209</v>
      </c>
      <c r="D2561" s="125" t="s">
        <v>5363</v>
      </c>
      <c r="E2561" s="125" t="s">
        <v>5364</v>
      </c>
      <c r="F2561" s="125" t="s">
        <v>5365</v>
      </c>
      <c r="G2561" s="125" t="s">
        <v>5297</v>
      </c>
      <c r="H2561" s="125" t="s">
        <v>1288</v>
      </c>
      <c r="I2561" s="125" t="s">
        <v>2263</v>
      </c>
    </row>
    <row r="2562" spans="1:9" x14ac:dyDescent="0.25">
      <c r="A2562" s="125" t="s">
        <v>2656</v>
      </c>
      <c r="B2562" s="125" t="s">
        <v>5362</v>
      </c>
      <c r="C2562" s="125">
        <v>209</v>
      </c>
      <c r="D2562" s="125" t="s">
        <v>5363</v>
      </c>
      <c r="E2562" s="125" t="s">
        <v>5364</v>
      </c>
      <c r="F2562" s="125" t="s">
        <v>5365</v>
      </c>
      <c r="G2562" s="125" t="s">
        <v>5297</v>
      </c>
      <c r="H2562" s="125" t="s">
        <v>1731</v>
      </c>
      <c r="I2562" s="125" t="s">
        <v>2263</v>
      </c>
    </row>
    <row r="2563" spans="1:9" x14ac:dyDescent="0.25">
      <c r="A2563" s="125" t="s">
        <v>1752</v>
      </c>
      <c r="B2563" s="125" t="s">
        <v>5362</v>
      </c>
      <c r="C2563" s="125">
        <v>209</v>
      </c>
      <c r="D2563" s="125" t="s">
        <v>5363</v>
      </c>
      <c r="E2563" s="125" t="s">
        <v>5364</v>
      </c>
      <c r="F2563" s="125" t="s">
        <v>5365</v>
      </c>
      <c r="G2563" s="125" t="s">
        <v>5297</v>
      </c>
      <c r="H2563" s="125" t="s">
        <v>6160</v>
      </c>
      <c r="I2563" s="125" t="s">
        <v>1869</v>
      </c>
    </row>
    <row r="2564" spans="1:9" x14ac:dyDescent="0.25">
      <c r="A2564" s="125" t="s">
        <v>1991</v>
      </c>
      <c r="B2564" s="125" t="s">
        <v>5362</v>
      </c>
      <c r="C2564" s="125">
        <v>209</v>
      </c>
      <c r="D2564" s="125" t="s">
        <v>5363</v>
      </c>
      <c r="E2564" s="125" t="s">
        <v>5364</v>
      </c>
      <c r="F2564" s="125" t="s">
        <v>5365</v>
      </c>
      <c r="G2564" s="125" t="s">
        <v>5297</v>
      </c>
      <c r="H2564" s="125" t="s">
        <v>6160</v>
      </c>
      <c r="I2564" s="125" t="s">
        <v>1869</v>
      </c>
    </row>
    <row r="2565" spans="1:9" x14ac:dyDescent="0.25">
      <c r="A2565" s="125" t="s">
        <v>1676</v>
      </c>
      <c r="B2565" s="125" t="s">
        <v>5362</v>
      </c>
      <c r="C2565" s="125">
        <v>209</v>
      </c>
      <c r="D2565" s="125" t="s">
        <v>5363</v>
      </c>
      <c r="E2565" s="125" t="s">
        <v>5364</v>
      </c>
      <c r="F2565" s="125" t="s">
        <v>5365</v>
      </c>
      <c r="G2565" s="125" t="s">
        <v>5297</v>
      </c>
      <c r="H2565" s="125" t="s">
        <v>6160</v>
      </c>
      <c r="I2565" s="125" t="s">
        <v>1869</v>
      </c>
    </row>
    <row r="2566" spans="1:9" x14ac:dyDescent="0.25">
      <c r="A2566" s="125" t="s">
        <v>1403</v>
      </c>
      <c r="B2566" s="125" t="s">
        <v>5362</v>
      </c>
      <c r="C2566" s="125">
        <v>209</v>
      </c>
      <c r="D2566" s="125" t="s">
        <v>5363</v>
      </c>
      <c r="E2566" s="125" t="s">
        <v>5364</v>
      </c>
      <c r="F2566" s="125" t="s">
        <v>5365</v>
      </c>
      <c r="G2566" s="125" t="s">
        <v>5297</v>
      </c>
      <c r="H2566" s="125" t="s">
        <v>1402</v>
      </c>
      <c r="I2566" s="125" t="s">
        <v>1869</v>
      </c>
    </row>
    <row r="2567" spans="1:9" x14ac:dyDescent="0.25">
      <c r="A2567" s="125" t="s">
        <v>6162</v>
      </c>
      <c r="B2567" s="125" t="s">
        <v>5362</v>
      </c>
      <c r="C2567" s="125">
        <v>209</v>
      </c>
      <c r="D2567" s="125" t="s">
        <v>5363</v>
      </c>
      <c r="E2567" s="125" t="s">
        <v>5364</v>
      </c>
      <c r="F2567" s="125" t="s">
        <v>5365</v>
      </c>
      <c r="G2567" s="125" t="s">
        <v>5297</v>
      </c>
      <c r="H2567" s="125" t="s">
        <v>6160</v>
      </c>
      <c r="I2567" s="125" t="s">
        <v>1869</v>
      </c>
    </row>
    <row r="2568" spans="1:9" x14ac:dyDescent="0.25">
      <c r="A2568" s="125" t="s">
        <v>3153</v>
      </c>
      <c r="B2568" s="125" t="s">
        <v>5362</v>
      </c>
      <c r="C2568" s="125">
        <v>209</v>
      </c>
      <c r="D2568" s="125" t="s">
        <v>5363</v>
      </c>
      <c r="E2568" s="125" t="s">
        <v>5364</v>
      </c>
      <c r="F2568" s="125" t="s">
        <v>5365</v>
      </c>
      <c r="G2568" s="125" t="s">
        <v>5297</v>
      </c>
      <c r="H2568" s="125" t="s">
        <v>6160</v>
      </c>
      <c r="I2568" s="125" t="s">
        <v>1869</v>
      </c>
    </row>
    <row r="2569" spans="1:9" x14ac:dyDescent="0.25">
      <c r="A2569" s="125" t="s">
        <v>1952</v>
      </c>
      <c r="B2569" s="125" t="s">
        <v>5362</v>
      </c>
      <c r="C2569" s="125">
        <v>209</v>
      </c>
      <c r="D2569" s="125" t="s">
        <v>5363</v>
      </c>
      <c r="E2569" s="125" t="s">
        <v>5364</v>
      </c>
      <c r="F2569" s="125" t="s">
        <v>5365</v>
      </c>
      <c r="G2569" s="125" t="s">
        <v>5297</v>
      </c>
      <c r="H2569" s="125" t="s">
        <v>1402</v>
      </c>
      <c r="I2569" s="125" t="s">
        <v>1869</v>
      </c>
    </row>
    <row r="2570" spans="1:9" x14ac:dyDescent="0.25">
      <c r="A2570" s="125" t="s">
        <v>1733</v>
      </c>
      <c r="B2570" s="125" t="s">
        <v>5362</v>
      </c>
      <c r="C2570" s="125">
        <v>209</v>
      </c>
      <c r="D2570" s="125" t="s">
        <v>5363</v>
      </c>
      <c r="E2570" s="125" t="s">
        <v>5364</v>
      </c>
      <c r="F2570" s="125" t="s">
        <v>5365</v>
      </c>
      <c r="G2570" s="125" t="s">
        <v>5297</v>
      </c>
      <c r="H2570" s="125" t="s">
        <v>1402</v>
      </c>
      <c r="I2570" s="125" t="s">
        <v>1869</v>
      </c>
    </row>
    <row r="2571" spans="1:9" x14ac:dyDescent="0.25">
      <c r="A2571" s="125" t="s">
        <v>1786</v>
      </c>
      <c r="B2571" s="125" t="s">
        <v>5362</v>
      </c>
      <c r="C2571" s="125">
        <v>209</v>
      </c>
      <c r="D2571" s="125" t="s">
        <v>5363</v>
      </c>
      <c r="E2571" s="125" t="s">
        <v>5364</v>
      </c>
      <c r="F2571" s="125" t="s">
        <v>5365</v>
      </c>
      <c r="G2571" s="125" t="s">
        <v>5297</v>
      </c>
      <c r="H2571" s="125" t="s">
        <v>6160</v>
      </c>
      <c r="I2571" s="125" t="s">
        <v>1869</v>
      </c>
    </row>
    <row r="2572" spans="1:9" x14ac:dyDescent="0.25">
      <c r="A2572" s="125" t="s">
        <v>2847</v>
      </c>
      <c r="B2572" s="125" t="s">
        <v>5362</v>
      </c>
      <c r="C2572" s="125">
        <v>209</v>
      </c>
      <c r="D2572" s="125" t="s">
        <v>5363</v>
      </c>
      <c r="E2572" s="125" t="s">
        <v>5364</v>
      </c>
      <c r="F2572" s="125" t="s">
        <v>5365</v>
      </c>
      <c r="G2572" s="125" t="s">
        <v>5297</v>
      </c>
      <c r="H2572" s="125" t="s">
        <v>1288</v>
      </c>
      <c r="I2572" s="125" t="s">
        <v>2263</v>
      </c>
    </row>
    <row r="2573" spans="1:9" x14ac:dyDescent="0.25">
      <c r="A2573" s="125" t="s">
        <v>3506</v>
      </c>
      <c r="B2573" s="125" t="s">
        <v>5362</v>
      </c>
      <c r="C2573" s="125">
        <v>209</v>
      </c>
      <c r="D2573" s="125" t="s">
        <v>5363</v>
      </c>
      <c r="E2573" s="125" t="s">
        <v>5364</v>
      </c>
      <c r="F2573" s="125" t="s">
        <v>5365</v>
      </c>
      <c r="G2573" s="125" t="s">
        <v>5297</v>
      </c>
      <c r="H2573" s="125" t="s">
        <v>371</v>
      </c>
      <c r="I2573" s="125" t="s">
        <v>371</v>
      </c>
    </row>
    <row r="2574" spans="1:9" x14ac:dyDescent="0.25">
      <c r="A2574" s="125" t="s">
        <v>2937</v>
      </c>
      <c r="B2574" s="125" t="s">
        <v>5362</v>
      </c>
      <c r="C2574" s="125">
        <v>209</v>
      </c>
      <c r="D2574" s="125" t="s">
        <v>5363</v>
      </c>
      <c r="E2574" s="125" t="s">
        <v>5364</v>
      </c>
      <c r="F2574" s="125" t="s">
        <v>5365</v>
      </c>
      <c r="G2574" s="125" t="s">
        <v>5297</v>
      </c>
      <c r="H2574" s="125" t="s">
        <v>5371</v>
      </c>
      <c r="I2574" s="125" t="s">
        <v>1869</v>
      </c>
    </row>
    <row r="2575" spans="1:9" x14ac:dyDescent="0.25">
      <c r="A2575" s="125" t="s">
        <v>2566</v>
      </c>
      <c r="B2575" s="125" t="s">
        <v>5362</v>
      </c>
      <c r="C2575" s="125">
        <v>209</v>
      </c>
      <c r="D2575" s="125" t="s">
        <v>5363</v>
      </c>
      <c r="E2575" s="125" t="s">
        <v>5364</v>
      </c>
      <c r="F2575" s="125" t="s">
        <v>5365</v>
      </c>
      <c r="G2575" s="125" t="s">
        <v>5297</v>
      </c>
      <c r="H2575" s="125" t="s">
        <v>5371</v>
      </c>
      <c r="I2575" s="125" t="s">
        <v>1869</v>
      </c>
    </row>
    <row r="2576" spans="1:9" x14ac:dyDescent="0.25">
      <c r="A2576" s="125" t="s">
        <v>6163</v>
      </c>
      <c r="B2576" s="125" t="s">
        <v>5362</v>
      </c>
      <c r="C2576" s="125">
        <v>209</v>
      </c>
      <c r="D2576" s="125" t="s">
        <v>5363</v>
      </c>
      <c r="E2576" s="125" t="s">
        <v>5364</v>
      </c>
      <c r="F2576" s="125" t="s">
        <v>5365</v>
      </c>
      <c r="G2576" s="125" t="s">
        <v>5297</v>
      </c>
      <c r="H2576" s="125" t="s">
        <v>5371</v>
      </c>
      <c r="I2576" s="125" t="s">
        <v>1869</v>
      </c>
    </row>
    <row r="2577" spans="1:9" x14ac:dyDescent="0.25">
      <c r="A2577" s="125" t="s">
        <v>1459</v>
      </c>
      <c r="B2577" s="125" t="s">
        <v>5362</v>
      </c>
      <c r="C2577" s="125">
        <v>209</v>
      </c>
      <c r="D2577" s="125" t="s">
        <v>5363</v>
      </c>
      <c r="E2577" s="125" t="s">
        <v>5364</v>
      </c>
      <c r="F2577" s="125" t="s">
        <v>5365</v>
      </c>
      <c r="G2577" s="125" t="s">
        <v>5297</v>
      </c>
      <c r="H2577" s="125" t="s">
        <v>1478</v>
      </c>
      <c r="I2577" s="125" t="s">
        <v>2263</v>
      </c>
    </row>
    <row r="2578" spans="1:9" x14ac:dyDescent="0.25">
      <c r="A2578" s="125" t="s">
        <v>1693</v>
      </c>
      <c r="B2578" s="125" t="s">
        <v>5362</v>
      </c>
      <c r="C2578" s="125">
        <v>209</v>
      </c>
      <c r="D2578" s="125" t="s">
        <v>5363</v>
      </c>
      <c r="E2578" s="125" t="s">
        <v>5364</v>
      </c>
      <c r="F2578" s="125" t="s">
        <v>5365</v>
      </c>
      <c r="G2578" s="125" t="s">
        <v>5297</v>
      </c>
      <c r="H2578" s="125" t="s">
        <v>5925</v>
      </c>
      <c r="I2578" s="125" t="s">
        <v>2263</v>
      </c>
    </row>
    <row r="2579" spans="1:9" x14ac:dyDescent="0.25">
      <c r="A2579" s="125" t="s">
        <v>1794</v>
      </c>
      <c r="B2579" s="125" t="s">
        <v>5336</v>
      </c>
      <c r="C2579" s="125">
        <v>222</v>
      </c>
      <c r="D2579" s="125" t="s">
        <v>5337</v>
      </c>
      <c r="E2579" s="125" t="s">
        <v>5303</v>
      </c>
      <c r="F2579" s="125" t="s">
        <v>5304</v>
      </c>
      <c r="G2579" s="125" t="s">
        <v>5297</v>
      </c>
      <c r="H2579" s="125" t="s">
        <v>6164</v>
      </c>
      <c r="I2579" s="125" t="s">
        <v>5633</v>
      </c>
    </row>
    <row r="2580" spans="1:9" x14ac:dyDescent="0.25">
      <c r="A2580" s="125" t="s">
        <v>3393</v>
      </c>
      <c r="B2580" s="125" t="s">
        <v>5336</v>
      </c>
      <c r="C2580" s="125">
        <v>222</v>
      </c>
      <c r="D2580" s="125" t="s">
        <v>5337</v>
      </c>
      <c r="E2580" s="125" t="s">
        <v>5303</v>
      </c>
      <c r="F2580" s="125" t="s">
        <v>5304</v>
      </c>
      <c r="G2580" s="125" t="s">
        <v>5297</v>
      </c>
      <c r="H2580" s="125" t="s">
        <v>371</v>
      </c>
      <c r="I2580" s="125" t="s">
        <v>371</v>
      </c>
    </row>
    <row r="2581" spans="1:9" x14ac:dyDescent="0.25">
      <c r="A2581" s="125" t="s">
        <v>1705</v>
      </c>
      <c r="B2581" s="125" t="s">
        <v>5336</v>
      </c>
      <c r="C2581" s="125">
        <v>222</v>
      </c>
      <c r="D2581" s="125" t="s">
        <v>5337</v>
      </c>
      <c r="E2581" s="125" t="s">
        <v>5303</v>
      </c>
      <c r="F2581" s="125" t="s">
        <v>5304</v>
      </c>
      <c r="G2581" s="125" t="s">
        <v>5297</v>
      </c>
      <c r="H2581" s="125" t="s">
        <v>6078</v>
      </c>
      <c r="I2581" s="125" t="s">
        <v>5633</v>
      </c>
    </row>
    <row r="2582" spans="1:9" x14ac:dyDescent="0.25">
      <c r="A2582" s="125" t="s">
        <v>1075</v>
      </c>
      <c r="B2582" s="125" t="s">
        <v>5336</v>
      </c>
      <c r="C2582" s="125">
        <v>222</v>
      </c>
      <c r="D2582" s="125" t="s">
        <v>5337</v>
      </c>
      <c r="E2582" s="125" t="s">
        <v>5303</v>
      </c>
      <c r="F2582" s="125" t="s">
        <v>5304</v>
      </c>
      <c r="G2582" s="125" t="s">
        <v>5297</v>
      </c>
      <c r="H2582" s="125" t="s">
        <v>5647</v>
      </c>
      <c r="I2582" s="125" t="s">
        <v>5633</v>
      </c>
    </row>
    <row r="2583" spans="1:9" x14ac:dyDescent="0.25">
      <c r="A2583" s="125" t="s">
        <v>2123</v>
      </c>
      <c r="B2583" s="125" t="s">
        <v>5336</v>
      </c>
      <c r="C2583" s="125">
        <v>222</v>
      </c>
      <c r="D2583" s="125" t="s">
        <v>5337</v>
      </c>
      <c r="E2583" s="125" t="s">
        <v>5303</v>
      </c>
      <c r="F2583" s="125" t="s">
        <v>5304</v>
      </c>
      <c r="G2583" s="125" t="s">
        <v>5297</v>
      </c>
      <c r="H2583" s="125" t="s">
        <v>5647</v>
      </c>
      <c r="I2583" s="125" t="s">
        <v>5633</v>
      </c>
    </row>
    <row r="2584" spans="1:9" x14ac:dyDescent="0.25">
      <c r="A2584" s="125" t="s">
        <v>1965</v>
      </c>
      <c r="B2584" s="125" t="s">
        <v>5336</v>
      </c>
      <c r="C2584" s="125">
        <v>222</v>
      </c>
      <c r="D2584" s="125" t="s">
        <v>5337</v>
      </c>
      <c r="E2584" s="125" t="s">
        <v>5303</v>
      </c>
      <c r="F2584" s="125" t="s">
        <v>5304</v>
      </c>
      <c r="G2584" s="125" t="s">
        <v>5297</v>
      </c>
      <c r="H2584" s="125" t="s">
        <v>5647</v>
      </c>
      <c r="I2584" s="125" t="s">
        <v>5633</v>
      </c>
    </row>
    <row r="2585" spans="1:9" x14ac:dyDescent="0.25">
      <c r="A2585" s="125" t="s">
        <v>2919</v>
      </c>
      <c r="B2585" s="125" t="s">
        <v>5336</v>
      </c>
      <c r="C2585" s="125">
        <v>222</v>
      </c>
      <c r="D2585" s="125" t="s">
        <v>5337</v>
      </c>
      <c r="E2585" s="125" t="s">
        <v>5303</v>
      </c>
      <c r="F2585" s="125" t="s">
        <v>5304</v>
      </c>
      <c r="G2585" s="125" t="s">
        <v>5297</v>
      </c>
      <c r="H2585" s="125" t="s">
        <v>6164</v>
      </c>
      <c r="I2585" s="125" t="s">
        <v>5633</v>
      </c>
    </row>
    <row r="2586" spans="1:9" x14ac:dyDescent="0.25">
      <c r="A2586" s="125" t="s">
        <v>1964</v>
      </c>
      <c r="B2586" s="125" t="s">
        <v>5336</v>
      </c>
      <c r="C2586" s="125">
        <v>222</v>
      </c>
      <c r="D2586" s="125" t="s">
        <v>5337</v>
      </c>
      <c r="E2586" s="125" t="s">
        <v>5303</v>
      </c>
      <c r="F2586" s="125" t="s">
        <v>5304</v>
      </c>
      <c r="G2586" s="125" t="s">
        <v>5297</v>
      </c>
      <c r="H2586" s="125" t="s">
        <v>6164</v>
      </c>
      <c r="I2586" s="125" t="s">
        <v>5633</v>
      </c>
    </row>
    <row r="2587" spans="1:9" x14ac:dyDescent="0.25">
      <c r="A2587" s="125" t="s">
        <v>3066</v>
      </c>
      <c r="B2587" s="125" t="s">
        <v>5336</v>
      </c>
      <c r="C2587" s="125">
        <v>222</v>
      </c>
      <c r="D2587" s="125" t="s">
        <v>5337</v>
      </c>
      <c r="E2587" s="125" t="s">
        <v>5303</v>
      </c>
      <c r="F2587" s="125" t="s">
        <v>5304</v>
      </c>
      <c r="G2587" s="125" t="s">
        <v>5297</v>
      </c>
      <c r="H2587" s="125" t="s">
        <v>6164</v>
      </c>
      <c r="I2587" s="125" t="s">
        <v>5633</v>
      </c>
    </row>
    <row r="2588" spans="1:9" x14ac:dyDescent="0.25">
      <c r="A2588" s="125" t="s">
        <v>1974</v>
      </c>
      <c r="B2588" s="125" t="s">
        <v>5336</v>
      </c>
      <c r="C2588" s="125">
        <v>222</v>
      </c>
      <c r="D2588" s="125" t="s">
        <v>5337</v>
      </c>
      <c r="E2588" s="125" t="s">
        <v>5303</v>
      </c>
      <c r="F2588" s="125" t="s">
        <v>5304</v>
      </c>
      <c r="G2588" s="125" t="s">
        <v>5297</v>
      </c>
      <c r="H2588" s="125" t="s">
        <v>6164</v>
      </c>
      <c r="I2588" s="125" t="s">
        <v>5633</v>
      </c>
    </row>
    <row r="2589" spans="1:9" x14ac:dyDescent="0.25">
      <c r="A2589" s="125" t="s">
        <v>2882</v>
      </c>
      <c r="B2589" s="125" t="s">
        <v>5336</v>
      </c>
      <c r="C2589" s="125">
        <v>222</v>
      </c>
      <c r="D2589" s="125" t="s">
        <v>5337</v>
      </c>
      <c r="E2589" s="125" t="s">
        <v>5303</v>
      </c>
      <c r="F2589" s="125" t="s">
        <v>5304</v>
      </c>
      <c r="G2589" s="125" t="s">
        <v>5297</v>
      </c>
      <c r="H2589" s="125" t="s">
        <v>371</v>
      </c>
      <c r="I2589" s="125" t="s">
        <v>371</v>
      </c>
    </row>
    <row r="2590" spans="1:9" x14ac:dyDescent="0.25">
      <c r="A2590" s="125" t="s">
        <v>2060</v>
      </c>
      <c r="B2590" s="125" t="s">
        <v>5336</v>
      </c>
      <c r="C2590" s="125">
        <v>222</v>
      </c>
      <c r="D2590" s="125" t="s">
        <v>5337</v>
      </c>
      <c r="E2590" s="125" t="s">
        <v>5303</v>
      </c>
      <c r="F2590" s="125" t="s">
        <v>5304</v>
      </c>
      <c r="G2590" s="125" t="s">
        <v>5297</v>
      </c>
      <c r="H2590" s="125" t="s">
        <v>6078</v>
      </c>
      <c r="I2590" s="125" t="s">
        <v>5633</v>
      </c>
    </row>
    <row r="2591" spans="1:9" x14ac:dyDescent="0.25">
      <c r="A2591" s="125" t="s">
        <v>2631</v>
      </c>
      <c r="B2591" s="125" t="s">
        <v>5336</v>
      </c>
      <c r="C2591" s="125">
        <v>222</v>
      </c>
      <c r="D2591" s="125" t="s">
        <v>5337</v>
      </c>
      <c r="E2591" s="125" t="s">
        <v>5303</v>
      </c>
      <c r="F2591" s="125" t="s">
        <v>5304</v>
      </c>
      <c r="G2591" s="125" t="s">
        <v>5297</v>
      </c>
      <c r="H2591" s="125" t="s">
        <v>371</v>
      </c>
      <c r="I2591" s="125" t="s">
        <v>371</v>
      </c>
    </row>
    <row r="2592" spans="1:9" x14ac:dyDescent="0.25">
      <c r="A2592" s="125" t="s">
        <v>2800</v>
      </c>
      <c r="B2592" s="125" t="s">
        <v>5336</v>
      </c>
      <c r="C2592" s="125">
        <v>222</v>
      </c>
      <c r="D2592" s="125" t="s">
        <v>5337</v>
      </c>
      <c r="E2592" s="125" t="s">
        <v>5303</v>
      </c>
      <c r="F2592" s="125" t="s">
        <v>5304</v>
      </c>
      <c r="G2592" s="125" t="s">
        <v>5297</v>
      </c>
      <c r="H2592" s="125" t="s">
        <v>6078</v>
      </c>
      <c r="I2592" s="125" t="s">
        <v>5633</v>
      </c>
    </row>
    <row r="2593" spans="1:9" x14ac:dyDescent="0.25">
      <c r="A2593" s="125" t="s">
        <v>2017</v>
      </c>
      <c r="B2593" s="125" t="s">
        <v>5336</v>
      </c>
      <c r="C2593" s="125">
        <v>222</v>
      </c>
      <c r="D2593" s="125" t="s">
        <v>5337</v>
      </c>
      <c r="E2593" s="125" t="s">
        <v>5303</v>
      </c>
      <c r="F2593" s="125" t="s">
        <v>5304</v>
      </c>
      <c r="G2593" s="125" t="s">
        <v>5297</v>
      </c>
      <c r="H2593" s="125" t="s">
        <v>5643</v>
      </c>
      <c r="I2593" s="125" t="s">
        <v>5643</v>
      </c>
    </row>
    <row r="2594" spans="1:9" x14ac:dyDescent="0.25">
      <c r="A2594" s="125" t="s">
        <v>1653</v>
      </c>
      <c r="B2594" s="125" t="s">
        <v>5336</v>
      </c>
      <c r="C2594" s="125">
        <v>222</v>
      </c>
      <c r="D2594" s="125" t="s">
        <v>5337</v>
      </c>
      <c r="E2594" s="125" t="s">
        <v>5303</v>
      </c>
      <c r="F2594" s="125" t="s">
        <v>5304</v>
      </c>
      <c r="G2594" s="125" t="s">
        <v>5297</v>
      </c>
      <c r="H2594" s="125" t="s">
        <v>371</v>
      </c>
      <c r="I2594" s="125" t="s">
        <v>371</v>
      </c>
    </row>
    <row r="2595" spans="1:9" x14ac:dyDescent="0.25">
      <c r="A2595" s="125" t="s">
        <v>2015</v>
      </c>
      <c r="B2595" s="125" t="s">
        <v>5336</v>
      </c>
      <c r="C2595" s="125">
        <v>222</v>
      </c>
      <c r="D2595" s="125" t="s">
        <v>5337</v>
      </c>
      <c r="E2595" s="125" t="s">
        <v>5303</v>
      </c>
      <c r="F2595" s="125" t="s">
        <v>5304</v>
      </c>
      <c r="G2595" s="125" t="s">
        <v>5297</v>
      </c>
      <c r="H2595" s="125" t="s">
        <v>5643</v>
      </c>
      <c r="I2595" s="125" t="s">
        <v>5643</v>
      </c>
    </row>
    <row r="2596" spans="1:9" x14ac:dyDescent="0.25">
      <c r="A2596" s="125" t="s">
        <v>2117</v>
      </c>
      <c r="B2596" s="125" t="s">
        <v>5336</v>
      </c>
      <c r="C2596" s="125">
        <v>222</v>
      </c>
      <c r="D2596" s="125" t="s">
        <v>5337</v>
      </c>
      <c r="E2596" s="125" t="s">
        <v>5303</v>
      </c>
      <c r="F2596" s="125" t="s">
        <v>5304</v>
      </c>
      <c r="G2596" s="125" t="s">
        <v>5297</v>
      </c>
      <c r="H2596" s="125" t="s">
        <v>371</v>
      </c>
      <c r="I2596" s="125" t="s">
        <v>371</v>
      </c>
    </row>
    <row r="2597" spans="1:9" x14ac:dyDescent="0.25">
      <c r="A2597" s="125" t="s">
        <v>1770</v>
      </c>
      <c r="B2597" s="125" t="s">
        <v>5336</v>
      </c>
      <c r="C2597" s="125">
        <v>222</v>
      </c>
      <c r="D2597" s="125" t="s">
        <v>5337</v>
      </c>
      <c r="E2597" s="125" t="s">
        <v>5303</v>
      </c>
      <c r="F2597" s="125" t="s">
        <v>5304</v>
      </c>
      <c r="G2597" s="125" t="s">
        <v>5297</v>
      </c>
      <c r="H2597" s="125" t="s">
        <v>371</v>
      </c>
      <c r="I2597" s="125" t="s">
        <v>371</v>
      </c>
    </row>
    <row r="2598" spans="1:9" x14ac:dyDescent="0.25">
      <c r="A2598" s="125" t="s">
        <v>2285</v>
      </c>
      <c r="B2598" s="125" t="s">
        <v>5336</v>
      </c>
      <c r="C2598" s="125">
        <v>222</v>
      </c>
      <c r="D2598" s="125" t="s">
        <v>5337</v>
      </c>
      <c r="E2598" s="125" t="s">
        <v>5303</v>
      </c>
      <c r="F2598" s="125" t="s">
        <v>5304</v>
      </c>
      <c r="G2598" s="125" t="s">
        <v>5297</v>
      </c>
      <c r="H2598" s="125" t="s">
        <v>371</v>
      </c>
      <c r="I2598" s="125" t="s">
        <v>371</v>
      </c>
    </row>
    <row r="2599" spans="1:9" x14ac:dyDescent="0.25">
      <c r="A2599" s="125" t="s">
        <v>2796</v>
      </c>
      <c r="B2599" s="125" t="s">
        <v>5336</v>
      </c>
      <c r="C2599" s="125">
        <v>222</v>
      </c>
      <c r="D2599" s="125" t="s">
        <v>5337</v>
      </c>
      <c r="E2599" s="125" t="s">
        <v>5303</v>
      </c>
      <c r="F2599" s="125" t="s">
        <v>5304</v>
      </c>
      <c r="G2599" s="125" t="s">
        <v>5297</v>
      </c>
      <c r="H2599" s="125" t="s">
        <v>5643</v>
      </c>
      <c r="I2599" s="125" t="s">
        <v>5643</v>
      </c>
    </row>
    <row r="2600" spans="1:9" x14ac:dyDescent="0.25">
      <c r="A2600" s="125" t="s">
        <v>1791</v>
      </c>
      <c r="B2600" s="125" t="s">
        <v>5336</v>
      </c>
      <c r="C2600" s="125">
        <v>222</v>
      </c>
      <c r="D2600" s="125" t="s">
        <v>5337</v>
      </c>
      <c r="E2600" s="125" t="s">
        <v>5303</v>
      </c>
      <c r="F2600" s="125" t="s">
        <v>5304</v>
      </c>
      <c r="G2600" s="125" t="s">
        <v>5297</v>
      </c>
      <c r="H2600" s="125" t="s">
        <v>371</v>
      </c>
      <c r="I2600" s="125" t="s">
        <v>371</v>
      </c>
    </row>
    <row r="2601" spans="1:9" x14ac:dyDescent="0.25">
      <c r="A2601" s="125" t="s">
        <v>1707</v>
      </c>
      <c r="B2601" s="125" t="s">
        <v>5336</v>
      </c>
      <c r="C2601" s="125">
        <v>222</v>
      </c>
      <c r="D2601" s="125" t="s">
        <v>5337</v>
      </c>
      <c r="E2601" s="125" t="s">
        <v>5303</v>
      </c>
      <c r="F2601" s="125" t="s">
        <v>5304</v>
      </c>
      <c r="G2601" s="125" t="s">
        <v>5297</v>
      </c>
      <c r="H2601" s="125" t="s">
        <v>371</v>
      </c>
      <c r="I2601" s="125" t="s">
        <v>371</v>
      </c>
    </row>
    <row r="2602" spans="1:9" x14ac:dyDescent="0.25">
      <c r="A2602" s="125" t="s">
        <v>1611</v>
      </c>
      <c r="B2602" s="125" t="s">
        <v>5336</v>
      </c>
      <c r="C2602" s="125">
        <v>222</v>
      </c>
      <c r="D2602" s="125" t="s">
        <v>5337</v>
      </c>
      <c r="E2602" s="125" t="s">
        <v>5303</v>
      </c>
      <c r="F2602" s="125" t="s">
        <v>5304</v>
      </c>
      <c r="G2602" s="125" t="s">
        <v>5297</v>
      </c>
      <c r="H2602" s="125" t="s">
        <v>371</v>
      </c>
      <c r="I2602" s="125" t="s">
        <v>371</v>
      </c>
    </row>
    <row r="2603" spans="1:9" x14ac:dyDescent="0.25">
      <c r="A2603" s="125" t="s">
        <v>1630</v>
      </c>
      <c r="B2603" s="125" t="s">
        <v>5336</v>
      </c>
      <c r="C2603" s="125">
        <v>222</v>
      </c>
      <c r="D2603" s="125" t="s">
        <v>5337</v>
      </c>
      <c r="E2603" s="125" t="s">
        <v>5303</v>
      </c>
      <c r="F2603" s="125" t="s">
        <v>5304</v>
      </c>
      <c r="G2603" s="125" t="s">
        <v>5297</v>
      </c>
      <c r="H2603" s="125" t="s">
        <v>371</v>
      </c>
      <c r="I2603" s="125" t="s">
        <v>371</v>
      </c>
    </row>
    <row r="2604" spans="1:9" x14ac:dyDescent="0.25">
      <c r="A2604" s="125" t="s">
        <v>1431</v>
      </c>
      <c r="B2604" s="125" t="s">
        <v>5336</v>
      </c>
      <c r="C2604" s="125">
        <v>222</v>
      </c>
      <c r="D2604" s="125" t="s">
        <v>5337</v>
      </c>
      <c r="E2604" s="125" t="s">
        <v>5303</v>
      </c>
      <c r="F2604" s="125" t="s">
        <v>5304</v>
      </c>
      <c r="G2604" s="125" t="s">
        <v>5297</v>
      </c>
      <c r="H2604" s="125" t="s">
        <v>371</v>
      </c>
      <c r="I2604" s="125" t="s">
        <v>371</v>
      </c>
    </row>
    <row r="2605" spans="1:9" x14ac:dyDescent="0.25">
      <c r="A2605" s="125" t="s">
        <v>1089</v>
      </c>
      <c r="B2605" s="125" t="s">
        <v>5336</v>
      </c>
      <c r="C2605" s="125">
        <v>222</v>
      </c>
      <c r="D2605" s="125" t="s">
        <v>5337</v>
      </c>
      <c r="E2605" s="125" t="s">
        <v>5303</v>
      </c>
      <c r="F2605" s="125" t="s">
        <v>5304</v>
      </c>
      <c r="G2605" s="125" t="s">
        <v>5297</v>
      </c>
      <c r="H2605" s="125" t="s">
        <v>371</v>
      </c>
      <c r="I2605" s="125" t="s">
        <v>371</v>
      </c>
    </row>
    <row r="2606" spans="1:9" x14ac:dyDescent="0.25">
      <c r="A2606" s="125" t="s">
        <v>3472</v>
      </c>
      <c r="B2606" s="125" t="s">
        <v>5382</v>
      </c>
      <c r="C2606" s="125" t="s">
        <v>5383</v>
      </c>
      <c r="D2606" s="125"/>
      <c r="E2606" s="125" t="s">
        <v>5384</v>
      </c>
      <c r="F2606" s="125" t="s">
        <v>5384</v>
      </c>
      <c r="G2606" s="125" t="s">
        <v>5384</v>
      </c>
      <c r="H2606" s="125" t="s">
        <v>371</v>
      </c>
      <c r="I2606" s="125" t="s">
        <v>371</v>
      </c>
    </row>
    <row r="2607" spans="1:9" x14ac:dyDescent="0.25">
      <c r="A2607" s="125" t="s">
        <v>6165</v>
      </c>
      <c r="B2607" s="125" t="s">
        <v>5382</v>
      </c>
      <c r="C2607" s="125" t="s">
        <v>5383</v>
      </c>
      <c r="D2607" s="125"/>
      <c r="E2607" s="125" t="s">
        <v>5384</v>
      </c>
      <c r="F2607" s="125" t="s">
        <v>5384</v>
      </c>
      <c r="G2607" s="125" t="s">
        <v>5384</v>
      </c>
      <c r="H2607" s="125" t="s">
        <v>371</v>
      </c>
      <c r="I2607" s="125" t="s">
        <v>371</v>
      </c>
    </row>
    <row r="2608" spans="1:9" x14ac:dyDescent="0.25">
      <c r="A2608" s="125" t="s">
        <v>6166</v>
      </c>
      <c r="B2608" s="125" t="s">
        <v>5382</v>
      </c>
      <c r="C2608" s="125" t="s">
        <v>5383</v>
      </c>
      <c r="D2608" s="125"/>
      <c r="E2608" s="125" t="s">
        <v>5384</v>
      </c>
      <c r="F2608" s="125" t="s">
        <v>5384</v>
      </c>
      <c r="G2608" s="125" t="s">
        <v>5384</v>
      </c>
      <c r="H2608" s="125" t="s">
        <v>371</v>
      </c>
      <c r="I2608" s="125" t="s">
        <v>371</v>
      </c>
    </row>
    <row r="2609" spans="1:9" x14ac:dyDescent="0.25">
      <c r="A2609" s="125" t="s">
        <v>6167</v>
      </c>
      <c r="B2609" s="125" t="s">
        <v>5382</v>
      </c>
      <c r="C2609" s="125" t="s">
        <v>5383</v>
      </c>
      <c r="D2609" s="125"/>
      <c r="E2609" s="125" t="s">
        <v>5384</v>
      </c>
      <c r="F2609" s="125" t="s">
        <v>5384</v>
      </c>
      <c r="G2609" s="125" t="s">
        <v>5384</v>
      </c>
      <c r="H2609" s="125" t="s">
        <v>371</v>
      </c>
      <c r="I2609" s="125" t="s">
        <v>371</v>
      </c>
    </row>
    <row r="2610" spans="1:9" x14ac:dyDescent="0.25">
      <c r="A2610" s="125" t="s">
        <v>6168</v>
      </c>
      <c r="B2610" s="125" t="s">
        <v>5382</v>
      </c>
      <c r="C2610" s="125" t="s">
        <v>5383</v>
      </c>
      <c r="D2610" s="125"/>
      <c r="E2610" s="125" t="s">
        <v>5384</v>
      </c>
      <c r="F2610" s="125" t="s">
        <v>5384</v>
      </c>
      <c r="G2610" s="125" t="s">
        <v>5384</v>
      </c>
      <c r="H2610" s="125" t="s">
        <v>371</v>
      </c>
      <c r="I2610" s="125" t="s">
        <v>371</v>
      </c>
    </row>
    <row r="2611" spans="1:9" x14ac:dyDescent="0.25">
      <c r="A2611" s="125" t="s">
        <v>1617</v>
      </c>
      <c r="B2611" s="125" t="s">
        <v>5336</v>
      </c>
      <c r="C2611" s="125">
        <v>222</v>
      </c>
      <c r="D2611" s="125" t="s">
        <v>5337</v>
      </c>
      <c r="E2611" s="125" t="s">
        <v>5303</v>
      </c>
      <c r="F2611" s="125" t="s">
        <v>5304</v>
      </c>
      <c r="G2611" s="125" t="s">
        <v>5297</v>
      </c>
      <c r="H2611" s="125" t="s">
        <v>5643</v>
      </c>
      <c r="I2611" s="125" t="s">
        <v>5643</v>
      </c>
    </row>
    <row r="2612" spans="1:9" x14ac:dyDescent="0.25">
      <c r="A2612" s="125" t="s">
        <v>1619</v>
      </c>
      <c r="B2612" s="125" t="s">
        <v>5336</v>
      </c>
      <c r="C2612" s="125">
        <v>222</v>
      </c>
      <c r="D2612" s="125" t="s">
        <v>5337</v>
      </c>
      <c r="E2612" s="125" t="s">
        <v>5303</v>
      </c>
      <c r="F2612" s="125" t="s">
        <v>5304</v>
      </c>
      <c r="G2612" s="125" t="s">
        <v>5297</v>
      </c>
      <c r="H2612" s="125" t="s">
        <v>371</v>
      </c>
      <c r="I2612" s="125" t="s">
        <v>371</v>
      </c>
    </row>
    <row r="2613" spans="1:9" x14ac:dyDescent="0.25">
      <c r="A2613" s="125" t="s">
        <v>2588</v>
      </c>
      <c r="B2613" s="125" t="s">
        <v>5336</v>
      </c>
      <c r="C2613" s="125">
        <v>222</v>
      </c>
      <c r="D2613" s="125" t="s">
        <v>5337</v>
      </c>
      <c r="E2613" s="125" t="s">
        <v>5303</v>
      </c>
      <c r="F2613" s="125" t="s">
        <v>5304</v>
      </c>
      <c r="G2613" s="125" t="s">
        <v>5297</v>
      </c>
      <c r="H2613" s="125" t="s">
        <v>371</v>
      </c>
      <c r="I2613" s="125" t="s">
        <v>371</v>
      </c>
    </row>
    <row r="2614" spans="1:9" x14ac:dyDescent="0.25">
      <c r="A2614" s="125" t="s">
        <v>2983</v>
      </c>
      <c r="B2614" s="125" t="s">
        <v>5336</v>
      </c>
      <c r="C2614" s="125">
        <v>222</v>
      </c>
      <c r="D2614" s="125" t="s">
        <v>5337</v>
      </c>
      <c r="E2614" s="125" t="s">
        <v>5303</v>
      </c>
      <c r="F2614" s="125" t="s">
        <v>5304</v>
      </c>
      <c r="G2614" s="125" t="s">
        <v>5297</v>
      </c>
      <c r="H2614" s="125" t="s">
        <v>371</v>
      </c>
      <c r="I2614" s="125" t="s">
        <v>371</v>
      </c>
    </row>
    <row r="2615" spans="1:9" x14ac:dyDescent="0.25">
      <c r="A2615" s="125" t="s">
        <v>1826</v>
      </c>
      <c r="B2615" s="125" t="s">
        <v>5336</v>
      </c>
      <c r="C2615" s="125">
        <v>222</v>
      </c>
      <c r="D2615" s="125" t="s">
        <v>5337</v>
      </c>
      <c r="E2615" s="125" t="s">
        <v>5303</v>
      </c>
      <c r="F2615" s="125" t="s">
        <v>5304</v>
      </c>
      <c r="G2615" s="125" t="s">
        <v>5297</v>
      </c>
      <c r="H2615" s="125" t="s">
        <v>371</v>
      </c>
      <c r="I2615" s="125" t="s">
        <v>371</v>
      </c>
    </row>
    <row r="2616" spans="1:9" x14ac:dyDescent="0.25">
      <c r="A2616" s="125" t="s">
        <v>2172</v>
      </c>
      <c r="B2616" s="125" t="s">
        <v>5336</v>
      </c>
      <c r="C2616" s="125">
        <v>222</v>
      </c>
      <c r="D2616" s="125" t="s">
        <v>5337</v>
      </c>
      <c r="E2616" s="125" t="s">
        <v>5303</v>
      </c>
      <c r="F2616" s="125" t="s">
        <v>5304</v>
      </c>
      <c r="G2616" s="125" t="s">
        <v>5297</v>
      </c>
      <c r="H2616" s="125" t="s">
        <v>371</v>
      </c>
      <c r="I2616" s="125" t="s">
        <v>371</v>
      </c>
    </row>
    <row r="2617" spans="1:9" x14ac:dyDescent="0.25">
      <c r="A2617" s="125" t="s">
        <v>1669</v>
      </c>
      <c r="B2617" s="125" t="s">
        <v>5336</v>
      </c>
      <c r="C2617" s="125">
        <v>222</v>
      </c>
      <c r="D2617" s="125" t="s">
        <v>5337</v>
      </c>
      <c r="E2617" s="125" t="s">
        <v>5303</v>
      </c>
      <c r="F2617" s="125" t="s">
        <v>5304</v>
      </c>
      <c r="G2617" s="125" t="s">
        <v>5297</v>
      </c>
      <c r="H2617" s="125" t="s">
        <v>5643</v>
      </c>
      <c r="I2617" s="125" t="s">
        <v>5643</v>
      </c>
    </row>
    <row r="2618" spans="1:9" x14ac:dyDescent="0.25">
      <c r="A2618" s="125" t="s">
        <v>1681</v>
      </c>
      <c r="B2618" s="125" t="s">
        <v>5336</v>
      </c>
      <c r="C2618" s="125">
        <v>222</v>
      </c>
      <c r="D2618" s="125" t="s">
        <v>5337</v>
      </c>
      <c r="E2618" s="125" t="s">
        <v>5303</v>
      </c>
      <c r="F2618" s="125" t="s">
        <v>5304</v>
      </c>
      <c r="G2618" s="125" t="s">
        <v>5297</v>
      </c>
      <c r="H2618" s="125" t="s">
        <v>371</v>
      </c>
      <c r="I2618" s="125" t="s">
        <v>371</v>
      </c>
    </row>
    <row r="2619" spans="1:9" x14ac:dyDescent="0.25">
      <c r="A2619" s="125" t="s">
        <v>1621</v>
      </c>
      <c r="B2619" s="125" t="s">
        <v>5336</v>
      </c>
      <c r="C2619" s="125">
        <v>222</v>
      </c>
      <c r="D2619" s="125" t="s">
        <v>5337</v>
      </c>
      <c r="E2619" s="125" t="s">
        <v>5303</v>
      </c>
      <c r="F2619" s="125" t="s">
        <v>5304</v>
      </c>
      <c r="G2619" s="125" t="s">
        <v>5297</v>
      </c>
      <c r="H2619" s="125" t="s">
        <v>5643</v>
      </c>
      <c r="I2619" s="125" t="s">
        <v>5643</v>
      </c>
    </row>
    <row r="2620" spans="1:9" x14ac:dyDescent="0.25">
      <c r="A2620" s="125" t="s">
        <v>2020</v>
      </c>
      <c r="B2620" s="125" t="s">
        <v>5556</v>
      </c>
      <c r="C2620" s="125">
        <v>291</v>
      </c>
      <c r="D2620" s="125" t="s">
        <v>5557</v>
      </c>
      <c r="E2620" s="125" t="s">
        <v>5341</v>
      </c>
      <c r="F2620" s="140" t="s">
        <v>5342</v>
      </c>
      <c r="G2620" s="125" t="s">
        <v>5297</v>
      </c>
      <c r="H2620" s="125" t="s">
        <v>6169</v>
      </c>
      <c r="I2620" s="125" t="s">
        <v>5355</v>
      </c>
    </row>
    <row r="2621" spans="1:9" x14ac:dyDescent="0.25">
      <c r="A2621" s="125" t="s">
        <v>3422</v>
      </c>
      <c r="B2621" s="125" t="s">
        <v>5556</v>
      </c>
      <c r="C2621" s="125">
        <v>291</v>
      </c>
      <c r="D2621" s="125" t="s">
        <v>5557</v>
      </c>
      <c r="E2621" s="125" t="s">
        <v>5341</v>
      </c>
      <c r="F2621" s="140" t="s">
        <v>5342</v>
      </c>
      <c r="G2621" s="125" t="s">
        <v>5297</v>
      </c>
      <c r="H2621" s="125" t="s">
        <v>6170</v>
      </c>
      <c r="I2621" s="125" t="s">
        <v>5355</v>
      </c>
    </row>
    <row r="2622" spans="1:9" x14ac:dyDescent="0.25">
      <c r="A2622" s="125" t="s">
        <v>1079</v>
      </c>
      <c r="B2622" s="125" t="s">
        <v>5556</v>
      </c>
      <c r="C2622" s="125">
        <v>291</v>
      </c>
      <c r="D2622" s="125" t="s">
        <v>5557</v>
      </c>
      <c r="E2622" s="125" t="s">
        <v>5341</v>
      </c>
      <c r="F2622" s="140" t="s">
        <v>5342</v>
      </c>
      <c r="G2622" s="125" t="s">
        <v>5297</v>
      </c>
      <c r="H2622" s="125" t="s">
        <v>371</v>
      </c>
      <c r="I2622" s="125" t="s">
        <v>371</v>
      </c>
    </row>
    <row r="2623" spans="1:9" x14ac:dyDescent="0.25">
      <c r="A2623" s="125" t="s">
        <v>1655</v>
      </c>
      <c r="B2623" s="125" t="s">
        <v>5556</v>
      </c>
      <c r="C2623" s="125">
        <v>291</v>
      </c>
      <c r="D2623" s="125" t="s">
        <v>5557</v>
      </c>
      <c r="E2623" s="125" t="s">
        <v>5341</v>
      </c>
      <c r="F2623" s="140" t="s">
        <v>5342</v>
      </c>
      <c r="G2623" s="125" t="s">
        <v>5297</v>
      </c>
      <c r="H2623" s="125" t="s">
        <v>6170</v>
      </c>
      <c r="I2623" s="125" t="s">
        <v>5355</v>
      </c>
    </row>
    <row r="2624" spans="1:9" x14ac:dyDescent="0.25">
      <c r="A2624" s="125" t="s">
        <v>2828</v>
      </c>
      <c r="B2624" s="125" t="s">
        <v>5556</v>
      </c>
      <c r="C2624" s="125">
        <v>291</v>
      </c>
      <c r="D2624" s="125" t="s">
        <v>5557</v>
      </c>
      <c r="E2624" s="125" t="s">
        <v>5341</v>
      </c>
      <c r="F2624" s="140" t="s">
        <v>5342</v>
      </c>
      <c r="G2624" s="125" t="s">
        <v>5297</v>
      </c>
      <c r="H2624" s="125" t="s">
        <v>6170</v>
      </c>
      <c r="I2624" s="125" t="s">
        <v>5355</v>
      </c>
    </row>
    <row r="2625" spans="1:9" x14ac:dyDescent="0.25">
      <c r="A2625" s="125" t="s">
        <v>2110</v>
      </c>
      <c r="B2625" s="125" t="s">
        <v>5556</v>
      </c>
      <c r="C2625" s="125">
        <v>291</v>
      </c>
      <c r="D2625" s="125" t="s">
        <v>5557</v>
      </c>
      <c r="E2625" s="125" t="s">
        <v>5341</v>
      </c>
      <c r="F2625" s="140" t="s">
        <v>5342</v>
      </c>
      <c r="G2625" s="125" t="s">
        <v>5297</v>
      </c>
      <c r="H2625" s="125" t="s">
        <v>6170</v>
      </c>
      <c r="I2625" s="125" t="s">
        <v>5355</v>
      </c>
    </row>
    <row r="2626" spans="1:9" x14ac:dyDescent="0.25">
      <c r="A2626" s="125" t="s">
        <v>2164</v>
      </c>
      <c r="B2626" s="125" t="s">
        <v>5556</v>
      </c>
      <c r="C2626" s="125">
        <v>291</v>
      </c>
      <c r="D2626" s="125" t="s">
        <v>5557</v>
      </c>
      <c r="E2626" s="125" t="s">
        <v>5341</v>
      </c>
      <c r="F2626" s="140" t="s">
        <v>5342</v>
      </c>
      <c r="G2626" s="125" t="s">
        <v>5297</v>
      </c>
      <c r="H2626" s="125" t="s">
        <v>3359</v>
      </c>
      <c r="I2626" s="125" t="s">
        <v>5558</v>
      </c>
    </row>
    <row r="2627" spans="1:9" x14ac:dyDescent="0.25">
      <c r="A2627" s="125" t="s">
        <v>2235</v>
      </c>
      <c r="B2627" s="125" t="s">
        <v>5556</v>
      </c>
      <c r="C2627" s="125">
        <v>291</v>
      </c>
      <c r="D2627" s="125" t="s">
        <v>5557</v>
      </c>
      <c r="E2627" s="125" t="s">
        <v>5341</v>
      </c>
      <c r="F2627" s="140" t="s">
        <v>5342</v>
      </c>
      <c r="G2627" s="125" t="s">
        <v>5297</v>
      </c>
      <c r="H2627" s="125" t="s">
        <v>371</v>
      </c>
      <c r="I2627" s="125" t="s">
        <v>371</v>
      </c>
    </row>
    <row r="2628" spans="1:9" x14ac:dyDescent="0.25">
      <c r="A2628" s="125" t="s">
        <v>1567</v>
      </c>
      <c r="B2628" s="125" t="s">
        <v>5556</v>
      </c>
      <c r="C2628" s="125">
        <v>291</v>
      </c>
      <c r="D2628" s="125" t="s">
        <v>5557</v>
      </c>
      <c r="E2628" s="125" t="s">
        <v>5341</v>
      </c>
      <c r="F2628" s="140" t="s">
        <v>5342</v>
      </c>
      <c r="G2628" s="125" t="s">
        <v>5297</v>
      </c>
      <c r="H2628" s="125" t="s">
        <v>3359</v>
      </c>
      <c r="I2628" s="125" t="s">
        <v>5558</v>
      </c>
    </row>
    <row r="2629" spans="1:9" x14ac:dyDescent="0.25">
      <c r="A2629" s="125" t="s">
        <v>1569</v>
      </c>
      <c r="B2629" s="125" t="s">
        <v>5556</v>
      </c>
      <c r="C2629" s="125">
        <v>291</v>
      </c>
      <c r="D2629" s="125" t="s">
        <v>5557</v>
      </c>
      <c r="E2629" s="125" t="s">
        <v>5341</v>
      </c>
      <c r="F2629" s="140" t="s">
        <v>5342</v>
      </c>
      <c r="G2629" s="125" t="s">
        <v>5297</v>
      </c>
      <c r="H2629" s="125" t="s">
        <v>3359</v>
      </c>
      <c r="I2629" s="125" t="s">
        <v>5558</v>
      </c>
    </row>
    <row r="2630" spans="1:9" x14ac:dyDescent="0.25">
      <c r="A2630" s="125" t="s">
        <v>3305</v>
      </c>
      <c r="B2630" s="125" t="s">
        <v>5556</v>
      </c>
      <c r="C2630" s="125">
        <v>291</v>
      </c>
      <c r="D2630" s="125" t="s">
        <v>5557</v>
      </c>
      <c r="E2630" s="125" t="s">
        <v>5341</v>
      </c>
      <c r="F2630" s="140" t="s">
        <v>5342</v>
      </c>
      <c r="G2630" s="125" t="s">
        <v>5297</v>
      </c>
      <c r="H2630" s="125" t="s">
        <v>371</v>
      </c>
      <c r="I2630" s="125" t="s">
        <v>371</v>
      </c>
    </row>
    <row r="2631" spans="1:9" x14ac:dyDescent="0.25">
      <c r="A2631" s="125" t="s">
        <v>6171</v>
      </c>
      <c r="B2631" s="125" t="s">
        <v>5556</v>
      </c>
      <c r="C2631" s="125">
        <v>291</v>
      </c>
      <c r="D2631" s="125" t="s">
        <v>5557</v>
      </c>
      <c r="E2631" s="125" t="s">
        <v>5341</v>
      </c>
      <c r="F2631" s="140" t="s">
        <v>5342</v>
      </c>
      <c r="G2631" s="125" t="s">
        <v>5297</v>
      </c>
      <c r="H2631" s="125" t="s">
        <v>371</v>
      </c>
      <c r="I2631" s="125" t="s">
        <v>371</v>
      </c>
    </row>
    <row r="2632" spans="1:9" x14ac:dyDescent="0.25">
      <c r="A2632" s="125" t="s">
        <v>3143</v>
      </c>
      <c r="B2632" s="125" t="s">
        <v>5556</v>
      </c>
      <c r="C2632" s="125">
        <v>291</v>
      </c>
      <c r="D2632" s="125" t="s">
        <v>5557</v>
      </c>
      <c r="E2632" s="125" t="s">
        <v>5341</v>
      </c>
      <c r="F2632" s="140" t="s">
        <v>5342</v>
      </c>
      <c r="G2632" s="125" t="s">
        <v>5297</v>
      </c>
      <c r="H2632" s="125" t="s">
        <v>3359</v>
      </c>
      <c r="I2632" s="125" t="s">
        <v>5558</v>
      </c>
    </row>
    <row r="2633" spans="1:9" x14ac:dyDescent="0.25">
      <c r="A2633" s="125" t="s">
        <v>1568</v>
      </c>
      <c r="B2633" s="125" t="s">
        <v>5556</v>
      </c>
      <c r="C2633" s="125">
        <v>291</v>
      </c>
      <c r="D2633" s="125" t="s">
        <v>5557</v>
      </c>
      <c r="E2633" s="125" t="s">
        <v>5341</v>
      </c>
      <c r="F2633" s="140" t="s">
        <v>5342</v>
      </c>
      <c r="G2633" s="125" t="s">
        <v>5297</v>
      </c>
      <c r="H2633" s="125" t="s">
        <v>3359</v>
      </c>
      <c r="I2633" s="125" t="s">
        <v>5558</v>
      </c>
    </row>
    <row r="2634" spans="1:9" x14ac:dyDescent="0.25">
      <c r="A2634" s="125" t="s">
        <v>3463</v>
      </c>
      <c r="B2634" s="125" t="s">
        <v>5556</v>
      </c>
      <c r="C2634" s="125">
        <v>291</v>
      </c>
      <c r="D2634" s="125" t="s">
        <v>5557</v>
      </c>
      <c r="E2634" s="125" t="s">
        <v>5341</v>
      </c>
      <c r="F2634" s="140" t="s">
        <v>5342</v>
      </c>
      <c r="G2634" s="125" t="s">
        <v>5297</v>
      </c>
      <c r="H2634" s="125" t="s">
        <v>3359</v>
      </c>
      <c r="I2634" s="125" t="s">
        <v>5558</v>
      </c>
    </row>
    <row r="2635" spans="1:9" x14ac:dyDescent="0.25">
      <c r="A2635" s="125" t="s">
        <v>1080</v>
      </c>
      <c r="B2635" s="125" t="s">
        <v>5556</v>
      </c>
      <c r="C2635" s="125">
        <v>291</v>
      </c>
      <c r="D2635" s="125" t="s">
        <v>5557</v>
      </c>
      <c r="E2635" s="125" t="s">
        <v>5341</v>
      </c>
      <c r="F2635" s="140" t="s">
        <v>5342</v>
      </c>
      <c r="G2635" s="125" t="s">
        <v>5297</v>
      </c>
      <c r="H2635" s="125" t="s">
        <v>3359</v>
      </c>
      <c r="I2635" s="125" t="s">
        <v>5558</v>
      </c>
    </row>
    <row r="2636" spans="1:9" x14ac:dyDescent="0.25">
      <c r="A2636" s="125" t="s">
        <v>1571</v>
      </c>
      <c r="B2636" s="125" t="s">
        <v>5556</v>
      </c>
      <c r="C2636" s="125">
        <v>291</v>
      </c>
      <c r="D2636" s="125" t="s">
        <v>5557</v>
      </c>
      <c r="E2636" s="125" t="s">
        <v>5341</v>
      </c>
      <c r="F2636" s="140" t="s">
        <v>5342</v>
      </c>
      <c r="G2636" s="125" t="s">
        <v>5297</v>
      </c>
      <c r="H2636" s="125" t="s">
        <v>1570</v>
      </c>
      <c r="I2636" s="125" t="s">
        <v>5558</v>
      </c>
    </row>
    <row r="2637" spans="1:9" x14ac:dyDescent="0.25">
      <c r="A2637" s="125" t="s">
        <v>1771</v>
      </c>
      <c r="B2637" s="125" t="s">
        <v>5556</v>
      </c>
      <c r="C2637" s="125">
        <v>291</v>
      </c>
      <c r="D2637" s="125" t="s">
        <v>5557</v>
      </c>
      <c r="E2637" s="125" t="s">
        <v>5341</v>
      </c>
      <c r="F2637" s="140" t="s">
        <v>5342</v>
      </c>
      <c r="G2637" s="125" t="s">
        <v>5297</v>
      </c>
      <c r="H2637" s="125" t="s">
        <v>1570</v>
      </c>
      <c r="I2637" s="125" t="s">
        <v>5558</v>
      </c>
    </row>
    <row r="2638" spans="1:9" x14ac:dyDescent="0.25">
      <c r="A2638" s="125" t="s">
        <v>1685</v>
      </c>
      <c r="B2638" s="125" t="s">
        <v>5556</v>
      </c>
      <c r="C2638" s="125">
        <v>291</v>
      </c>
      <c r="D2638" s="125" t="s">
        <v>5557</v>
      </c>
      <c r="E2638" s="125" t="s">
        <v>5341</v>
      </c>
      <c r="F2638" s="140" t="s">
        <v>5342</v>
      </c>
      <c r="G2638" s="125" t="s">
        <v>5297</v>
      </c>
      <c r="H2638" s="125" t="s">
        <v>1570</v>
      </c>
      <c r="I2638" s="125" t="s">
        <v>5558</v>
      </c>
    </row>
    <row r="2639" spans="1:9" x14ac:dyDescent="0.25">
      <c r="A2639" s="125" t="s">
        <v>3151</v>
      </c>
      <c r="B2639" s="125" t="s">
        <v>5556</v>
      </c>
      <c r="C2639" s="125">
        <v>291</v>
      </c>
      <c r="D2639" s="125" t="s">
        <v>5557</v>
      </c>
      <c r="E2639" s="125" t="s">
        <v>5341</v>
      </c>
      <c r="F2639" s="140" t="s">
        <v>5342</v>
      </c>
      <c r="G2639" s="125" t="s">
        <v>5297</v>
      </c>
      <c r="H2639" s="125" t="s">
        <v>1570</v>
      </c>
      <c r="I2639" s="125" t="s">
        <v>5558</v>
      </c>
    </row>
    <row r="2640" spans="1:9" x14ac:dyDescent="0.25">
      <c r="A2640" s="125" t="s">
        <v>2845</v>
      </c>
      <c r="B2640" s="125" t="s">
        <v>5556</v>
      </c>
      <c r="C2640" s="125">
        <v>291</v>
      </c>
      <c r="D2640" s="125" t="s">
        <v>5557</v>
      </c>
      <c r="E2640" s="125" t="s">
        <v>5341</v>
      </c>
      <c r="F2640" s="140" t="s">
        <v>5342</v>
      </c>
      <c r="G2640" s="125" t="s">
        <v>5297</v>
      </c>
      <c r="H2640" s="125" t="s">
        <v>371</v>
      </c>
      <c r="I2640" s="125" t="s">
        <v>371</v>
      </c>
    </row>
    <row r="2641" spans="1:9" x14ac:dyDescent="0.25">
      <c r="A2641" s="125" t="s">
        <v>3490</v>
      </c>
      <c r="B2641" s="125" t="s">
        <v>5556</v>
      </c>
      <c r="C2641" s="125">
        <v>291</v>
      </c>
      <c r="D2641" s="125" t="s">
        <v>5557</v>
      </c>
      <c r="E2641" s="125" t="s">
        <v>5341</v>
      </c>
      <c r="F2641" s="140" t="s">
        <v>5342</v>
      </c>
      <c r="G2641" s="125" t="s">
        <v>5297</v>
      </c>
      <c r="H2641" s="125" t="s">
        <v>371</v>
      </c>
      <c r="I2641" s="125" t="s">
        <v>371</v>
      </c>
    </row>
    <row r="2642" spans="1:9" x14ac:dyDescent="0.25">
      <c r="A2642" s="125" t="s">
        <v>3330</v>
      </c>
      <c r="B2642" s="125" t="s">
        <v>5556</v>
      </c>
      <c r="C2642" s="125">
        <v>291</v>
      </c>
      <c r="D2642" s="125" t="s">
        <v>5557</v>
      </c>
      <c r="E2642" s="125" t="s">
        <v>5341</v>
      </c>
      <c r="F2642" s="140" t="s">
        <v>5342</v>
      </c>
      <c r="G2642" s="125" t="s">
        <v>5297</v>
      </c>
      <c r="H2642" s="125" t="s">
        <v>6169</v>
      </c>
      <c r="I2642" s="125" t="s">
        <v>5355</v>
      </c>
    </row>
    <row r="2643" spans="1:9" x14ac:dyDescent="0.25">
      <c r="A2643" s="125" t="s">
        <v>6172</v>
      </c>
      <c r="B2643" s="125" t="s">
        <v>5556</v>
      </c>
      <c r="C2643" s="125">
        <v>291</v>
      </c>
      <c r="D2643" s="125" t="s">
        <v>5557</v>
      </c>
      <c r="E2643" s="125" t="s">
        <v>5341</v>
      </c>
      <c r="F2643" s="140" t="s">
        <v>5342</v>
      </c>
      <c r="G2643" s="125" t="s">
        <v>5297</v>
      </c>
      <c r="H2643" s="125" t="s">
        <v>1148</v>
      </c>
      <c r="I2643" s="125" t="s">
        <v>5355</v>
      </c>
    </row>
    <row r="2644" spans="1:9" x14ac:dyDescent="0.25">
      <c r="A2644" s="125" t="s">
        <v>3013</v>
      </c>
      <c r="B2644" s="125" t="s">
        <v>5556</v>
      </c>
      <c r="C2644" s="125">
        <v>291</v>
      </c>
      <c r="D2644" s="125" t="s">
        <v>5557</v>
      </c>
      <c r="E2644" s="125" t="s">
        <v>5341</v>
      </c>
      <c r="F2644" s="140" t="s">
        <v>5342</v>
      </c>
      <c r="G2644" s="125" t="s">
        <v>5297</v>
      </c>
      <c r="H2644" s="125" t="s">
        <v>1148</v>
      </c>
      <c r="I2644" s="125" t="s">
        <v>5355</v>
      </c>
    </row>
    <row r="2645" spans="1:9" x14ac:dyDescent="0.25">
      <c r="A2645" s="125" t="s">
        <v>2241</v>
      </c>
      <c r="B2645" s="125" t="s">
        <v>5556</v>
      </c>
      <c r="C2645" s="125">
        <v>291</v>
      </c>
      <c r="D2645" s="125" t="s">
        <v>5557</v>
      </c>
      <c r="E2645" s="125" t="s">
        <v>5341</v>
      </c>
      <c r="F2645" s="140" t="s">
        <v>5342</v>
      </c>
      <c r="G2645" s="125" t="s">
        <v>5297</v>
      </c>
      <c r="H2645" s="125" t="s">
        <v>6170</v>
      </c>
      <c r="I2645" s="125" t="s">
        <v>5355</v>
      </c>
    </row>
    <row r="2646" spans="1:9" x14ac:dyDescent="0.25">
      <c r="A2646" s="125" t="s">
        <v>3576</v>
      </c>
      <c r="B2646" s="125" t="s">
        <v>5556</v>
      </c>
      <c r="C2646" s="125">
        <v>291</v>
      </c>
      <c r="D2646" s="125" t="s">
        <v>5557</v>
      </c>
      <c r="E2646" s="125" t="s">
        <v>5341</v>
      </c>
      <c r="F2646" s="140" t="s">
        <v>5342</v>
      </c>
      <c r="G2646" s="125" t="s">
        <v>5297</v>
      </c>
      <c r="H2646" s="125" t="s">
        <v>1148</v>
      </c>
      <c r="I2646" s="125" t="s">
        <v>5355</v>
      </c>
    </row>
    <row r="2647" spans="1:9" x14ac:dyDescent="0.25">
      <c r="A2647" s="125" t="s">
        <v>2242</v>
      </c>
      <c r="B2647" s="125" t="s">
        <v>5556</v>
      </c>
      <c r="C2647" s="125">
        <v>291</v>
      </c>
      <c r="D2647" s="125" t="s">
        <v>5557</v>
      </c>
      <c r="E2647" s="125" t="s">
        <v>5341</v>
      </c>
      <c r="F2647" s="140" t="s">
        <v>5342</v>
      </c>
      <c r="G2647" s="125" t="s">
        <v>5297</v>
      </c>
      <c r="H2647" s="125" t="s">
        <v>371</v>
      </c>
      <c r="I2647" s="125" t="s">
        <v>371</v>
      </c>
    </row>
    <row r="2648" spans="1:9" x14ac:dyDescent="0.25">
      <c r="A2648" s="125" t="s">
        <v>1149</v>
      </c>
      <c r="B2648" s="125" t="s">
        <v>5556</v>
      </c>
      <c r="C2648" s="125">
        <v>291</v>
      </c>
      <c r="D2648" s="125" t="s">
        <v>5557</v>
      </c>
      <c r="E2648" s="125" t="s">
        <v>5341</v>
      </c>
      <c r="F2648" s="140" t="s">
        <v>5342</v>
      </c>
      <c r="G2648" s="125" t="s">
        <v>5297</v>
      </c>
      <c r="H2648" s="125" t="s">
        <v>371</v>
      </c>
      <c r="I2648" s="125" t="s">
        <v>371</v>
      </c>
    </row>
    <row r="2649" spans="1:9" x14ac:dyDescent="0.25">
      <c r="A2649" s="125" t="s">
        <v>2243</v>
      </c>
      <c r="B2649" s="125" t="s">
        <v>5513</v>
      </c>
      <c r="C2649" s="125">
        <v>238</v>
      </c>
      <c r="D2649" s="125" t="s">
        <v>5514</v>
      </c>
      <c r="E2649" s="125" t="s">
        <v>5364</v>
      </c>
      <c r="F2649" s="125" t="s">
        <v>5365</v>
      </c>
      <c r="G2649" s="125" t="s">
        <v>5297</v>
      </c>
      <c r="H2649" s="125" t="s">
        <v>6130</v>
      </c>
      <c r="I2649" s="125" t="s">
        <v>5375</v>
      </c>
    </row>
    <row r="2650" spans="1:9" x14ac:dyDescent="0.25">
      <c r="A2650" s="125" t="s">
        <v>2271</v>
      </c>
      <c r="B2650" s="125" t="s">
        <v>5513</v>
      </c>
      <c r="C2650" s="125">
        <v>238</v>
      </c>
      <c r="D2650" s="125" t="s">
        <v>5514</v>
      </c>
      <c r="E2650" s="125" t="s">
        <v>5364</v>
      </c>
      <c r="F2650" s="125" t="s">
        <v>5365</v>
      </c>
      <c r="G2650" s="125" t="s">
        <v>5297</v>
      </c>
      <c r="H2650" s="125" t="s">
        <v>6130</v>
      </c>
      <c r="I2650" s="125" t="s">
        <v>5375</v>
      </c>
    </row>
    <row r="2651" spans="1:9" x14ac:dyDescent="0.25">
      <c r="A2651" s="125" t="s">
        <v>1320</v>
      </c>
      <c r="B2651" s="125" t="s">
        <v>5513</v>
      </c>
      <c r="C2651" s="125">
        <v>238</v>
      </c>
      <c r="D2651" s="125" t="s">
        <v>5514</v>
      </c>
      <c r="E2651" s="125" t="s">
        <v>5364</v>
      </c>
      <c r="F2651" s="125" t="s">
        <v>5365</v>
      </c>
      <c r="G2651" s="125" t="s">
        <v>5297</v>
      </c>
      <c r="H2651" s="125" t="s">
        <v>6130</v>
      </c>
      <c r="I2651" s="125" t="s">
        <v>5375</v>
      </c>
    </row>
    <row r="2652" spans="1:9" x14ac:dyDescent="0.25">
      <c r="A2652" s="125" t="s">
        <v>1581</v>
      </c>
      <c r="B2652" s="125" t="s">
        <v>5513</v>
      </c>
      <c r="C2652" s="125">
        <v>238</v>
      </c>
      <c r="D2652" s="125" t="s">
        <v>5514</v>
      </c>
      <c r="E2652" s="125" t="s">
        <v>5364</v>
      </c>
      <c r="F2652" s="125" t="s">
        <v>5365</v>
      </c>
      <c r="G2652" s="125" t="s">
        <v>5297</v>
      </c>
      <c r="H2652" s="125" t="s">
        <v>6130</v>
      </c>
      <c r="I2652" s="125" t="s">
        <v>5375</v>
      </c>
    </row>
    <row r="2653" spans="1:9" x14ac:dyDescent="0.25">
      <c r="A2653" s="125" t="s">
        <v>2853</v>
      </c>
      <c r="B2653" s="125" t="s">
        <v>5513</v>
      </c>
      <c r="C2653" s="125">
        <v>238</v>
      </c>
      <c r="D2653" s="125" t="s">
        <v>5514</v>
      </c>
      <c r="E2653" s="125" t="s">
        <v>5364</v>
      </c>
      <c r="F2653" s="125" t="s">
        <v>5365</v>
      </c>
      <c r="G2653" s="125" t="s">
        <v>5297</v>
      </c>
      <c r="H2653" s="125" t="s">
        <v>2308</v>
      </c>
      <c r="I2653" s="125" t="s">
        <v>5375</v>
      </c>
    </row>
    <row r="2654" spans="1:9" x14ac:dyDescent="0.25">
      <c r="A2654" s="125" t="s">
        <v>2300</v>
      </c>
      <c r="B2654" s="125" t="s">
        <v>5513</v>
      </c>
      <c r="C2654" s="125">
        <v>238</v>
      </c>
      <c r="D2654" s="125" t="s">
        <v>5514</v>
      </c>
      <c r="E2654" s="125" t="s">
        <v>5364</v>
      </c>
      <c r="F2654" s="125" t="s">
        <v>5365</v>
      </c>
      <c r="G2654" s="125" t="s">
        <v>5297</v>
      </c>
      <c r="H2654" s="125" t="s">
        <v>2308</v>
      </c>
      <c r="I2654" s="125" t="s">
        <v>5375</v>
      </c>
    </row>
    <row r="2655" spans="1:9" x14ac:dyDescent="0.25">
      <c r="A2655" s="125" t="s">
        <v>2974</v>
      </c>
      <c r="B2655" s="125" t="s">
        <v>5513</v>
      </c>
      <c r="C2655" s="125">
        <v>238</v>
      </c>
      <c r="D2655" s="125" t="s">
        <v>5514</v>
      </c>
      <c r="E2655" s="125" t="s">
        <v>5364</v>
      </c>
      <c r="F2655" s="125" t="s">
        <v>5365</v>
      </c>
      <c r="G2655" s="125" t="s">
        <v>5297</v>
      </c>
      <c r="H2655" s="125" t="s">
        <v>6173</v>
      </c>
      <c r="I2655" s="125" t="s">
        <v>1953</v>
      </c>
    </row>
    <row r="2656" spans="1:9" x14ac:dyDescent="0.25">
      <c r="A2656" s="125" t="s">
        <v>2801</v>
      </c>
      <c r="B2656" s="125" t="s">
        <v>5513</v>
      </c>
      <c r="C2656" s="125">
        <v>238</v>
      </c>
      <c r="D2656" s="125" t="s">
        <v>5514</v>
      </c>
      <c r="E2656" s="125" t="s">
        <v>5364</v>
      </c>
      <c r="F2656" s="125" t="s">
        <v>5365</v>
      </c>
      <c r="G2656" s="125" t="s">
        <v>5297</v>
      </c>
      <c r="H2656" s="125" t="s">
        <v>6173</v>
      </c>
      <c r="I2656" s="125" t="s">
        <v>1953</v>
      </c>
    </row>
    <row r="2657" spans="1:9" x14ac:dyDescent="0.25">
      <c r="A2657" s="125" t="s">
        <v>2860</v>
      </c>
      <c r="B2657" s="125" t="s">
        <v>5513</v>
      </c>
      <c r="C2657" s="125">
        <v>238</v>
      </c>
      <c r="D2657" s="125" t="s">
        <v>5514</v>
      </c>
      <c r="E2657" s="125" t="s">
        <v>5364</v>
      </c>
      <c r="F2657" s="125" t="s">
        <v>5365</v>
      </c>
      <c r="G2657" s="125" t="s">
        <v>5297</v>
      </c>
      <c r="H2657" s="125" t="s">
        <v>6173</v>
      </c>
      <c r="I2657" s="125" t="s">
        <v>1953</v>
      </c>
    </row>
    <row r="2658" spans="1:9" x14ac:dyDescent="0.25">
      <c r="A2658" s="125" t="s">
        <v>1785</v>
      </c>
      <c r="B2658" s="125" t="s">
        <v>5513</v>
      </c>
      <c r="C2658" s="125">
        <v>238</v>
      </c>
      <c r="D2658" s="125" t="s">
        <v>5514</v>
      </c>
      <c r="E2658" s="125" t="s">
        <v>5364</v>
      </c>
      <c r="F2658" s="125" t="s">
        <v>5365</v>
      </c>
      <c r="G2658" s="125" t="s">
        <v>5297</v>
      </c>
      <c r="H2658" s="125" t="s">
        <v>6173</v>
      </c>
      <c r="I2658" s="125" t="s">
        <v>1953</v>
      </c>
    </row>
    <row r="2659" spans="1:9" x14ac:dyDescent="0.25">
      <c r="A2659" s="125" t="s">
        <v>1887</v>
      </c>
      <c r="B2659" s="125" t="s">
        <v>5513</v>
      </c>
      <c r="C2659" s="125">
        <v>238</v>
      </c>
      <c r="D2659" s="125" t="s">
        <v>5514</v>
      </c>
      <c r="E2659" s="125" t="s">
        <v>5364</v>
      </c>
      <c r="F2659" s="125" t="s">
        <v>5365</v>
      </c>
      <c r="G2659" s="125" t="s">
        <v>5297</v>
      </c>
      <c r="H2659" s="125" t="s">
        <v>6173</v>
      </c>
      <c r="I2659" s="125" t="s">
        <v>1953</v>
      </c>
    </row>
    <row r="2660" spans="1:9" x14ac:dyDescent="0.25">
      <c r="A2660" s="125" t="s">
        <v>3075</v>
      </c>
      <c r="B2660" s="125" t="s">
        <v>5513</v>
      </c>
      <c r="C2660" s="125">
        <v>238</v>
      </c>
      <c r="D2660" s="125" t="s">
        <v>5514</v>
      </c>
      <c r="E2660" s="125" t="s">
        <v>5364</v>
      </c>
      <c r="F2660" s="125" t="s">
        <v>5365</v>
      </c>
      <c r="G2660" s="125" t="s">
        <v>5297</v>
      </c>
      <c r="H2660" s="125" t="s">
        <v>6130</v>
      </c>
      <c r="I2660" s="125" t="s">
        <v>5375</v>
      </c>
    </row>
    <row r="2661" spans="1:9" x14ac:dyDescent="0.25">
      <c r="A2661" s="125" t="s">
        <v>2098</v>
      </c>
      <c r="B2661" s="125" t="s">
        <v>5513</v>
      </c>
      <c r="C2661" s="125">
        <v>238</v>
      </c>
      <c r="D2661" s="125" t="s">
        <v>5514</v>
      </c>
      <c r="E2661" s="125" t="s">
        <v>5364</v>
      </c>
      <c r="F2661" s="125" t="s">
        <v>5365</v>
      </c>
      <c r="G2661" s="125" t="s">
        <v>5297</v>
      </c>
      <c r="H2661" s="125" t="s">
        <v>5697</v>
      </c>
      <c r="I2661" s="125" t="s">
        <v>1953</v>
      </c>
    </row>
    <row r="2662" spans="1:9" x14ac:dyDescent="0.25">
      <c r="A2662" s="125" t="s">
        <v>2309</v>
      </c>
      <c r="B2662" s="125" t="s">
        <v>5513</v>
      </c>
      <c r="C2662" s="125">
        <v>238</v>
      </c>
      <c r="D2662" s="125" t="s">
        <v>5514</v>
      </c>
      <c r="E2662" s="125" t="s">
        <v>5364</v>
      </c>
      <c r="F2662" s="125" t="s">
        <v>5365</v>
      </c>
      <c r="G2662" s="125" t="s">
        <v>5297</v>
      </c>
      <c r="H2662" s="125" t="s">
        <v>2308</v>
      </c>
      <c r="I2662" s="125" t="s">
        <v>5375</v>
      </c>
    </row>
    <row r="2663" spans="1:9" x14ac:dyDescent="0.25">
      <c r="A2663" s="125" t="s">
        <v>3197</v>
      </c>
      <c r="B2663" s="125" t="s">
        <v>5513</v>
      </c>
      <c r="C2663" s="125">
        <v>238</v>
      </c>
      <c r="D2663" s="125" t="s">
        <v>5514</v>
      </c>
      <c r="E2663" s="125" t="s">
        <v>5364</v>
      </c>
      <c r="F2663" s="125" t="s">
        <v>5365</v>
      </c>
      <c r="G2663" s="125" t="s">
        <v>5297</v>
      </c>
      <c r="H2663" s="125" t="s">
        <v>2308</v>
      </c>
      <c r="I2663" s="125" t="s">
        <v>5375</v>
      </c>
    </row>
    <row r="2664" spans="1:9" x14ac:dyDescent="0.25">
      <c r="A2664" s="125" t="s">
        <v>2880</v>
      </c>
      <c r="B2664" s="125" t="s">
        <v>5513</v>
      </c>
      <c r="C2664" s="125">
        <v>238</v>
      </c>
      <c r="D2664" s="125" t="s">
        <v>5514</v>
      </c>
      <c r="E2664" s="125" t="s">
        <v>5364</v>
      </c>
      <c r="F2664" s="125" t="s">
        <v>5365</v>
      </c>
      <c r="G2664" s="125" t="s">
        <v>5297</v>
      </c>
      <c r="H2664" s="125" t="s">
        <v>371</v>
      </c>
      <c r="I2664" s="125" t="s">
        <v>371</v>
      </c>
    </row>
    <row r="2665" spans="1:9" x14ac:dyDescent="0.25">
      <c r="A2665" s="125" t="s">
        <v>6174</v>
      </c>
      <c r="B2665" s="125" t="s">
        <v>5513</v>
      </c>
      <c r="C2665" s="125">
        <v>238</v>
      </c>
      <c r="D2665" s="125" t="s">
        <v>5514</v>
      </c>
      <c r="E2665" s="125" t="s">
        <v>5364</v>
      </c>
      <c r="F2665" s="125" t="s">
        <v>5365</v>
      </c>
      <c r="G2665" s="125" t="s">
        <v>5297</v>
      </c>
      <c r="H2665" s="125" t="s">
        <v>5712</v>
      </c>
      <c r="I2665" s="125" t="s">
        <v>5375</v>
      </c>
    </row>
    <row r="2666" spans="1:9" x14ac:dyDescent="0.25">
      <c r="A2666" s="125" t="s">
        <v>2106</v>
      </c>
      <c r="B2666" s="125" t="s">
        <v>5513</v>
      </c>
      <c r="C2666" s="125">
        <v>238</v>
      </c>
      <c r="D2666" s="125" t="s">
        <v>5514</v>
      </c>
      <c r="E2666" s="125" t="s">
        <v>5364</v>
      </c>
      <c r="F2666" s="125" t="s">
        <v>5365</v>
      </c>
      <c r="G2666" s="125" t="s">
        <v>5297</v>
      </c>
      <c r="H2666" s="125" t="s">
        <v>2308</v>
      </c>
      <c r="I2666" s="125" t="s">
        <v>5375</v>
      </c>
    </row>
    <row r="2667" spans="1:9" x14ac:dyDescent="0.25">
      <c r="A2667" s="125" t="s">
        <v>2297</v>
      </c>
      <c r="B2667" s="125" t="s">
        <v>5513</v>
      </c>
      <c r="C2667" s="125">
        <v>238</v>
      </c>
      <c r="D2667" s="125" t="s">
        <v>5514</v>
      </c>
      <c r="E2667" s="125" t="s">
        <v>5364</v>
      </c>
      <c r="F2667" s="125" t="s">
        <v>5365</v>
      </c>
      <c r="G2667" s="125" t="s">
        <v>5297</v>
      </c>
      <c r="H2667" s="125" t="s">
        <v>2308</v>
      </c>
      <c r="I2667" s="125" t="s">
        <v>5375</v>
      </c>
    </row>
    <row r="2668" spans="1:9" x14ac:dyDescent="0.25">
      <c r="A2668" s="125" t="s">
        <v>1591</v>
      </c>
      <c r="B2668" s="125" t="s">
        <v>5513</v>
      </c>
      <c r="C2668" s="125">
        <v>238</v>
      </c>
      <c r="D2668" s="125" t="s">
        <v>5514</v>
      </c>
      <c r="E2668" s="125" t="s">
        <v>5364</v>
      </c>
      <c r="F2668" s="125" t="s">
        <v>5365</v>
      </c>
      <c r="G2668" s="125" t="s">
        <v>5297</v>
      </c>
      <c r="H2668" s="125" t="s">
        <v>6130</v>
      </c>
      <c r="I2668" s="125" t="s">
        <v>5375</v>
      </c>
    </row>
    <row r="2669" spans="1:9" x14ac:dyDescent="0.25">
      <c r="A2669" s="125" t="s">
        <v>6175</v>
      </c>
      <c r="B2669" s="125" t="s">
        <v>5716</v>
      </c>
      <c r="C2669" s="125">
        <v>229</v>
      </c>
      <c r="D2669" s="125" t="s">
        <v>5717</v>
      </c>
      <c r="E2669" s="125" t="s">
        <v>5295</v>
      </c>
      <c r="F2669" s="125" t="s">
        <v>5296</v>
      </c>
      <c r="G2669" s="125" t="s">
        <v>5297</v>
      </c>
      <c r="H2669" s="125" t="s">
        <v>371</v>
      </c>
      <c r="I2669" s="125" t="s">
        <v>371</v>
      </c>
    </row>
    <row r="2670" spans="1:9" x14ac:dyDescent="0.25">
      <c r="A2670" s="125" t="s">
        <v>2636</v>
      </c>
      <c r="B2670" s="125" t="s">
        <v>5716</v>
      </c>
      <c r="C2670" s="125">
        <v>229</v>
      </c>
      <c r="D2670" s="125" t="s">
        <v>5717</v>
      </c>
      <c r="E2670" s="125" t="s">
        <v>5295</v>
      </c>
      <c r="F2670" s="125" t="s">
        <v>5296</v>
      </c>
      <c r="G2670" s="125" t="s">
        <v>5297</v>
      </c>
      <c r="H2670" s="125" t="s">
        <v>5712</v>
      </c>
      <c r="I2670" s="125" t="s">
        <v>5375</v>
      </c>
    </row>
    <row r="2671" spans="1:9" x14ac:dyDescent="0.25">
      <c r="A2671" s="125" t="s">
        <v>6176</v>
      </c>
      <c r="B2671" s="125" t="s">
        <v>5716</v>
      </c>
      <c r="C2671" s="125">
        <v>229</v>
      </c>
      <c r="D2671" s="125" t="s">
        <v>5717</v>
      </c>
      <c r="E2671" s="125" t="s">
        <v>5295</v>
      </c>
      <c r="F2671" s="125" t="s">
        <v>5296</v>
      </c>
      <c r="G2671" s="125" t="s">
        <v>5297</v>
      </c>
      <c r="H2671" s="125" t="s">
        <v>371</v>
      </c>
      <c r="I2671" s="125" t="s">
        <v>371</v>
      </c>
    </row>
    <row r="2672" spans="1:9" x14ac:dyDescent="0.25">
      <c r="A2672" s="125" t="s">
        <v>3451</v>
      </c>
      <c r="B2672" s="125" t="s">
        <v>5716</v>
      </c>
      <c r="C2672" s="125">
        <v>229</v>
      </c>
      <c r="D2672" s="125" t="s">
        <v>5717</v>
      </c>
      <c r="E2672" s="125" t="s">
        <v>5295</v>
      </c>
      <c r="F2672" s="125" t="s">
        <v>5296</v>
      </c>
      <c r="G2672" s="125" t="s">
        <v>5297</v>
      </c>
      <c r="H2672" s="125" t="s">
        <v>371</v>
      </c>
      <c r="I2672" s="125" t="s">
        <v>371</v>
      </c>
    </row>
    <row r="2673" spans="1:9" x14ac:dyDescent="0.25">
      <c r="A2673" s="125" t="s">
        <v>3031</v>
      </c>
      <c r="B2673" s="125" t="s">
        <v>5716</v>
      </c>
      <c r="C2673" s="125">
        <v>229</v>
      </c>
      <c r="D2673" s="125" t="s">
        <v>5717</v>
      </c>
      <c r="E2673" s="125" t="s">
        <v>5295</v>
      </c>
      <c r="F2673" s="125" t="s">
        <v>5296</v>
      </c>
      <c r="G2673" s="125" t="s">
        <v>5297</v>
      </c>
      <c r="H2673" s="125" t="s">
        <v>5712</v>
      </c>
      <c r="I2673" s="125" t="s">
        <v>5375</v>
      </c>
    </row>
    <row r="2674" spans="1:9" x14ac:dyDescent="0.25">
      <c r="A2674" s="125" t="s">
        <v>3063</v>
      </c>
      <c r="B2674" s="125" t="s">
        <v>5716</v>
      </c>
      <c r="C2674" s="125">
        <v>229</v>
      </c>
      <c r="D2674" s="125" t="s">
        <v>5717</v>
      </c>
      <c r="E2674" s="125" t="s">
        <v>5295</v>
      </c>
      <c r="F2674" s="125" t="s">
        <v>5296</v>
      </c>
      <c r="G2674" s="125" t="s">
        <v>5297</v>
      </c>
      <c r="H2674" s="125" t="s">
        <v>5712</v>
      </c>
      <c r="I2674" s="125" t="s">
        <v>5375</v>
      </c>
    </row>
    <row r="2675" spans="1:9" x14ac:dyDescent="0.25">
      <c r="A2675" s="125" t="s">
        <v>2818</v>
      </c>
      <c r="B2675" s="125" t="s">
        <v>5716</v>
      </c>
      <c r="C2675" s="125">
        <v>229</v>
      </c>
      <c r="D2675" s="125" t="s">
        <v>5717</v>
      </c>
      <c r="E2675" s="125" t="s">
        <v>5295</v>
      </c>
      <c r="F2675" s="125" t="s">
        <v>5296</v>
      </c>
      <c r="G2675" s="125" t="s">
        <v>5297</v>
      </c>
      <c r="H2675" s="125" t="s">
        <v>371</v>
      </c>
      <c r="I2675" s="125" t="s">
        <v>371</v>
      </c>
    </row>
    <row r="2676" spans="1:9" x14ac:dyDescent="0.25">
      <c r="A2676" s="125" t="s">
        <v>3277</v>
      </c>
      <c r="B2676" s="125" t="s">
        <v>5716</v>
      </c>
      <c r="C2676" s="125">
        <v>229</v>
      </c>
      <c r="D2676" s="125" t="s">
        <v>5717</v>
      </c>
      <c r="E2676" s="125" t="s">
        <v>5295</v>
      </c>
      <c r="F2676" s="125" t="s">
        <v>5296</v>
      </c>
      <c r="G2676" s="125" t="s">
        <v>5297</v>
      </c>
      <c r="H2676" s="125" t="s">
        <v>3420</v>
      </c>
      <c r="I2676" s="125" t="s">
        <v>5375</v>
      </c>
    </row>
    <row r="2677" spans="1:9" x14ac:dyDescent="0.25">
      <c r="A2677" s="125" t="s">
        <v>1338</v>
      </c>
      <c r="B2677" s="125" t="s">
        <v>5716</v>
      </c>
      <c r="C2677" s="125">
        <v>229</v>
      </c>
      <c r="D2677" s="125" t="s">
        <v>5717</v>
      </c>
      <c r="E2677" s="125" t="s">
        <v>5295</v>
      </c>
      <c r="F2677" s="125" t="s">
        <v>5296</v>
      </c>
      <c r="G2677" s="125" t="s">
        <v>5297</v>
      </c>
      <c r="H2677" s="125" t="s">
        <v>5712</v>
      </c>
      <c r="I2677" s="125" t="s">
        <v>5375</v>
      </c>
    </row>
    <row r="2678" spans="1:9" x14ac:dyDescent="0.25">
      <c r="A2678" s="125" t="s">
        <v>1982</v>
      </c>
      <c r="B2678" s="125" t="s">
        <v>5716</v>
      </c>
      <c r="C2678" s="125">
        <v>229</v>
      </c>
      <c r="D2678" s="125" t="s">
        <v>5717</v>
      </c>
      <c r="E2678" s="125" t="s">
        <v>5295</v>
      </c>
      <c r="F2678" s="125" t="s">
        <v>5296</v>
      </c>
      <c r="G2678" s="125" t="s">
        <v>5297</v>
      </c>
      <c r="H2678" s="125" t="s">
        <v>5712</v>
      </c>
      <c r="I2678" s="125" t="s">
        <v>5375</v>
      </c>
    </row>
    <row r="2679" spans="1:9" x14ac:dyDescent="0.25">
      <c r="A2679" s="125" t="s">
        <v>2381</v>
      </c>
      <c r="B2679" s="125" t="s">
        <v>5716</v>
      </c>
      <c r="C2679" s="125">
        <v>229</v>
      </c>
      <c r="D2679" s="125" t="s">
        <v>5717</v>
      </c>
      <c r="E2679" s="125" t="s">
        <v>5295</v>
      </c>
      <c r="F2679" s="125" t="s">
        <v>5296</v>
      </c>
      <c r="G2679" s="125" t="s">
        <v>5297</v>
      </c>
      <c r="H2679" s="125" t="s">
        <v>5712</v>
      </c>
      <c r="I2679" s="125" t="s">
        <v>5375</v>
      </c>
    </row>
    <row r="2680" spans="1:9" x14ac:dyDescent="0.25">
      <c r="A2680" s="125" t="s">
        <v>3486</v>
      </c>
      <c r="B2680" s="125" t="s">
        <v>5588</v>
      </c>
      <c r="C2680" s="125">
        <v>243</v>
      </c>
      <c r="D2680" s="125" t="s">
        <v>5589</v>
      </c>
      <c r="E2680" s="125" t="s">
        <v>5364</v>
      </c>
      <c r="F2680" s="125" t="s">
        <v>5365</v>
      </c>
      <c r="G2680" s="125" t="s">
        <v>5297</v>
      </c>
      <c r="H2680" s="125" t="s">
        <v>6128</v>
      </c>
      <c r="I2680" s="125" t="s">
        <v>5581</v>
      </c>
    </row>
    <row r="2681" spans="1:9" x14ac:dyDescent="0.25">
      <c r="A2681" s="125" t="s">
        <v>3131</v>
      </c>
      <c r="B2681" s="125" t="s">
        <v>5588</v>
      </c>
      <c r="C2681" s="125">
        <v>243</v>
      </c>
      <c r="D2681" s="125" t="s">
        <v>5589</v>
      </c>
      <c r="E2681" s="125" t="s">
        <v>5364</v>
      </c>
      <c r="F2681" s="125" t="s">
        <v>5365</v>
      </c>
      <c r="G2681" s="125" t="s">
        <v>5297</v>
      </c>
      <c r="H2681" s="125" t="s">
        <v>6128</v>
      </c>
      <c r="I2681" s="125" t="s">
        <v>5581</v>
      </c>
    </row>
    <row r="2682" spans="1:9" x14ac:dyDescent="0.25">
      <c r="A2682" s="125" t="s">
        <v>1600</v>
      </c>
      <c r="B2682" s="125" t="s">
        <v>5588</v>
      </c>
      <c r="C2682" s="125">
        <v>243</v>
      </c>
      <c r="D2682" s="125" t="s">
        <v>5589</v>
      </c>
      <c r="E2682" s="125" t="s">
        <v>5364</v>
      </c>
      <c r="F2682" s="125" t="s">
        <v>5365</v>
      </c>
      <c r="G2682" s="125" t="s">
        <v>5297</v>
      </c>
      <c r="H2682" s="125" t="s">
        <v>6136</v>
      </c>
      <c r="I2682" s="125" t="s">
        <v>5581</v>
      </c>
    </row>
    <row r="2683" spans="1:9" x14ac:dyDescent="0.25">
      <c r="A2683" s="125" t="s">
        <v>3051</v>
      </c>
      <c r="B2683" s="125" t="s">
        <v>5588</v>
      </c>
      <c r="C2683" s="125">
        <v>243</v>
      </c>
      <c r="D2683" s="125" t="s">
        <v>5589</v>
      </c>
      <c r="E2683" s="125" t="s">
        <v>5364</v>
      </c>
      <c r="F2683" s="125" t="s">
        <v>5365</v>
      </c>
      <c r="G2683" s="125" t="s">
        <v>5297</v>
      </c>
      <c r="H2683" s="125" t="s">
        <v>3420</v>
      </c>
      <c r="I2683" s="125" t="s">
        <v>5375</v>
      </c>
    </row>
    <row r="2684" spans="1:9" x14ac:dyDescent="0.25">
      <c r="A2684" s="125" t="s">
        <v>2839</v>
      </c>
      <c r="B2684" s="125" t="s">
        <v>5588</v>
      </c>
      <c r="C2684" s="125">
        <v>243</v>
      </c>
      <c r="D2684" s="125" t="s">
        <v>5589</v>
      </c>
      <c r="E2684" s="125" t="s">
        <v>5364</v>
      </c>
      <c r="F2684" s="125" t="s">
        <v>5365</v>
      </c>
      <c r="G2684" s="125" t="s">
        <v>5297</v>
      </c>
      <c r="H2684" s="125" t="s">
        <v>6136</v>
      </c>
      <c r="I2684" s="125" t="s">
        <v>5581</v>
      </c>
    </row>
    <row r="2685" spans="1:9" x14ac:dyDescent="0.25">
      <c r="A2685" s="125" t="s">
        <v>6177</v>
      </c>
      <c r="B2685" s="125" t="s">
        <v>5588</v>
      </c>
      <c r="C2685" s="125">
        <v>243</v>
      </c>
      <c r="D2685" s="125" t="s">
        <v>5589</v>
      </c>
      <c r="E2685" s="125" t="s">
        <v>5364</v>
      </c>
      <c r="F2685" s="125" t="s">
        <v>5365</v>
      </c>
      <c r="G2685" s="125" t="s">
        <v>5297</v>
      </c>
      <c r="H2685" s="125" t="s">
        <v>371</v>
      </c>
      <c r="I2685" s="125" t="s">
        <v>371</v>
      </c>
    </row>
    <row r="2686" spans="1:9" x14ac:dyDescent="0.25">
      <c r="A2686" s="125" t="s">
        <v>6178</v>
      </c>
      <c r="B2686" s="125" t="s">
        <v>5588</v>
      </c>
      <c r="C2686" s="125">
        <v>243</v>
      </c>
      <c r="D2686" s="125" t="s">
        <v>5589</v>
      </c>
      <c r="E2686" s="125" t="s">
        <v>5364</v>
      </c>
      <c r="F2686" s="125" t="s">
        <v>5365</v>
      </c>
      <c r="G2686" s="125" t="s">
        <v>5297</v>
      </c>
      <c r="H2686" s="125" t="s">
        <v>5973</v>
      </c>
      <c r="I2686" s="125" t="s">
        <v>5581</v>
      </c>
    </row>
    <row r="2687" spans="1:9" x14ac:dyDescent="0.25">
      <c r="A2687" s="125" t="s">
        <v>6179</v>
      </c>
      <c r="B2687" s="125" t="s">
        <v>5588</v>
      </c>
      <c r="C2687" s="125">
        <v>243</v>
      </c>
      <c r="D2687" s="125" t="s">
        <v>5589</v>
      </c>
      <c r="E2687" s="125" t="s">
        <v>5364</v>
      </c>
      <c r="F2687" s="125" t="s">
        <v>5365</v>
      </c>
      <c r="G2687" s="125" t="s">
        <v>5297</v>
      </c>
      <c r="H2687" s="125" t="s">
        <v>5973</v>
      </c>
      <c r="I2687" s="125" t="s">
        <v>5581</v>
      </c>
    </row>
    <row r="2688" spans="1:9" x14ac:dyDescent="0.25">
      <c r="A2688" s="125" t="s">
        <v>3540</v>
      </c>
      <c r="B2688" s="125" t="s">
        <v>5588</v>
      </c>
      <c r="C2688" s="125">
        <v>243</v>
      </c>
      <c r="D2688" s="125" t="s">
        <v>5589</v>
      </c>
      <c r="E2688" s="125" t="s">
        <v>5364</v>
      </c>
      <c r="F2688" s="125" t="s">
        <v>5365</v>
      </c>
      <c r="G2688" s="125" t="s">
        <v>5297</v>
      </c>
      <c r="H2688" s="125" t="s">
        <v>5973</v>
      </c>
      <c r="I2688" s="125" t="s">
        <v>5581</v>
      </c>
    </row>
    <row r="2689" spans="1:9" x14ac:dyDescent="0.25">
      <c r="A2689" s="125" t="s">
        <v>3086</v>
      </c>
      <c r="B2689" s="125" t="s">
        <v>5588</v>
      </c>
      <c r="C2689" s="125">
        <v>243</v>
      </c>
      <c r="D2689" s="125" t="s">
        <v>5589</v>
      </c>
      <c r="E2689" s="125" t="s">
        <v>5364</v>
      </c>
      <c r="F2689" s="125" t="s">
        <v>5365</v>
      </c>
      <c r="G2689" s="125" t="s">
        <v>5297</v>
      </c>
      <c r="H2689" s="125" t="s">
        <v>5973</v>
      </c>
      <c r="I2689" s="125" t="s">
        <v>5581</v>
      </c>
    </row>
    <row r="2690" spans="1:9" x14ac:dyDescent="0.25">
      <c r="A2690" s="125" t="s">
        <v>3248</v>
      </c>
      <c r="B2690" s="125" t="s">
        <v>5588</v>
      </c>
      <c r="C2690" s="125">
        <v>243</v>
      </c>
      <c r="D2690" s="125" t="s">
        <v>5589</v>
      </c>
      <c r="E2690" s="125" t="s">
        <v>5364</v>
      </c>
      <c r="F2690" s="125" t="s">
        <v>5365</v>
      </c>
      <c r="G2690" s="125" t="s">
        <v>5297</v>
      </c>
      <c r="H2690" s="125" t="s">
        <v>5973</v>
      </c>
      <c r="I2690" s="125" t="s">
        <v>5581</v>
      </c>
    </row>
    <row r="2691" spans="1:9" x14ac:dyDescent="0.25">
      <c r="A2691" s="125" t="s">
        <v>3450</v>
      </c>
      <c r="B2691" s="125" t="s">
        <v>5588</v>
      </c>
      <c r="C2691" s="125">
        <v>243</v>
      </c>
      <c r="D2691" s="125" t="s">
        <v>5589</v>
      </c>
      <c r="E2691" s="125" t="s">
        <v>5364</v>
      </c>
      <c r="F2691" s="125" t="s">
        <v>5365</v>
      </c>
      <c r="G2691" s="125" t="s">
        <v>5297</v>
      </c>
      <c r="H2691" s="125" t="s">
        <v>5973</v>
      </c>
      <c r="I2691" s="125" t="s">
        <v>5581</v>
      </c>
    </row>
    <row r="2692" spans="1:9" x14ac:dyDescent="0.25">
      <c r="A2692" s="125" t="s">
        <v>3521</v>
      </c>
      <c r="B2692" s="125" t="s">
        <v>5588</v>
      </c>
      <c r="C2692" s="125">
        <v>243</v>
      </c>
      <c r="D2692" s="125" t="s">
        <v>5589</v>
      </c>
      <c r="E2692" s="125" t="s">
        <v>5364</v>
      </c>
      <c r="F2692" s="125" t="s">
        <v>5365</v>
      </c>
      <c r="G2692" s="125" t="s">
        <v>5297</v>
      </c>
      <c r="H2692" s="125" t="s">
        <v>5973</v>
      </c>
      <c r="I2692" s="125" t="s">
        <v>5581</v>
      </c>
    </row>
    <row r="2693" spans="1:9" x14ac:dyDescent="0.25">
      <c r="A2693" s="125" t="s">
        <v>6180</v>
      </c>
      <c r="B2693" s="125" t="s">
        <v>5588</v>
      </c>
      <c r="C2693" s="125">
        <v>243</v>
      </c>
      <c r="D2693" s="125" t="s">
        <v>5589</v>
      </c>
      <c r="E2693" s="125" t="s">
        <v>5364</v>
      </c>
      <c r="F2693" s="125" t="s">
        <v>5365</v>
      </c>
      <c r="G2693" s="125" t="s">
        <v>5297</v>
      </c>
      <c r="H2693" s="125" t="s">
        <v>5973</v>
      </c>
      <c r="I2693" s="125" t="s">
        <v>5581</v>
      </c>
    </row>
    <row r="2694" spans="1:9" x14ac:dyDescent="0.25">
      <c r="A2694" s="125" t="s">
        <v>6181</v>
      </c>
      <c r="B2694" s="125" t="s">
        <v>5588</v>
      </c>
      <c r="C2694" s="125">
        <v>243</v>
      </c>
      <c r="D2694" s="125" t="s">
        <v>5589</v>
      </c>
      <c r="E2694" s="125" t="s">
        <v>5364</v>
      </c>
      <c r="F2694" s="125" t="s">
        <v>5365</v>
      </c>
      <c r="G2694" s="125" t="s">
        <v>5297</v>
      </c>
      <c r="H2694" s="125" t="s">
        <v>5973</v>
      </c>
      <c r="I2694" s="125" t="s">
        <v>5581</v>
      </c>
    </row>
    <row r="2695" spans="1:9" x14ac:dyDescent="0.25">
      <c r="A2695" s="125" t="s">
        <v>1917</v>
      </c>
      <c r="B2695" s="125" t="s">
        <v>5588</v>
      </c>
      <c r="C2695" s="125">
        <v>243</v>
      </c>
      <c r="D2695" s="125" t="s">
        <v>5589</v>
      </c>
      <c r="E2695" s="125" t="s">
        <v>5364</v>
      </c>
      <c r="F2695" s="125" t="s">
        <v>5365</v>
      </c>
      <c r="G2695" s="125" t="s">
        <v>5297</v>
      </c>
      <c r="H2695" s="125" t="s">
        <v>3376</v>
      </c>
      <c r="I2695" s="125" t="s">
        <v>5581</v>
      </c>
    </row>
    <row r="2696" spans="1:9" x14ac:dyDescent="0.25">
      <c r="A2696" s="125" t="s">
        <v>2928</v>
      </c>
      <c r="B2696" s="125" t="s">
        <v>5588</v>
      </c>
      <c r="C2696" s="125">
        <v>243</v>
      </c>
      <c r="D2696" s="125" t="s">
        <v>5589</v>
      </c>
      <c r="E2696" s="125" t="s">
        <v>5364</v>
      </c>
      <c r="F2696" s="125" t="s">
        <v>5365</v>
      </c>
      <c r="G2696" s="125" t="s">
        <v>5297</v>
      </c>
      <c r="H2696" s="125" t="s">
        <v>5973</v>
      </c>
      <c r="I2696" s="125" t="s">
        <v>5581</v>
      </c>
    </row>
    <row r="2697" spans="1:9" x14ac:dyDescent="0.25">
      <c r="A2697" s="125" t="s">
        <v>2326</v>
      </c>
      <c r="B2697" s="125" t="s">
        <v>5588</v>
      </c>
      <c r="C2697" s="125">
        <v>243</v>
      </c>
      <c r="D2697" s="125" t="s">
        <v>5589</v>
      </c>
      <c r="E2697" s="125" t="s">
        <v>5364</v>
      </c>
      <c r="F2697" s="125" t="s">
        <v>5365</v>
      </c>
      <c r="G2697" s="125" t="s">
        <v>5297</v>
      </c>
      <c r="H2697" s="125" t="s">
        <v>5973</v>
      </c>
      <c r="I2697" s="125" t="s">
        <v>5581</v>
      </c>
    </row>
    <row r="2698" spans="1:9" x14ac:dyDescent="0.25">
      <c r="A2698" s="125" t="s">
        <v>2083</v>
      </c>
      <c r="B2698" s="125" t="s">
        <v>5588</v>
      </c>
      <c r="C2698" s="125">
        <v>243</v>
      </c>
      <c r="D2698" s="125" t="s">
        <v>5589</v>
      </c>
      <c r="E2698" s="125" t="s">
        <v>5364</v>
      </c>
      <c r="F2698" s="125" t="s">
        <v>5365</v>
      </c>
      <c r="G2698" s="125" t="s">
        <v>5297</v>
      </c>
      <c r="H2698" s="125" t="s">
        <v>5973</v>
      </c>
      <c r="I2698" s="125" t="s">
        <v>5581</v>
      </c>
    </row>
    <row r="2699" spans="1:9" x14ac:dyDescent="0.25">
      <c r="A2699" s="125" t="s">
        <v>2872</v>
      </c>
      <c r="B2699" s="125" t="s">
        <v>5588</v>
      </c>
      <c r="C2699" s="125">
        <v>243</v>
      </c>
      <c r="D2699" s="125" t="s">
        <v>5589</v>
      </c>
      <c r="E2699" s="125" t="s">
        <v>5364</v>
      </c>
      <c r="F2699" s="125" t="s">
        <v>5365</v>
      </c>
      <c r="G2699" s="125" t="s">
        <v>5297</v>
      </c>
      <c r="H2699" s="125" t="s">
        <v>3420</v>
      </c>
      <c r="I2699" s="125" t="s">
        <v>5375</v>
      </c>
    </row>
    <row r="2700" spans="1:9" x14ac:dyDescent="0.25">
      <c r="A2700" s="125" t="s">
        <v>1829</v>
      </c>
      <c r="B2700" s="125" t="s">
        <v>5588</v>
      </c>
      <c r="C2700" s="125">
        <v>243</v>
      </c>
      <c r="D2700" s="125" t="s">
        <v>5589</v>
      </c>
      <c r="E2700" s="125" t="s">
        <v>5364</v>
      </c>
      <c r="F2700" s="125" t="s">
        <v>5365</v>
      </c>
      <c r="G2700" s="125" t="s">
        <v>5297</v>
      </c>
      <c r="H2700" s="125" t="s">
        <v>3420</v>
      </c>
      <c r="I2700" s="125" t="s">
        <v>5375</v>
      </c>
    </row>
    <row r="2701" spans="1:9" x14ac:dyDescent="0.25">
      <c r="A2701" s="125" t="s">
        <v>1939</v>
      </c>
      <c r="B2701" s="125" t="s">
        <v>5588</v>
      </c>
      <c r="C2701" s="125">
        <v>243</v>
      </c>
      <c r="D2701" s="125" t="s">
        <v>5589</v>
      </c>
      <c r="E2701" s="125" t="s">
        <v>5364</v>
      </c>
      <c r="F2701" s="125" t="s">
        <v>5365</v>
      </c>
      <c r="G2701" s="125" t="s">
        <v>5297</v>
      </c>
      <c r="H2701" s="125" t="s">
        <v>3420</v>
      </c>
      <c r="I2701" s="125" t="s">
        <v>5375</v>
      </c>
    </row>
    <row r="2702" spans="1:9" x14ac:dyDescent="0.25">
      <c r="A2702" s="125" t="s">
        <v>1437</v>
      </c>
      <c r="B2702" s="125" t="s">
        <v>5588</v>
      </c>
      <c r="C2702" s="125">
        <v>243</v>
      </c>
      <c r="D2702" s="125" t="s">
        <v>5589</v>
      </c>
      <c r="E2702" s="125" t="s">
        <v>5364</v>
      </c>
      <c r="F2702" s="125" t="s">
        <v>5365</v>
      </c>
      <c r="G2702" s="125" t="s">
        <v>5297</v>
      </c>
      <c r="H2702" s="125" t="s">
        <v>6136</v>
      </c>
      <c r="I2702" s="125" t="s">
        <v>5581</v>
      </c>
    </row>
    <row r="2703" spans="1:9" x14ac:dyDescent="0.25">
      <c r="A2703" s="125" t="s">
        <v>3250</v>
      </c>
      <c r="B2703" s="125" t="s">
        <v>5588</v>
      </c>
      <c r="C2703" s="125">
        <v>243</v>
      </c>
      <c r="D2703" s="125" t="s">
        <v>5589</v>
      </c>
      <c r="E2703" s="125" t="s">
        <v>5364</v>
      </c>
      <c r="F2703" s="125" t="s">
        <v>5365</v>
      </c>
      <c r="G2703" s="125" t="s">
        <v>5297</v>
      </c>
      <c r="H2703" s="125" t="s">
        <v>3420</v>
      </c>
      <c r="I2703" s="125" t="s">
        <v>5375</v>
      </c>
    </row>
    <row r="2704" spans="1:9" x14ac:dyDescent="0.25">
      <c r="A2704" s="125" t="s">
        <v>3089</v>
      </c>
      <c r="B2704" s="125" t="s">
        <v>5588</v>
      </c>
      <c r="C2704" s="125">
        <v>243</v>
      </c>
      <c r="D2704" s="125" t="s">
        <v>5589</v>
      </c>
      <c r="E2704" s="125" t="s">
        <v>5364</v>
      </c>
      <c r="F2704" s="125" t="s">
        <v>5365</v>
      </c>
      <c r="G2704" s="125" t="s">
        <v>5297</v>
      </c>
      <c r="H2704" s="125" t="s">
        <v>6128</v>
      </c>
      <c r="I2704" s="125" t="s">
        <v>5581</v>
      </c>
    </row>
    <row r="2705" spans="1:9" x14ac:dyDescent="0.25">
      <c r="A2705" s="125" t="s">
        <v>2851</v>
      </c>
      <c r="B2705" s="125" t="s">
        <v>5588</v>
      </c>
      <c r="C2705" s="125">
        <v>243</v>
      </c>
      <c r="D2705" s="125" t="s">
        <v>5589</v>
      </c>
      <c r="E2705" s="125" t="s">
        <v>5364</v>
      </c>
      <c r="F2705" s="125" t="s">
        <v>5365</v>
      </c>
      <c r="G2705" s="125" t="s">
        <v>5297</v>
      </c>
      <c r="H2705" s="125" t="s">
        <v>5973</v>
      </c>
      <c r="I2705" s="125" t="s">
        <v>5581</v>
      </c>
    </row>
    <row r="2706" spans="1:9" x14ac:dyDescent="0.25">
      <c r="A2706" s="125" t="s">
        <v>1599</v>
      </c>
      <c r="B2706" s="125" t="s">
        <v>5339</v>
      </c>
      <c r="C2706" s="125">
        <v>235</v>
      </c>
      <c r="D2706" s="139" t="s">
        <v>5340</v>
      </c>
      <c r="E2706" s="125" t="s">
        <v>5341</v>
      </c>
      <c r="F2706" s="140" t="s">
        <v>5342</v>
      </c>
      <c r="G2706" s="125" t="s">
        <v>5297</v>
      </c>
      <c r="H2706" s="125" t="s">
        <v>1413</v>
      </c>
      <c r="I2706" s="125" t="s">
        <v>5495</v>
      </c>
    </row>
    <row r="2707" spans="1:9" x14ac:dyDescent="0.25">
      <c r="A2707" s="125" t="s">
        <v>1505</v>
      </c>
      <c r="B2707" s="125" t="s">
        <v>5339</v>
      </c>
      <c r="C2707" s="125">
        <v>235</v>
      </c>
      <c r="D2707" s="139" t="s">
        <v>5340</v>
      </c>
      <c r="E2707" s="125" t="s">
        <v>5341</v>
      </c>
      <c r="F2707" s="140" t="s">
        <v>5342</v>
      </c>
      <c r="G2707" s="125" t="s">
        <v>5297</v>
      </c>
      <c r="H2707" s="125" t="s">
        <v>3388</v>
      </c>
      <c r="I2707" s="125" t="s">
        <v>5497</v>
      </c>
    </row>
    <row r="2708" spans="1:9" x14ac:dyDescent="0.25">
      <c r="A2708" s="125" t="s">
        <v>1245</v>
      </c>
      <c r="B2708" s="125" t="s">
        <v>5339</v>
      </c>
      <c r="C2708" s="125">
        <v>235</v>
      </c>
      <c r="D2708" s="139" t="s">
        <v>5340</v>
      </c>
      <c r="E2708" s="125" t="s">
        <v>5341</v>
      </c>
      <c r="F2708" s="140" t="s">
        <v>5342</v>
      </c>
      <c r="G2708" s="125" t="s">
        <v>5297</v>
      </c>
      <c r="H2708" s="125" t="s">
        <v>3388</v>
      </c>
      <c r="I2708" s="125" t="s">
        <v>5497</v>
      </c>
    </row>
    <row r="2709" spans="1:9" x14ac:dyDescent="0.25">
      <c r="A2709" s="125" t="s">
        <v>2372</v>
      </c>
      <c r="B2709" s="125" t="s">
        <v>5339</v>
      </c>
      <c r="C2709" s="125">
        <v>235</v>
      </c>
      <c r="D2709" s="139" t="s">
        <v>5340</v>
      </c>
      <c r="E2709" s="125" t="s">
        <v>5341</v>
      </c>
      <c r="F2709" s="140" t="s">
        <v>5342</v>
      </c>
      <c r="G2709" s="125" t="s">
        <v>5297</v>
      </c>
      <c r="H2709" s="125" t="s">
        <v>3388</v>
      </c>
      <c r="I2709" s="125" t="s">
        <v>5497</v>
      </c>
    </row>
    <row r="2710" spans="1:9" x14ac:dyDescent="0.25">
      <c r="A2710" s="125" t="s">
        <v>2254</v>
      </c>
      <c r="B2710" s="125" t="s">
        <v>5339</v>
      </c>
      <c r="C2710" s="125">
        <v>235</v>
      </c>
      <c r="D2710" s="139" t="s">
        <v>5340</v>
      </c>
      <c r="E2710" s="125" t="s">
        <v>5341</v>
      </c>
      <c r="F2710" s="140" t="s">
        <v>5342</v>
      </c>
      <c r="G2710" s="125" t="s">
        <v>5297</v>
      </c>
      <c r="H2710" s="125" t="s">
        <v>1413</v>
      </c>
      <c r="I2710" s="125" t="s">
        <v>5495</v>
      </c>
    </row>
    <row r="2711" spans="1:9" x14ac:dyDescent="0.25">
      <c r="A2711" s="125" t="s">
        <v>2615</v>
      </c>
      <c r="B2711" s="125" t="s">
        <v>5339</v>
      </c>
      <c r="C2711" s="125">
        <v>235</v>
      </c>
      <c r="D2711" s="139" t="s">
        <v>5340</v>
      </c>
      <c r="E2711" s="125" t="s">
        <v>5341</v>
      </c>
      <c r="F2711" s="140" t="s">
        <v>5342</v>
      </c>
      <c r="G2711" s="125" t="s">
        <v>5297</v>
      </c>
      <c r="H2711" s="125" t="s">
        <v>5913</v>
      </c>
      <c r="I2711" s="125" t="s">
        <v>5366</v>
      </c>
    </row>
    <row r="2712" spans="1:9" x14ac:dyDescent="0.25">
      <c r="A2712" s="125" t="s">
        <v>2820</v>
      </c>
      <c r="B2712" s="125" t="s">
        <v>5339</v>
      </c>
      <c r="C2712" s="125">
        <v>235</v>
      </c>
      <c r="D2712" s="139" t="s">
        <v>5340</v>
      </c>
      <c r="E2712" s="125" t="s">
        <v>5341</v>
      </c>
      <c r="F2712" s="140" t="s">
        <v>5342</v>
      </c>
      <c r="G2712" s="125" t="s">
        <v>5297</v>
      </c>
      <c r="H2712" s="125" t="s">
        <v>1060</v>
      </c>
      <c r="I2712" s="125" t="s">
        <v>5366</v>
      </c>
    </row>
    <row r="2713" spans="1:9" x14ac:dyDescent="0.25">
      <c r="A2713" s="125" t="s">
        <v>1709</v>
      </c>
      <c r="B2713" s="125" t="s">
        <v>5339</v>
      </c>
      <c r="C2713" s="125">
        <v>235</v>
      </c>
      <c r="D2713" s="139" t="s">
        <v>5340</v>
      </c>
      <c r="E2713" s="125" t="s">
        <v>5341</v>
      </c>
      <c r="F2713" s="140" t="s">
        <v>5342</v>
      </c>
      <c r="G2713" s="125" t="s">
        <v>5297</v>
      </c>
      <c r="H2713" s="125" t="s">
        <v>5527</v>
      </c>
      <c r="I2713" s="125" t="s">
        <v>5495</v>
      </c>
    </row>
    <row r="2714" spans="1:9" x14ac:dyDescent="0.25">
      <c r="A2714" s="125" t="s">
        <v>2616</v>
      </c>
      <c r="B2714" s="125" t="s">
        <v>5339</v>
      </c>
      <c r="C2714" s="125">
        <v>235</v>
      </c>
      <c r="D2714" s="139" t="s">
        <v>5340</v>
      </c>
      <c r="E2714" s="125" t="s">
        <v>5341</v>
      </c>
      <c r="F2714" s="140" t="s">
        <v>5342</v>
      </c>
      <c r="G2714" s="125" t="s">
        <v>5297</v>
      </c>
      <c r="H2714" s="125" t="s">
        <v>1413</v>
      </c>
      <c r="I2714" s="125" t="s">
        <v>5495</v>
      </c>
    </row>
    <row r="2715" spans="1:9" x14ac:dyDescent="0.25">
      <c r="A2715" s="125" t="s">
        <v>1508</v>
      </c>
      <c r="B2715" s="125" t="s">
        <v>5339</v>
      </c>
      <c r="C2715" s="125">
        <v>235</v>
      </c>
      <c r="D2715" s="139" t="s">
        <v>5340</v>
      </c>
      <c r="E2715" s="125" t="s">
        <v>5341</v>
      </c>
      <c r="F2715" s="140" t="s">
        <v>5342</v>
      </c>
      <c r="G2715" s="125" t="s">
        <v>5297</v>
      </c>
      <c r="H2715" s="125" t="s">
        <v>1413</v>
      </c>
      <c r="I2715" s="125" t="s">
        <v>5495</v>
      </c>
    </row>
    <row r="2716" spans="1:9" x14ac:dyDescent="0.25">
      <c r="A2716" s="125" t="s">
        <v>2652</v>
      </c>
      <c r="B2716" s="125" t="s">
        <v>5339</v>
      </c>
      <c r="C2716" s="125">
        <v>235</v>
      </c>
      <c r="D2716" s="139" t="s">
        <v>5340</v>
      </c>
      <c r="E2716" s="125" t="s">
        <v>5341</v>
      </c>
      <c r="F2716" s="140" t="s">
        <v>5342</v>
      </c>
      <c r="G2716" s="125" t="s">
        <v>5297</v>
      </c>
      <c r="H2716" s="125" t="s">
        <v>6182</v>
      </c>
      <c r="I2716" s="125" t="s">
        <v>5495</v>
      </c>
    </row>
    <row r="2717" spans="1:9" x14ac:dyDescent="0.25">
      <c r="A2717" s="125" t="s">
        <v>1414</v>
      </c>
      <c r="B2717" s="125" t="s">
        <v>5339</v>
      </c>
      <c r="C2717" s="125">
        <v>235</v>
      </c>
      <c r="D2717" s="139" t="s">
        <v>5340</v>
      </c>
      <c r="E2717" s="125" t="s">
        <v>5341</v>
      </c>
      <c r="F2717" s="140" t="s">
        <v>5342</v>
      </c>
      <c r="G2717" s="125" t="s">
        <v>5297</v>
      </c>
      <c r="H2717" s="125" t="s">
        <v>1413</v>
      </c>
      <c r="I2717" s="125" t="s">
        <v>5495</v>
      </c>
    </row>
    <row r="2718" spans="1:9" x14ac:dyDescent="0.25">
      <c r="A2718" s="125" t="s">
        <v>1158</v>
      </c>
      <c r="B2718" s="125" t="s">
        <v>5339</v>
      </c>
      <c r="C2718" s="125">
        <v>235</v>
      </c>
      <c r="D2718" s="139" t="s">
        <v>5340</v>
      </c>
      <c r="E2718" s="125" t="s">
        <v>5341</v>
      </c>
      <c r="F2718" s="140" t="s">
        <v>5342</v>
      </c>
      <c r="G2718" s="125" t="s">
        <v>5297</v>
      </c>
      <c r="H2718" s="125" t="s">
        <v>5494</v>
      </c>
      <c r="I2718" s="125" t="s">
        <v>5495</v>
      </c>
    </row>
    <row r="2719" spans="1:9" x14ac:dyDescent="0.25">
      <c r="A2719" s="125" t="s">
        <v>1541</v>
      </c>
      <c r="B2719" s="125" t="s">
        <v>5339</v>
      </c>
      <c r="C2719" s="125">
        <v>235</v>
      </c>
      <c r="D2719" s="139" t="s">
        <v>5340</v>
      </c>
      <c r="E2719" s="125" t="s">
        <v>5341</v>
      </c>
      <c r="F2719" s="140" t="s">
        <v>5342</v>
      </c>
      <c r="G2719" s="125" t="s">
        <v>5297</v>
      </c>
      <c r="H2719" s="125" t="s">
        <v>6182</v>
      </c>
      <c r="I2719" s="125" t="s">
        <v>5495</v>
      </c>
    </row>
    <row r="2720" spans="1:9" x14ac:dyDescent="0.25">
      <c r="A2720" s="125" t="s">
        <v>1502</v>
      </c>
      <c r="B2720" s="125" t="s">
        <v>5339</v>
      </c>
      <c r="C2720" s="125">
        <v>235</v>
      </c>
      <c r="D2720" s="140" t="s">
        <v>5340</v>
      </c>
      <c r="E2720" s="125" t="s">
        <v>5341</v>
      </c>
      <c r="F2720" s="140" t="s">
        <v>5342</v>
      </c>
      <c r="G2720" s="125" t="s">
        <v>5297</v>
      </c>
      <c r="H2720" s="125" t="s">
        <v>6182</v>
      </c>
      <c r="I2720" s="125" t="s">
        <v>5495</v>
      </c>
    </row>
    <row r="2721" spans="1:9" x14ac:dyDescent="0.25">
      <c r="A2721" s="125" t="s">
        <v>2293</v>
      </c>
      <c r="B2721" s="125" t="s">
        <v>5339</v>
      </c>
      <c r="C2721" s="125">
        <v>235</v>
      </c>
      <c r="D2721" s="139" t="s">
        <v>5340</v>
      </c>
      <c r="E2721" s="125" t="s">
        <v>5341</v>
      </c>
      <c r="F2721" s="140" t="s">
        <v>5342</v>
      </c>
      <c r="G2721" s="125" t="s">
        <v>5297</v>
      </c>
      <c r="H2721" s="125" t="s">
        <v>3388</v>
      </c>
      <c r="I2721" s="125" t="s">
        <v>5497</v>
      </c>
    </row>
    <row r="2722" spans="1:9" x14ac:dyDescent="0.25">
      <c r="A2722" s="125" t="s">
        <v>6183</v>
      </c>
      <c r="B2722" s="125" t="s">
        <v>5588</v>
      </c>
      <c r="C2722" s="125">
        <v>243</v>
      </c>
      <c r="D2722" s="125" t="s">
        <v>5589</v>
      </c>
      <c r="E2722" s="125" t="s">
        <v>5364</v>
      </c>
      <c r="F2722" s="125" t="s">
        <v>5365</v>
      </c>
      <c r="G2722" s="125" t="s">
        <v>5297</v>
      </c>
      <c r="H2722" s="125" t="s">
        <v>3376</v>
      </c>
      <c r="I2722" s="125" t="s">
        <v>5581</v>
      </c>
    </row>
    <row r="2723" spans="1:9" x14ac:dyDescent="0.25">
      <c r="A2723" s="125" t="s">
        <v>6184</v>
      </c>
      <c r="B2723" s="125" t="s">
        <v>5588</v>
      </c>
      <c r="C2723" s="125">
        <v>243</v>
      </c>
      <c r="D2723" s="125" t="s">
        <v>5589</v>
      </c>
      <c r="E2723" s="125" t="s">
        <v>5364</v>
      </c>
      <c r="F2723" s="125" t="s">
        <v>5365</v>
      </c>
      <c r="G2723" s="125" t="s">
        <v>5297</v>
      </c>
      <c r="H2723" s="125" t="s">
        <v>3376</v>
      </c>
      <c r="I2723" s="125" t="s">
        <v>5581</v>
      </c>
    </row>
    <row r="2724" spans="1:9" x14ac:dyDescent="0.25">
      <c r="A2724" s="125" t="s">
        <v>3004</v>
      </c>
      <c r="B2724" s="125" t="s">
        <v>5588</v>
      </c>
      <c r="C2724" s="125">
        <v>243</v>
      </c>
      <c r="D2724" s="125" t="s">
        <v>5589</v>
      </c>
      <c r="E2724" s="125" t="s">
        <v>5364</v>
      </c>
      <c r="F2724" s="125" t="s">
        <v>5365</v>
      </c>
      <c r="G2724" s="125" t="s">
        <v>5297</v>
      </c>
      <c r="H2724" s="125" t="s">
        <v>3376</v>
      </c>
      <c r="I2724" s="125" t="s">
        <v>5581</v>
      </c>
    </row>
    <row r="2725" spans="1:9" x14ac:dyDescent="0.25">
      <c r="A2725" s="125" t="s">
        <v>2879</v>
      </c>
      <c r="B2725" s="125" t="s">
        <v>5588</v>
      </c>
      <c r="C2725" s="125">
        <v>243</v>
      </c>
      <c r="D2725" s="125" t="s">
        <v>5589</v>
      </c>
      <c r="E2725" s="125" t="s">
        <v>5364</v>
      </c>
      <c r="F2725" s="125" t="s">
        <v>5365</v>
      </c>
      <c r="G2725" s="125" t="s">
        <v>5297</v>
      </c>
      <c r="H2725" s="125" t="s">
        <v>3376</v>
      </c>
      <c r="I2725" s="125" t="s">
        <v>5581</v>
      </c>
    </row>
    <row r="2726" spans="1:9" x14ac:dyDescent="0.25">
      <c r="A2726" s="125" t="s">
        <v>2257</v>
      </c>
      <c r="B2726" s="125" t="s">
        <v>5588</v>
      </c>
      <c r="C2726" s="125">
        <v>243</v>
      </c>
      <c r="D2726" s="125" t="s">
        <v>5589</v>
      </c>
      <c r="E2726" s="125" t="s">
        <v>5364</v>
      </c>
      <c r="F2726" s="125" t="s">
        <v>5365</v>
      </c>
      <c r="G2726" s="125" t="s">
        <v>5297</v>
      </c>
      <c r="H2726" s="125" t="s">
        <v>3376</v>
      </c>
      <c r="I2726" s="125" t="s">
        <v>5581</v>
      </c>
    </row>
    <row r="2727" spans="1:9" x14ac:dyDescent="0.25">
      <c r="A2727" s="125" t="s">
        <v>6185</v>
      </c>
      <c r="B2727" s="125" t="s">
        <v>5588</v>
      </c>
      <c r="C2727" s="125">
        <v>243</v>
      </c>
      <c r="D2727" s="125" t="s">
        <v>5589</v>
      </c>
      <c r="E2727" s="125" t="s">
        <v>5364</v>
      </c>
      <c r="F2727" s="125" t="s">
        <v>5365</v>
      </c>
      <c r="G2727" s="125" t="s">
        <v>5297</v>
      </c>
      <c r="H2727" s="125" t="s">
        <v>371</v>
      </c>
      <c r="I2727" s="125" t="s">
        <v>371</v>
      </c>
    </row>
    <row r="2728" spans="1:9" x14ac:dyDescent="0.25">
      <c r="A2728" s="125" t="s">
        <v>2955</v>
      </c>
      <c r="B2728" s="125" t="s">
        <v>5588</v>
      </c>
      <c r="C2728" s="125">
        <v>243</v>
      </c>
      <c r="D2728" s="125" t="s">
        <v>5589</v>
      </c>
      <c r="E2728" s="125" t="s">
        <v>5364</v>
      </c>
      <c r="F2728" s="125" t="s">
        <v>5365</v>
      </c>
      <c r="G2728" s="125" t="s">
        <v>5297</v>
      </c>
      <c r="H2728" s="125" t="s">
        <v>3376</v>
      </c>
      <c r="I2728" s="125" t="s">
        <v>5581</v>
      </c>
    </row>
    <row r="2729" spans="1:9" x14ac:dyDescent="0.25">
      <c r="A2729" s="125" t="s">
        <v>2864</v>
      </c>
      <c r="B2729" s="125" t="s">
        <v>5588</v>
      </c>
      <c r="C2729" s="125">
        <v>243</v>
      </c>
      <c r="D2729" s="125" t="s">
        <v>5589</v>
      </c>
      <c r="E2729" s="125" t="s">
        <v>5364</v>
      </c>
      <c r="F2729" s="125" t="s">
        <v>5365</v>
      </c>
      <c r="G2729" s="125" t="s">
        <v>5297</v>
      </c>
      <c r="H2729" s="125" t="s">
        <v>3376</v>
      </c>
      <c r="I2729" s="125" t="s">
        <v>5581</v>
      </c>
    </row>
    <row r="2730" spans="1:9" x14ac:dyDescent="0.25">
      <c r="A2730" s="125" t="s">
        <v>3161</v>
      </c>
      <c r="B2730" s="125" t="s">
        <v>5588</v>
      </c>
      <c r="C2730" s="125">
        <v>243</v>
      </c>
      <c r="D2730" s="125" t="s">
        <v>5589</v>
      </c>
      <c r="E2730" s="125" t="s">
        <v>5364</v>
      </c>
      <c r="F2730" s="125" t="s">
        <v>5365</v>
      </c>
      <c r="G2730" s="125" t="s">
        <v>5297</v>
      </c>
      <c r="H2730" s="125" t="s">
        <v>371</v>
      </c>
      <c r="I2730" s="125" t="s">
        <v>371</v>
      </c>
    </row>
    <row r="2731" spans="1:9" x14ac:dyDescent="0.25">
      <c r="A2731" s="125" t="s">
        <v>2869</v>
      </c>
      <c r="B2731" s="125" t="s">
        <v>5588</v>
      </c>
      <c r="C2731" s="125">
        <v>243</v>
      </c>
      <c r="D2731" s="125" t="s">
        <v>5589</v>
      </c>
      <c r="E2731" s="125" t="s">
        <v>5364</v>
      </c>
      <c r="F2731" s="125" t="s">
        <v>5365</v>
      </c>
      <c r="G2731" s="125" t="s">
        <v>5297</v>
      </c>
      <c r="H2731" s="125" t="s">
        <v>5973</v>
      </c>
      <c r="I2731" s="125" t="s">
        <v>5581</v>
      </c>
    </row>
    <row r="2732" spans="1:9" x14ac:dyDescent="0.25">
      <c r="A2732" s="125" t="s">
        <v>3112</v>
      </c>
      <c r="B2732" s="125" t="s">
        <v>5588</v>
      </c>
      <c r="C2732" s="125">
        <v>243</v>
      </c>
      <c r="D2732" s="125" t="s">
        <v>5589</v>
      </c>
      <c r="E2732" s="125" t="s">
        <v>5364</v>
      </c>
      <c r="F2732" s="125" t="s">
        <v>5365</v>
      </c>
      <c r="G2732" s="125" t="s">
        <v>5297</v>
      </c>
      <c r="H2732" s="125" t="s">
        <v>5973</v>
      </c>
      <c r="I2732" s="125" t="s">
        <v>5581</v>
      </c>
    </row>
    <row r="2733" spans="1:9" x14ac:dyDescent="0.25">
      <c r="A2733" s="125" t="s">
        <v>3140</v>
      </c>
      <c r="B2733" s="125" t="s">
        <v>5588</v>
      </c>
      <c r="C2733" s="125">
        <v>243</v>
      </c>
      <c r="D2733" s="125" t="s">
        <v>5589</v>
      </c>
      <c r="E2733" s="125" t="s">
        <v>5364</v>
      </c>
      <c r="F2733" s="125" t="s">
        <v>5365</v>
      </c>
      <c r="G2733" s="125" t="s">
        <v>5297</v>
      </c>
      <c r="H2733" s="125" t="s">
        <v>3376</v>
      </c>
      <c r="I2733" s="125" t="s">
        <v>5581</v>
      </c>
    </row>
    <row r="2734" spans="1:9" x14ac:dyDescent="0.25">
      <c r="A2734" s="125" t="s">
        <v>2920</v>
      </c>
      <c r="B2734" s="125" t="s">
        <v>5588</v>
      </c>
      <c r="C2734" s="125">
        <v>243</v>
      </c>
      <c r="D2734" s="125" t="s">
        <v>5589</v>
      </c>
      <c r="E2734" s="125" t="s">
        <v>5364</v>
      </c>
      <c r="F2734" s="125" t="s">
        <v>5365</v>
      </c>
      <c r="G2734" s="125" t="s">
        <v>5297</v>
      </c>
      <c r="H2734" s="125" t="s">
        <v>5973</v>
      </c>
      <c r="I2734" s="125" t="s">
        <v>5581</v>
      </c>
    </row>
    <row r="2735" spans="1:9" x14ac:dyDescent="0.25">
      <c r="A2735" s="125" t="s">
        <v>3431</v>
      </c>
      <c r="B2735" s="125" t="s">
        <v>5588</v>
      </c>
      <c r="C2735" s="125">
        <v>243</v>
      </c>
      <c r="D2735" s="125" t="s">
        <v>5589</v>
      </c>
      <c r="E2735" s="125" t="s">
        <v>5364</v>
      </c>
      <c r="F2735" s="125" t="s">
        <v>5365</v>
      </c>
      <c r="G2735" s="125" t="s">
        <v>5297</v>
      </c>
      <c r="H2735" s="125" t="s">
        <v>5973</v>
      </c>
      <c r="I2735" s="125" t="s">
        <v>5581</v>
      </c>
    </row>
    <row r="2736" spans="1:9" x14ac:dyDescent="0.25">
      <c r="A2736" s="125" t="s">
        <v>1192</v>
      </c>
      <c r="B2736" s="125" t="s">
        <v>5293</v>
      </c>
      <c r="C2736" s="125">
        <v>228</v>
      </c>
      <c r="D2736" s="125" t="s">
        <v>5294</v>
      </c>
      <c r="E2736" s="125" t="s">
        <v>5295</v>
      </c>
      <c r="F2736" s="125" t="s">
        <v>5296</v>
      </c>
      <c r="G2736" s="125" t="s">
        <v>5297</v>
      </c>
      <c r="H2736" s="125" t="s">
        <v>1672</v>
      </c>
      <c r="I2736" s="125" t="s">
        <v>3482</v>
      </c>
    </row>
    <row r="2737" spans="1:9" x14ac:dyDescent="0.25">
      <c r="A2737" s="125" t="s">
        <v>1673</v>
      </c>
      <c r="B2737" s="125" t="s">
        <v>5293</v>
      </c>
      <c r="C2737" s="125">
        <v>228</v>
      </c>
      <c r="D2737" s="125" t="s">
        <v>5294</v>
      </c>
      <c r="E2737" s="125" t="s">
        <v>5295</v>
      </c>
      <c r="F2737" s="125" t="s">
        <v>5296</v>
      </c>
      <c r="G2737" s="125" t="s">
        <v>5297</v>
      </c>
      <c r="H2737" s="125" t="s">
        <v>1672</v>
      </c>
      <c r="I2737" s="125" t="s">
        <v>3482</v>
      </c>
    </row>
    <row r="2738" spans="1:9" x14ac:dyDescent="0.25">
      <c r="A2738" s="125" t="s">
        <v>2193</v>
      </c>
      <c r="B2738" s="125" t="s">
        <v>5293</v>
      </c>
      <c r="C2738" s="125">
        <v>228</v>
      </c>
      <c r="D2738" s="125" t="s">
        <v>5294</v>
      </c>
      <c r="E2738" s="125" t="s">
        <v>5295</v>
      </c>
      <c r="F2738" s="125" t="s">
        <v>5296</v>
      </c>
      <c r="G2738" s="125" t="s">
        <v>5297</v>
      </c>
      <c r="H2738" s="125" t="s">
        <v>1672</v>
      </c>
      <c r="I2738" s="125" t="s">
        <v>3482</v>
      </c>
    </row>
    <row r="2739" spans="1:9" x14ac:dyDescent="0.25">
      <c r="A2739" s="125" t="s">
        <v>3107</v>
      </c>
      <c r="B2739" s="125" t="s">
        <v>5293</v>
      </c>
      <c r="C2739" s="125">
        <v>228</v>
      </c>
      <c r="D2739" s="125" t="s">
        <v>5294</v>
      </c>
      <c r="E2739" s="125" t="s">
        <v>5295</v>
      </c>
      <c r="F2739" s="125" t="s">
        <v>5296</v>
      </c>
      <c r="G2739" s="125" t="s">
        <v>5297</v>
      </c>
      <c r="H2739" s="125" t="s">
        <v>5631</v>
      </c>
      <c r="I2739" s="125" t="s">
        <v>3482</v>
      </c>
    </row>
    <row r="2740" spans="1:9" x14ac:dyDescent="0.25">
      <c r="A2740" s="125" t="s">
        <v>2999</v>
      </c>
      <c r="B2740" s="125" t="s">
        <v>5293</v>
      </c>
      <c r="C2740" s="125">
        <v>228</v>
      </c>
      <c r="D2740" s="125" t="s">
        <v>5294</v>
      </c>
      <c r="E2740" s="125" t="s">
        <v>5295</v>
      </c>
      <c r="F2740" s="125" t="s">
        <v>5296</v>
      </c>
      <c r="G2740" s="125" t="s">
        <v>5297</v>
      </c>
      <c r="H2740" s="125" t="s">
        <v>1672</v>
      </c>
      <c r="I2740" s="125" t="s">
        <v>3482</v>
      </c>
    </row>
    <row r="2741" spans="1:9" x14ac:dyDescent="0.25">
      <c r="A2741" s="125" t="s">
        <v>2316</v>
      </c>
      <c r="B2741" s="125" t="s">
        <v>5293</v>
      </c>
      <c r="C2741" s="125">
        <v>228</v>
      </c>
      <c r="D2741" s="125" t="s">
        <v>5294</v>
      </c>
      <c r="E2741" s="125" t="s">
        <v>5295</v>
      </c>
      <c r="F2741" s="125" t="s">
        <v>5296</v>
      </c>
      <c r="G2741" s="125" t="s">
        <v>5297</v>
      </c>
      <c r="H2741" s="125" t="s">
        <v>5631</v>
      </c>
      <c r="I2741" s="125" t="s">
        <v>3482</v>
      </c>
    </row>
    <row r="2742" spans="1:9" x14ac:dyDescent="0.25">
      <c r="A2742" s="125" t="s">
        <v>1954</v>
      </c>
      <c r="B2742" s="125" t="s">
        <v>5293</v>
      </c>
      <c r="C2742" s="125">
        <v>228</v>
      </c>
      <c r="D2742" s="125" t="s">
        <v>5294</v>
      </c>
      <c r="E2742" s="125" t="s">
        <v>5295</v>
      </c>
      <c r="F2742" s="125" t="s">
        <v>5296</v>
      </c>
      <c r="G2742" s="125" t="s">
        <v>5297</v>
      </c>
      <c r="H2742" s="125" t="s">
        <v>6186</v>
      </c>
      <c r="I2742" s="125" t="s">
        <v>3482</v>
      </c>
    </row>
    <row r="2743" spans="1:9" x14ac:dyDescent="0.25">
      <c r="A2743" s="125" t="s">
        <v>1900</v>
      </c>
      <c r="B2743" s="125" t="s">
        <v>5293</v>
      </c>
      <c r="C2743" s="125">
        <v>228</v>
      </c>
      <c r="D2743" s="125" t="s">
        <v>5294</v>
      </c>
      <c r="E2743" s="125" t="s">
        <v>5295</v>
      </c>
      <c r="F2743" s="125" t="s">
        <v>5296</v>
      </c>
      <c r="G2743" s="125" t="s">
        <v>5297</v>
      </c>
      <c r="H2743" s="125" t="s">
        <v>5715</v>
      </c>
      <c r="I2743" s="125" t="s">
        <v>3482</v>
      </c>
    </row>
    <row r="2744" spans="1:9" x14ac:dyDescent="0.25">
      <c r="A2744" s="125" t="s">
        <v>3439</v>
      </c>
      <c r="B2744" s="125" t="s">
        <v>5293</v>
      </c>
      <c r="C2744" s="125">
        <v>228</v>
      </c>
      <c r="D2744" s="125" t="s">
        <v>5294</v>
      </c>
      <c r="E2744" s="125" t="s">
        <v>5295</v>
      </c>
      <c r="F2744" s="125" t="s">
        <v>5296</v>
      </c>
      <c r="G2744" s="125" t="s">
        <v>5297</v>
      </c>
      <c r="H2744" s="125" t="s">
        <v>6186</v>
      </c>
      <c r="I2744" s="125" t="s">
        <v>3482</v>
      </c>
    </row>
    <row r="2745" spans="1:9" x14ac:dyDescent="0.25">
      <c r="A2745" s="125" t="s">
        <v>2376</v>
      </c>
      <c r="B2745" s="125" t="s">
        <v>5293</v>
      </c>
      <c r="C2745" s="125">
        <v>228</v>
      </c>
      <c r="D2745" s="125" t="s">
        <v>5294</v>
      </c>
      <c r="E2745" s="125" t="s">
        <v>5295</v>
      </c>
      <c r="F2745" s="125" t="s">
        <v>5296</v>
      </c>
      <c r="G2745" s="125" t="s">
        <v>5297</v>
      </c>
      <c r="H2745" s="125" t="s">
        <v>5631</v>
      </c>
      <c r="I2745" s="125" t="s">
        <v>3482</v>
      </c>
    </row>
    <row r="2746" spans="1:9" x14ac:dyDescent="0.25">
      <c r="A2746" s="125" t="s">
        <v>6187</v>
      </c>
      <c r="B2746" s="125" t="s">
        <v>5293</v>
      </c>
      <c r="C2746" s="125">
        <v>228</v>
      </c>
      <c r="D2746" s="125" t="s">
        <v>5294</v>
      </c>
      <c r="E2746" s="125" t="s">
        <v>5295</v>
      </c>
      <c r="F2746" s="125" t="s">
        <v>5296</v>
      </c>
      <c r="G2746" s="125" t="s">
        <v>5297</v>
      </c>
      <c r="H2746" s="125" t="s">
        <v>5631</v>
      </c>
      <c r="I2746" s="125" t="s">
        <v>3482</v>
      </c>
    </row>
    <row r="2747" spans="1:9" x14ac:dyDescent="0.25">
      <c r="A2747" s="125" t="s">
        <v>1168</v>
      </c>
      <c r="B2747" s="125" t="s">
        <v>5348</v>
      </c>
      <c r="C2747" s="125">
        <v>284</v>
      </c>
      <c r="D2747" s="125" t="s">
        <v>5349</v>
      </c>
      <c r="E2747" s="125" t="s">
        <v>5341</v>
      </c>
      <c r="F2747" s="140" t="s">
        <v>5342</v>
      </c>
      <c r="G2747" s="125" t="s">
        <v>5297</v>
      </c>
      <c r="H2747" s="125" t="s">
        <v>1167</v>
      </c>
      <c r="I2747" s="125" t="s">
        <v>5351</v>
      </c>
    </row>
    <row r="2748" spans="1:9" x14ac:dyDescent="0.25">
      <c r="A2748" s="125" t="s">
        <v>1340</v>
      </c>
      <c r="B2748" s="125" t="s">
        <v>5348</v>
      </c>
      <c r="C2748" s="125">
        <v>284</v>
      </c>
      <c r="D2748" s="125" t="s">
        <v>5349</v>
      </c>
      <c r="E2748" s="125" t="s">
        <v>5341</v>
      </c>
      <c r="F2748" s="140" t="s">
        <v>5342</v>
      </c>
      <c r="G2748" s="125" t="s">
        <v>5297</v>
      </c>
      <c r="H2748" s="125" t="s">
        <v>1167</v>
      </c>
      <c r="I2748" s="125" t="s">
        <v>5351</v>
      </c>
    </row>
    <row r="2749" spans="1:9" x14ac:dyDescent="0.25">
      <c r="A2749" s="125" t="s">
        <v>1516</v>
      </c>
      <c r="B2749" s="125" t="s">
        <v>5348</v>
      </c>
      <c r="C2749" s="125">
        <v>284</v>
      </c>
      <c r="D2749" s="125" t="s">
        <v>5349</v>
      </c>
      <c r="E2749" s="125" t="s">
        <v>5341</v>
      </c>
      <c r="F2749" s="140" t="s">
        <v>5342</v>
      </c>
      <c r="G2749" s="125" t="s">
        <v>5297</v>
      </c>
      <c r="H2749" s="125" t="s">
        <v>1167</v>
      </c>
      <c r="I2749" s="125" t="s">
        <v>5351</v>
      </c>
    </row>
    <row r="2750" spans="1:9" x14ac:dyDescent="0.25">
      <c r="A2750" s="125" t="s">
        <v>2930</v>
      </c>
      <c r="B2750" s="125" t="s">
        <v>5348</v>
      </c>
      <c r="C2750" s="125">
        <v>284</v>
      </c>
      <c r="D2750" s="125" t="s">
        <v>5349</v>
      </c>
      <c r="E2750" s="125" t="s">
        <v>5341</v>
      </c>
      <c r="F2750" s="140" t="s">
        <v>5342</v>
      </c>
      <c r="G2750" s="125" t="s">
        <v>5297</v>
      </c>
      <c r="H2750" s="125" t="s">
        <v>371</v>
      </c>
      <c r="I2750" s="125" t="s">
        <v>371</v>
      </c>
    </row>
    <row r="2751" spans="1:9" x14ac:dyDescent="0.25">
      <c r="A2751" s="125" t="s">
        <v>2581</v>
      </c>
      <c r="B2751" s="125" t="s">
        <v>5348</v>
      </c>
      <c r="C2751" s="125">
        <v>284</v>
      </c>
      <c r="D2751" s="125" t="s">
        <v>5349</v>
      </c>
      <c r="E2751" s="125" t="s">
        <v>5341</v>
      </c>
      <c r="F2751" s="140" t="s">
        <v>5342</v>
      </c>
      <c r="G2751" s="125" t="s">
        <v>5297</v>
      </c>
      <c r="H2751" s="125" t="s">
        <v>5352</v>
      </c>
      <c r="I2751" s="125" t="s">
        <v>5351</v>
      </c>
    </row>
    <row r="2752" spans="1:9" x14ac:dyDescent="0.25">
      <c r="A2752" s="125" t="s">
        <v>1350</v>
      </c>
      <c r="B2752" s="125" t="s">
        <v>5348</v>
      </c>
      <c r="C2752" s="125">
        <v>284</v>
      </c>
      <c r="D2752" s="125" t="s">
        <v>5349</v>
      </c>
      <c r="E2752" s="125" t="s">
        <v>5341</v>
      </c>
      <c r="F2752" s="140" t="s">
        <v>5342</v>
      </c>
      <c r="G2752" s="125" t="s">
        <v>5297</v>
      </c>
      <c r="H2752" s="125" t="s">
        <v>5352</v>
      </c>
      <c r="I2752" s="125" t="s">
        <v>5351</v>
      </c>
    </row>
    <row r="2753" spans="1:9" x14ac:dyDescent="0.25">
      <c r="A2753" s="125" t="s">
        <v>2302</v>
      </c>
      <c r="B2753" s="125" t="s">
        <v>5348</v>
      </c>
      <c r="C2753" s="125">
        <v>284</v>
      </c>
      <c r="D2753" s="125" t="s">
        <v>5349</v>
      </c>
      <c r="E2753" s="125" t="s">
        <v>5341</v>
      </c>
      <c r="F2753" s="140" t="s">
        <v>5342</v>
      </c>
      <c r="G2753" s="125" t="s">
        <v>5297</v>
      </c>
      <c r="H2753" s="125" t="s">
        <v>5352</v>
      </c>
      <c r="I2753" s="125" t="s">
        <v>5351</v>
      </c>
    </row>
    <row r="2754" spans="1:9" x14ac:dyDescent="0.25">
      <c r="A2754" s="125" t="s">
        <v>6188</v>
      </c>
      <c r="B2754" s="125" t="s">
        <v>5348</v>
      </c>
      <c r="C2754" s="125">
        <v>284</v>
      </c>
      <c r="D2754" s="125" t="s">
        <v>5349</v>
      </c>
      <c r="E2754" s="125" t="s">
        <v>5341</v>
      </c>
      <c r="F2754" s="140" t="s">
        <v>5342</v>
      </c>
      <c r="G2754" s="125" t="s">
        <v>5297</v>
      </c>
      <c r="H2754" s="125" t="s">
        <v>371</v>
      </c>
      <c r="I2754" s="125" t="s">
        <v>371</v>
      </c>
    </row>
    <row r="2755" spans="1:9" x14ac:dyDescent="0.25">
      <c r="A2755" s="125" t="s">
        <v>3442</v>
      </c>
      <c r="B2755" s="125" t="s">
        <v>5348</v>
      </c>
      <c r="C2755" s="125">
        <v>284</v>
      </c>
      <c r="D2755" s="125" t="s">
        <v>5349</v>
      </c>
      <c r="E2755" s="125" t="s">
        <v>5341</v>
      </c>
      <c r="F2755" s="140" t="s">
        <v>5342</v>
      </c>
      <c r="G2755" s="125" t="s">
        <v>5297</v>
      </c>
      <c r="H2755" s="125" t="s">
        <v>5352</v>
      </c>
      <c r="I2755" s="125" t="s">
        <v>5351</v>
      </c>
    </row>
    <row r="2756" spans="1:9" x14ac:dyDescent="0.25">
      <c r="A2756" s="125" t="s">
        <v>1688</v>
      </c>
      <c r="B2756" s="125" t="s">
        <v>5348</v>
      </c>
      <c r="C2756" s="125">
        <v>284</v>
      </c>
      <c r="D2756" s="125" t="s">
        <v>5349</v>
      </c>
      <c r="E2756" s="125" t="s">
        <v>5341</v>
      </c>
      <c r="F2756" s="140" t="s">
        <v>5342</v>
      </c>
      <c r="G2756" s="125" t="s">
        <v>5297</v>
      </c>
      <c r="H2756" s="125" t="s">
        <v>1167</v>
      </c>
      <c r="I2756" s="125" t="s">
        <v>5351</v>
      </c>
    </row>
    <row r="2757" spans="1:9" x14ac:dyDescent="0.25">
      <c r="A2757" s="125" t="s">
        <v>2231</v>
      </c>
      <c r="B2757" s="125" t="s">
        <v>5348</v>
      </c>
      <c r="C2757" s="125">
        <v>284</v>
      </c>
      <c r="D2757" s="125" t="s">
        <v>5349</v>
      </c>
      <c r="E2757" s="125" t="s">
        <v>5341</v>
      </c>
      <c r="F2757" s="140" t="s">
        <v>5342</v>
      </c>
      <c r="G2757" s="125" t="s">
        <v>5297</v>
      </c>
      <c r="H2757" s="125" t="s">
        <v>1167</v>
      </c>
      <c r="I2757" s="125" t="s">
        <v>5351</v>
      </c>
    </row>
    <row r="2758" spans="1:9" x14ac:dyDescent="0.25">
      <c r="A2758" s="125" t="s">
        <v>1836</v>
      </c>
      <c r="B2758" s="125" t="s">
        <v>5348</v>
      </c>
      <c r="C2758" s="125">
        <v>284</v>
      </c>
      <c r="D2758" s="125" t="s">
        <v>5349</v>
      </c>
      <c r="E2758" s="125" t="s">
        <v>5341</v>
      </c>
      <c r="F2758" s="140" t="s">
        <v>5342</v>
      </c>
      <c r="G2758" s="125" t="s">
        <v>5297</v>
      </c>
      <c r="H2758" s="125" t="s">
        <v>1167</v>
      </c>
      <c r="I2758" s="125" t="s">
        <v>5351</v>
      </c>
    </row>
    <row r="2759" spans="1:9" x14ac:dyDescent="0.25">
      <c r="A2759" s="125" t="s">
        <v>2578</v>
      </c>
      <c r="B2759" s="125" t="s">
        <v>5348</v>
      </c>
      <c r="C2759" s="125">
        <v>284</v>
      </c>
      <c r="D2759" s="125" t="s">
        <v>5349</v>
      </c>
      <c r="E2759" s="125" t="s">
        <v>5341</v>
      </c>
      <c r="F2759" s="140" t="s">
        <v>5342</v>
      </c>
      <c r="G2759" s="125" t="s">
        <v>5297</v>
      </c>
      <c r="H2759" s="125" t="s">
        <v>1167</v>
      </c>
      <c r="I2759" s="125" t="s">
        <v>5351</v>
      </c>
    </row>
    <row r="2760" spans="1:9" x14ac:dyDescent="0.25">
      <c r="A2760" s="125" t="s">
        <v>2239</v>
      </c>
      <c r="B2760" s="125" t="s">
        <v>5348</v>
      </c>
      <c r="C2760" s="125">
        <v>284</v>
      </c>
      <c r="D2760" s="125" t="s">
        <v>5349</v>
      </c>
      <c r="E2760" s="125" t="s">
        <v>5341</v>
      </c>
      <c r="F2760" s="140" t="s">
        <v>5342</v>
      </c>
      <c r="G2760" s="125" t="s">
        <v>5297</v>
      </c>
      <c r="H2760" s="125" t="s">
        <v>371</v>
      </c>
      <c r="I2760" s="125" t="s">
        <v>371</v>
      </c>
    </row>
    <row r="2761" spans="1:9" x14ac:dyDescent="0.25">
      <c r="A2761" s="125" t="s">
        <v>2345</v>
      </c>
      <c r="B2761" s="125" t="s">
        <v>5348</v>
      </c>
      <c r="C2761" s="125">
        <v>284</v>
      </c>
      <c r="D2761" s="125" t="s">
        <v>5349</v>
      </c>
      <c r="E2761" s="125" t="s">
        <v>5341</v>
      </c>
      <c r="F2761" s="140" t="s">
        <v>5342</v>
      </c>
      <c r="G2761" s="125" t="s">
        <v>5297</v>
      </c>
      <c r="H2761" s="125" t="s">
        <v>371</v>
      </c>
      <c r="I2761" s="125" t="s">
        <v>371</v>
      </c>
    </row>
    <row r="2762" spans="1:9" x14ac:dyDescent="0.25">
      <c r="A2762" s="125" t="s">
        <v>2618</v>
      </c>
      <c r="B2762" s="125" t="s">
        <v>5348</v>
      </c>
      <c r="C2762" s="125">
        <v>284</v>
      </c>
      <c r="D2762" s="125" t="s">
        <v>5349</v>
      </c>
      <c r="E2762" s="125" t="s">
        <v>5341</v>
      </c>
      <c r="F2762" s="140" t="s">
        <v>5342</v>
      </c>
      <c r="G2762" s="125" t="s">
        <v>5297</v>
      </c>
      <c r="H2762" s="125" t="s">
        <v>1167</v>
      </c>
      <c r="I2762" s="125" t="s">
        <v>5351</v>
      </c>
    </row>
    <row r="2763" spans="1:9" x14ac:dyDescent="0.25">
      <c r="A2763" s="125" t="s">
        <v>1325</v>
      </c>
      <c r="B2763" s="125" t="s">
        <v>5348</v>
      </c>
      <c r="C2763" s="125">
        <v>284</v>
      </c>
      <c r="D2763" s="125" t="s">
        <v>5349</v>
      </c>
      <c r="E2763" s="125" t="s">
        <v>5341</v>
      </c>
      <c r="F2763" s="140" t="s">
        <v>5342</v>
      </c>
      <c r="G2763" s="125" t="s">
        <v>5297</v>
      </c>
      <c r="H2763" s="125" t="s">
        <v>371</v>
      </c>
      <c r="I2763" s="125" t="s">
        <v>371</v>
      </c>
    </row>
    <row r="2764" spans="1:9" x14ac:dyDescent="0.25">
      <c r="A2764" s="125" t="s">
        <v>2794</v>
      </c>
      <c r="B2764" s="125" t="s">
        <v>5339</v>
      </c>
      <c r="C2764" s="125">
        <v>235</v>
      </c>
      <c r="D2764" s="139" t="s">
        <v>5340</v>
      </c>
      <c r="E2764" s="125" t="s">
        <v>5341</v>
      </c>
      <c r="F2764" s="140" t="s">
        <v>5342</v>
      </c>
      <c r="G2764" s="125" t="s">
        <v>5297</v>
      </c>
      <c r="H2764" s="125" t="s">
        <v>1124</v>
      </c>
      <c r="I2764" s="125" t="s">
        <v>5366</v>
      </c>
    </row>
    <row r="2765" spans="1:9" x14ac:dyDescent="0.25">
      <c r="A2765" s="125" t="s">
        <v>1125</v>
      </c>
      <c r="B2765" s="125" t="s">
        <v>5339</v>
      </c>
      <c r="C2765" s="125">
        <v>235</v>
      </c>
      <c r="D2765" s="139" t="s">
        <v>5340</v>
      </c>
      <c r="E2765" s="125" t="s">
        <v>5341</v>
      </c>
      <c r="F2765" s="140" t="s">
        <v>5342</v>
      </c>
      <c r="G2765" s="125" t="s">
        <v>5297</v>
      </c>
      <c r="H2765" s="125" t="s">
        <v>371</v>
      </c>
      <c r="I2765" s="125" t="s">
        <v>371</v>
      </c>
    </row>
    <row r="2766" spans="1:9" x14ac:dyDescent="0.25">
      <c r="A2766" s="125" t="s">
        <v>2664</v>
      </c>
      <c r="B2766" s="125" t="s">
        <v>5339</v>
      </c>
      <c r="C2766" s="125">
        <v>235</v>
      </c>
      <c r="D2766" s="139" t="s">
        <v>5340</v>
      </c>
      <c r="E2766" s="125" t="s">
        <v>5341</v>
      </c>
      <c r="F2766" s="140" t="s">
        <v>5342</v>
      </c>
      <c r="G2766" s="125" t="s">
        <v>5297</v>
      </c>
      <c r="H2766" s="125" t="s">
        <v>1124</v>
      </c>
      <c r="I2766" s="125" t="s">
        <v>5366</v>
      </c>
    </row>
    <row r="2767" spans="1:9" x14ac:dyDescent="0.25">
      <c r="A2767" s="125" t="s">
        <v>2511</v>
      </c>
      <c r="B2767" s="125" t="s">
        <v>5339</v>
      </c>
      <c r="C2767" s="125">
        <v>235</v>
      </c>
      <c r="D2767" s="139" t="s">
        <v>5340</v>
      </c>
      <c r="E2767" s="125" t="s">
        <v>5341</v>
      </c>
      <c r="F2767" s="140" t="s">
        <v>5342</v>
      </c>
      <c r="G2767" s="125" t="s">
        <v>5297</v>
      </c>
      <c r="H2767" s="125" t="s">
        <v>1124</v>
      </c>
      <c r="I2767" s="125" t="s">
        <v>5366</v>
      </c>
    </row>
    <row r="2768" spans="1:9" x14ac:dyDescent="0.25">
      <c r="A2768" s="125" t="s">
        <v>1552</v>
      </c>
      <c r="B2768" s="125" t="s">
        <v>5339</v>
      </c>
      <c r="C2768" s="125">
        <v>235</v>
      </c>
      <c r="D2768" s="139" t="s">
        <v>5340</v>
      </c>
      <c r="E2768" s="125" t="s">
        <v>5341</v>
      </c>
      <c r="F2768" s="140" t="s">
        <v>5342</v>
      </c>
      <c r="G2768" s="125" t="s">
        <v>5297</v>
      </c>
      <c r="H2768" s="125" t="s">
        <v>1124</v>
      </c>
      <c r="I2768" s="125" t="s">
        <v>5366</v>
      </c>
    </row>
    <row r="2769" spans="1:9" x14ac:dyDescent="0.25">
      <c r="A2769" s="125" t="s">
        <v>1373</v>
      </c>
      <c r="B2769" s="125" t="s">
        <v>5339</v>
      </c>
      <c r="C2769" s="125">
        <v>235</v>
      </c>
      <c r="D2769" s="139" t="s">
        <v>5340</v>
      </c>
      <c r="E2769" s="125" t="s">
        <v>5341</v>
      </c>
      <c r="F2769" s="140" t="s">
        <v>5342</v>
      </c>
      <c r="G2769" s="125" t="s">
        <v>5297</v>
      </c>
      <c r="H2769" s="125" t="s">
        <v>1124</v>
      </c>
      <c r="I2769" s="125" t="s">
        <v>5366</v>
      </c>
    </row>
    <row r="2770" spans="1:9" x14ac:dyDescent="0.25">
      <c r="A2770" s="125" t="s">
        <v>1555</v>
      </c>
      <c r="B2770" s="125" t="s">
        <v>5339</v>
      </c>
      <c r="C2770" s="125">
        <v>235</v>
      </c>
      <c r="D2770" s="139" t="s">
        <v>5340</v>
      </c>
      <c r="E2770" s="125" t="s">
        <v>5341</v>
      </c>
      <c r="F2770" s="140" t="s">
        <v>5342</v>
      </c>
      <c r="G2770" s="125" t="s">
        <v>5297</v>
      </c>
      <c r="H2770" s="125" t="s">
        <v>1124</v>
      </c>
      <c r="I2770" s="125" t="s">
        <v>5366</v>
      </c>
    </row>
    <row r="2771" spans="1:9" x14ac:dyDescent="0.25">
      <c r="A2771" s="125" t="s">
        <v>1553</v>
      </c>
      <c r="B2771" s="125" t="s">
        <v>5339</v>
      </c>
      <c r="C2771" s="125">
        <v>235</v>
      </c>
      <c r="D2771" s="139" t="s">
        <v>5340</v>
      </c>
      <c r="E2771" s="125" t="s">
        <v>5341</v>
      </c>
      <c r="F2771" s="140" t="s">
        <v>5342</v>
      </c>
      <c r="G2771" s="125" t="s">
        <v>5297</v>
      </c>
      <c r="H2771" s="125" t="s">
        <v>5862</v>
      </c>
      <c r="I2771" s="125" t="s">
        <v>5344</v>
      </c>
    </row>
    <row r="2772" spans="1:9" x14ac:dyDescent="0.25">
      <c r="A2772" s="125" t="s">
        <v>2591</v>
      </c>
      <c r="B2772" s="125" t="s">
        <v>5320</v>
      </c>
      <c r="C2772" s="125">
        <v>234</v>
      </c>
      <c r="D2772" s="125" t="s">
        <v>5321</v>
      </c>
      <c r="E2772" s="125" t="s">
        <v>5303</v>
      </c>
      <c r="F2772" s="125" t="s">
        <v>5304</v>
      </c>
      <c r="G2772" s="125" t="s">
        <v>5297</v>
      </c>
      <c r="H2772" s="125" t="s">
        <v>1322</v>
      </c>
      <c r="I2772" s="125" t="s">
        <v>3223</v>
      </c>
    </row>
    <row r="2773" spans="1:9" x14ac:dyDescent="0.25">
      <c r="A2773" s="125" t="s">
        <v>1933</v>
      </c>
      <c r="B2773" s="125" t="s">
        <v>5320</v>
      </c>
      <c r="C2773" s="125">
        <v>234</v>
      </c>
      <c r="D2773" s="125" t="s">
        <v>5321</v>
      </c>
      <c r="E2773" s="125" t="s">
        <v>5303</v>
      </c>
      <c r="F2773" s="125" t="s">
        <v>5304</v>
      </c>
      <c r="G2773" s="125" t="s">
        <v>5297</v>
      </c>
      <c r="H2773" s="125" t="s">
        <v>6189</v>
      </c>
      <c r="I2773" s="125" t="s">
        <v>3223</v>
      </c>
    </row>
    <row r="2774" spans="1:9" x14ac:dyDescent="0.25">
      <c r="A2774" s="125" t="s">
        <v>1143</v>
      </c>
      <c r="B2774" s="125" t="s">
        <v>5320</v>
      </c>
      <c r="C2774" s="125">
        <v>234</v>
      </c>
      <c r="D2774" s="125" t="s">
        <v>5321</v>
      </c>
      <c r="E2774" s="125" t="s">
        <v>5303</v>
      </c>
      <c r="F2774" s="125" t="s">
        <v>5304</v>
      </c>
      <c r="G2774" s="125" t="s">
        <v>5297</v>
      </c>
      <c r="H2774" s="125" t="s">
        <v>6189</v>
      </c>
      <c r="I2774" s="125" t="s">
        <v>3223</v>
      </c>
    </row>
    <row r="2775" spans="1:9" x14ac:dyDescent="0.25">
      <c r="A2775" s="125" t="s">
        <v>1744</v>
      </c>
      <c r="B2775" s="125" t="s">
        <v>5320</v>
      </c>
      <c r="C2775" s="125">
        <v>234</v>
      </c>
      <c r="D2775" s="125" t="s">
        <v>5321</v>
      </c>
      <c r="E2775" s="125" t="s">
        <v>5303</v>
      </c>
      <c r="F2775" s="125" t="s">
        <v>5304</v>
      </c>
      <c r="G2775" s="125" t="s">
        <v>5297</v>
      </c>
      <c r="H2775" s="125" t="s">
        <v>371</v>
      </c>
      <c r="I2775" s="125" t="s">
        <v>371</v>
      </c>
    </row>
    <row r="2776" spans="1:9" x14ac:dyDescent="0.25">
      <c r="A2776" s="125" t="s">
        <v>1932</v>
      </c>
      <c r="B2776" s="125" t="s">
        <v>5320</v>
      </c>
      <c r="C2776" s="125">
        <v>234</v>
      </c>
      <c r="D2776" s="125" t="s">
        <v>5321</v>
      </c>
      <c r="E2776" s="125" t="s">
        <v>5303</v>
      </c>
      <c r="F2776" s="125" t="s">
        <v>5304</v>
      </c>
      <c r="G2776" s="125" t="s">
        <v>5297</v>
      </c>
      <c r="H2776" s="125" t="s">
        <v>6190</v>
      </c>
      <c r="I2776" s="125" t="s">
        <v>3223</v>
      </c>
    </row>
    <row r="2777" spans="1:9" x14ac:dyDescent="0.25">
      <c r="A2777" s="125" t="s">
        <v>1214</v>
      </c>
      <c r="B2777" s="125" t="s">
        <v>5320</v>
      </c>
      <c r="C2777" s="125">
        <v>234</v>
      </c>
      <c r="D2777" s="125" t="s">
        <v>5321</v>
      </c>
      <c r="E2777" s="125" t="s">
        <v>5303</v>
      </c>
      <c r="F2777" s="125" t="s">
        <v>5304</v>
      </c>
      <c r="G2777" s="125" t="s">
        <v>5297</v>
      </c>
      <c r="H2777" s="125" t="s">
        <v>6190</v>
      </c>
      <c r="I2777" s="125" t="s">
        <v>3223</v>
      </c>
    </row>
    <row r="2778" spans="1:9" x14ac:dyDescent="0.25">
      <c r="A2778" s="125" t="s">
        <v>3224</v>
      </c>
      <c r="B2778" s="125" t="s">
        <v>5323</v>
      </c>
      <c r="C2778" s="125">
        <v>211</v>
      </c>
      <c r="D2778" s="125" t="s">
        <v>5324</v>
      </c>
      <c r="E2778" s="125" t="s">
        <v>5303</v>
      </c>
      <c r="F2778" s="125" t="s">
        <v>5304</v>
      </c>
      <c r="G2778" s="125" t="s">
        <v>5297</v>
      </c>
      <c r="H2778" s="125" t="s">
        <v>6190</v>
      </c>
      <c r="I2778" s="125" t="s">
        <v>3223</v>
      </c>
    </row>
    <row r="2779" spans="1:9" x14ac:dyDescent="0.25">
      <c r="A2779" s="125" t="s">
        <v>2010</v>
      </c>
      <c r="B2779" s="125" t="s">
        <v>5320</v>
      </c>
      <c r="C2779" s="125">
        <v>234</v>
      </c>
      <c r="D2779" s="125" t="s">
        <v>5321</v>
      </c>
      <c r="E2779" s="125" t="s">
        <v>5303</v>
      </c>
      <c r="F2779" s="125" t="s">
        <v>5304</v>
      </c>
      <c r="G2779" s="125" t="s">
        <v>5297</v>
      </c>
      <c r="H2779" s="125" t="s">
        <v>6190</v>
      </c>
      <c r="I2779" s="125" t="s">
        <v>3223</v>
      </c>
    </row>
    <row r="2780" spans="1:9" x14ac:dyDescent="0.25">
      <c r="A2780" s="125" t="s">
        <v>1757</v>
      </c>
      <c r="B2780" s="125" t="s">
        <v>5320</v>
      </c>
      <c r="C2780" s="125">
        <v>234</v>
      </c>
      <c r="D2780" s="125" t="s">
        <v>5321</v>
      </c>
      <c r="E2780" s="125" t="s">
        <v>5303</v>
      </c>
      <c r="F2780" s="125" t="s">
        <v>5304</v>
      </c>
      <c r="G2780" s="125" t="s">
        <v>5297</v>
      </c>
      <c r="H2780" s="125" t="s">
        <v>6189</v>
      </c>
      <c r="I2780" s="125" t="s">
        <v>3223</v>
      </c>
    </row>
    <row r="2781" spans="1:9" x14ac:dyDescent="0.25">
      <c r="A2781" s="125" t="s">
        <v>1934</v>
      </c>
      <c r="B2781" s="125" t="s">
        <v>5320</v>
      </c>
      <c r="C2781" s="125">
        <v>234</v>
      </c>
      <c r="D2781" s="125" t="s">
        <v>5321</v>
      </c>
      <c r="E2781" s="125" t="s">
        <v>5303</v>
      </c>
      <c r="F2781" s="125" t="s">
        <v>5304</v>
      </c>
      <c r="G2781" s="125" t="s">
        <v>5297</v>
      </c>
      <c r="H2781" s="125" t="s">
        <v>1322</v>
      </c>
      <c r="I2781" s="125" t="s">
        <v>3223</v>
      </c>
    </row>
    <row r="2782" spans="1:9" x14ac:dyDescent="0.25">
      <c r="A2782" s="125" t="s">
        <v>1931</v>
      </c>
      <c r="B2782" s="125" t="s">
        <v>5320</v>
      </c>
      <c r="C2782" s="125">
        <v>234</v>
      </c>
      <c r="D2782" s="125" t="s">
        <v>5321</v>
      </c>
      <c r="E2782" s="125" t="s">
        <v>5303</v>
      </c>
      <c r="F2782" s="125" t="s">
        <v>5304</v>
      </c>
      <c r="G2782" s="125" t="s">
        <v>5297</v>
      </c>
      <c r="H2782" s="125" t="s">
        <v>1322</v>
      </c>
      <c r="I2782" s="125" t="s">
        <v>3223</v>
      </c>
    </row>
    <row r="2783" spans="1:9" x14ac:dyDescent="0.25">
      <c r="A2783" s="125" t="s">
        <v>1323</v>
      </c>
      <c r="B2783" s="125" t="s">
        <v>5320</v>
      </c>
      <c r="C2783" s="125">
        <v>234</v>
      </c>
      <c r="D2783" s="125" t="s">
        <v>5321</v>
      </c>
      <c r="E2783" s="125" t="s">
        <v>5303</v>
      </c>
      <c r="F2783" s="125" t="s">
        <v>5304</v>
      </c>
      <c r="G2783" s="125" t="s">
        <v>5297</v>
      </c>
      <c r="H2783" s="125" t="s">
        <v>6190</v>
      </c>
      <c r="I2783" s="125" t="s">
        <v>3223</v>
      </c>
    </row>
    <row r="2784" spans="1:9" x14ac:dyDescent="0.25">
      <c r="A2784" s="125" t="s">
        <v>2662</v>
      </c>
      <c r="B2784" s="125" t="s">
        <v>5320</v>
      </c>
      <c r="C2784" s="125">
        <v>234</v>
      </c>
      <c r="D2784" s="125" t="s">
        <v>5321</v>
      </c>
      <c r="E2784" s="125" t="s">
        <v>5303</v>
      </c>
      <c r="F2784" s="125" t="s">
        <v>5304</v>
      </c>
      <c r="G2784" s="125" t="s">
        <v>5297</v>
      </c>
      <c r="H2784" s="125" t="s">
        <v>6189</v>
      </c>
      <c r="I2784" s="125" t="s">
        <v>3223</v>
      </c>
    </row>
    <row r="2785" spans="1:9" x14ac:dyDescent="0.25">
      <c r="A2785" s="125" t="s">
        <v>2905</v>
      </c>
      <c r="B2785" s="125" t="s">
        <v>5320</v>
      </c>
      <c r="C2785" s="125">
        <v>234</v>
      </c>
      <c r="D2785" s="125" t="s">
        <v>5321</v>
      </c>
      <c r="E2785" s="125" t="s">
        <v>5303</v>
      </c>
      <c r="F2785" s="125" t="s">
        <v>5304</v>
      </c>
      <c r="G2785" s="125" t="s">
        <v>5297</v>
      </c>
      <c r="H2785" s="125" t="s">
        <v>6190</v>
      </c>
      <c r="I2785" s="125" t="s">
        <v>3223</v>
      </c>
    </row>
    <row r="2786" spans="1:9" x14ac:dyDescent="0.25">
      <c r="A2786" s="125" t="s">
        <v>1108</v>
      </c>
      <c r="B2786" s="125" t="s">
        <v>5320</v>
      </c>
      <c r="C2786" s="125">
        <v>234</v>
      </c>
      <c r="D2786" s="125" t="s">
        <v>5321</v>
      </c>
      <c r="E2786" s="125" t="s">
        <v>5303</v>
      </c>
      <c r="F2786" s="125" t="s">
        <v>5304</v>
      </c>
      <c r="G2786" s="125" t="s">
        <v>5297</v>
      </c>
      <c r="H2786" s="125" t="s">
        <v>6189</v>
      </c>
      <c r="I2786" s="125" t="s">
        <v>3223</v>
      </c>
    </row>
    <row r="2787" spans="1:9" x14ac:dyDescent="0.25">
      <c r="A2787" s="125" t="s">
        <v>2574</v>
      </c>
      <c r="B2787" s="125" t="s">
        <v>5323</v>
      </c>
      <c r="C2787" s="125">
        <v>211</v>
      </c>
      <c r="D2787" s="125" t="s">
        <v>5324</v>
      </c>
      <c r="E2787" s="125" t="s">
        <v>5303</v>
      </c>
      <c r="F2787" s="125" t="s">
        <v>5304</v>
      </c>
      <c r="G2787" s="125" t="s">
        <v>5297</v>
      </c>
      <c r="H2787" s="125" t="s">
        <v>1697</v>
      </c>
      <c r="I2787" s="125" t="s">
        <v>1083</v>
      </c>
    </row>
    <row r="2788" spans="1:9" x14ac:dyDescent="0.25">
      <c r="A2788" s="125" t="s">
        <v>1904</v>
      </c>
      <c r="B2788" s="125" t="s">
        <v>5323</v>
      </c>
      <c r="C2788" s="125">
        <v>211</v>
      </c>
      <c r="D2788" s="125" t="s">
        <v>5324</v>
      </c>
      <c r="E2788" s="125" t="s">
        <v>5303</v>
      </c>
      <c r="F2788" s="125" t="s">
        <v>5304</v>
      </c>
      <c r="G2788" s="125" t="s">
        <v>5297</v>
      </c>
      <c r="H2788" s="125" t="s">
        <v>5325</v>
      </c>
      <c r="I2788" s="125" t="s">
        <v>1083</v>
      </c>
    </row>
    <row r="2789" spans="1:9" x14ac:dyDescent="0.25">
      <c r="A2789" s="125" t="s">
        <v>2630</v>
      </c>
      <c r="B2789" s="125" t="s">
        <v>5323</v>
      </c>
      <c r="C2789" s="125">
        <v>211</v>
      </c>
      <c r="D2789" s="125" t="s">
        <v>5324</v>
      </c>
      <c r="E2789" s="125" t="s">
        <v>5303</v>
      </c>
      <c r="F2789" s="125" t="s">
        <v>5304</v>
      </c>
      <c r="G2789" s="125" t="s">
        <v>5297</v>
      </c>
      <c r="H2789" s="125" t="s">
        <v>5577</v>
      </c>
      <c r="I2789" s="125" t="s">
        <v>2878</v>
      </c>
    </row>
    <row r="2790" spans="1:9" x14ac:dyDescent="0.25">
      <c r="A2790" s="125" t="s">
        <v>2654</v>
      </c>
      <c r="B2790" s="125" t="s">
        <v>5323</v>
      </c>
      <c r="C2790" s="125">
        <v>211</v>
      </c>
      <c r="D2790" s="125" t="s">
        <v>5324</v>
      </c>
      <c r="E2790" s="125" t="s">
        <v>5303</v>
      </c>
      <c r="F2790" s="125" t="s">
        <v>5304</v>
      </c>
      <c r="G2790" s="125" t="s">
        <v>5297</v>
      </c>
      <c r="H2790" s="125" t="s">
        <v>6191</v>
      </c>
      <c r="I2790" s="125" t="s">
        <v>2878</v>
      </c>
    </row>
    <row r="2791" spans="1:9" x14ac:dyDescent="0.25">
      <c r="A2791" s="125" t="s">
        <v>1259</v>
      </c>
      <c r="B2791" s="125" t="s">
        <v>5323</v>
      </c>
      <c r="C2791" s="125">
        <v>211</v>
      </c>
      <c r="D2791" s="125" t="s">
        <v>5324</v>
      </c>
      <c r="E2791" s="125" t="s">
        <v>5303</v>
      </c>
      <c r="F2791" s="125" t="s">
        <v>5304</v>
      </c>
      <c r="G2791" s="125" t="s">
        <v>5297</v>
      </c>
      <c r="H2791" s="125" t="s">
        <v>1258</v>
      </c>
      <c r="I2791" s="125" t="s">
        <v>2878</v>
      </c>
    </row>
    <row r="2792" spans="1:9" x14ac:dyDescent="0.25">
      <c r="A2792" s="125" t="s">
        <v>1631</v>
      </c>
      <c r="B2792" s="125" t="s">
        <v>5323</v>
      </c>
      <c r="C2792" s="125">
        <v>211</v>
      </c>
      <c r="D2792" s="125" t="s">
        <v>5324</v>
      </c>
      <c r="E2792" s="125" t="s">
        <v>5303</v>
      </c>
      <c r="F2792" s="125" t="s">
        <v>5304</v>
      </c>
      <c r="G2792" s="125" t="s">
        <v>5297</v>
      </c>
      <c r="H2792" s="125" t="s">
        <v>1258</v>
      </c>
      <c r="I2792" s="125" t="s">
        <v>2878</v>
      </c>
    </row>
    <row r="2793" spans="1:9" x14ac:dyDescent="0.25">
      <c r="A2793" s="125" t="s">
        <v>1116</v>
      </c>
      <c r="B2793" s="125" t="s">
        <v>5323</v>
      </c>
      <c r="C2793" s="125">
        <v>211</v>
      </c>
      <c r="D2793" s="125" t="s">
        <v>5324</v>
      </c>
      <c r="E2793" s="125" t="s">
        <v>5303</v>
      </c>
      <c r="F2793" s="125" t="s">
        <v>5304</v>
      </c>
      <c r="G2793" s="125" t="s">
        <v>5297</v>
      </c>
      <c r="H2793" s="125" t="s">
        <v>1258</v>
      </c>
      <c r="I2793" s="125" t="s">
        <v>2878</v>
      </c>
    </row>
    <row r="2794" spans="1:9" x14ac:dyDescent="0.25">
      <c r="A2794" s="125" t="s">
        <v>3340</v>
      </c>
      <c r="B2794" s="125" t="s">
        <v>5323</v>
      </c>
      <c r="C2794" s="125">
        <v>211</v>
      </c>
      <c r="D2794" s="125" t="s">
        <v>5324</v>
      </c>
      <c r="E2794" s="125" t="s">
        <v>5303</v>
      </c>
      <c r="F2794" s="125" t="s">
        <v>5304</v>
      </c>
      <c r="G2794" s="125" t="s">
        <v>5297</v>
      </c>
      <c r="H2794" s="125" t="s">
        <v>1697</v>
      </c>
      <c r="I2794" s="125" t="s">
        <v>1083</v>
      </c>
    </row>
    <row r="2795" spans="1:9" x14ac:dyDescent="0.25">
      <c r="A2795" s="125" t="s">
        <v>2100</v>
      </c>
      <c r="B2795" s="125" t="s">
        <v>5323</v>
      </c>
      <c r="C2795" s="125">
        <v>211</v>
      </c>
      <c r="D2795" s="125" t="s">
        <v>5324</v>
      </c>
      <c r="E2795" s="125" t="s">
        <v>5303</v>
      </c>
      <c r="F2795" s="125" t="s">
        <v>5304</v>
      </c>
      <c r="G2795" s="125" t="s">
        <v>5297</v>
      </c>
      <c r="H2795" s="125" t="s">
        <v>1697</v>
      </c>
      <c r="I2795" s="125" t="s">
        <v>1083</v>
      </c>
    </row>
    <row r="2796" spans="1:9" x14ac:dyDescent="0.25">
      <c r="A2796" s="125" t="s">
        <v>1823</v>
      </c>
      <c r="B2796" s="125" t="s">
        <v>5323</v>
      </c>
      <c r="C2796" s="125">
        <v>211</v>
      </c>
      <c r="D2796" s="125" t="s">
        <v>5324</v>
      </c>
      <c r="E2796" s="125" t="s">
        <v>5303</v>
      </c>
      <c r="F2796" s="125" t="s">
        <v>5304</v>
      </c>
      <c r="G2796" s="125" t="s">
        <v>5297</v>
      </c>
      <c r="H2796" s="125" t="s">
        <v>1697</v>
      </c>
      <c r="I2796" s="125" t="s">
        <v>1083</v>
      </c>
    </row>
    <row r="2797" spans="1:9" x14ac:dyDescent="0.25">
      <c r="A2797" s="125" t="s">
        <v>3293</v>
      </c>
      <c r="B2797" s="125" t="s">
        <v>5323</v>
      </c>
      <c r="C2797" s="125">
        <v>211</v>
      </c>
      <c r="D2797" s="125" t="s">
        <v>5324</v>
      </c>
      <c r="E2797" s="125" t="s">
        <v>5303</v>
      </c>
      <c r="F2797" s="125" t="s">
        <v>5304</v>
      </c>
      <c r="G2797" s="125" t="s">
        <v>5297</v>
      </c>
      <c r="H2797" s="125" t="s">
        <v>1697</v>
      </c>
      <c r="I2797" s="125" t="s">
        <v>1083</v>
      </c>
    </row>
    <row r="2798" spans="1:9" x14ac:dyDescent="0.25">
      <c r="A2798" s="125" t="s">
        <v>1698</v>
      </c>
      <c r="B2798" s="125" t="s">
        <v>5323</v>
      </c>
      <c r="C2798" s="125">
        <v>211</v>
      </c>
      <c r="D2798" s="125" t="s">
        <v>5324</v>
      </c>
      <c r="E2798" s="125" t="s">
        <v>5303</v>
      </c>
      <c r="F2798" s="125" t="s">
        <v>5304</v>
      </c>
      <c r="G2798" s="125" t="s">
        <v>5297</v>
      </c>
      <c r="H2798" s="125" t="s">
        <v>5577</v>
      </c>
      <c r="I2798" s="125" t="s">
        <v>2878</v>
      </c>
    </row>
    <row r="2799" spans="1:9" x14ac:dyDescent="0.25">
      <c r="A2799" s="125" t="s">
        <v>2405</v>
      </c>
      <c r="B2799" s="125" t="s">
        <v>5323</v>
      </c>
      <c r="C2799" s="125">
        <v>211</v>
      </c>
      <c r="D2799" s="125" t="s">
        <v>5324</v>
      </c>
      <c r="E2799" s="125" t="s">
        <v>5303</v>
      </c>
      <c r="F2799" s="125" t="s">
        <v>5304</v>
      </c>
      <c r="G2799" s="125" t="s">
        <v>5297</v>
      </c>
      <c r="H2799" s="125" t="s">
        <v>1258</v>
      </c>
      <c r="I2799" s="125" t="s">
        <v>2878</v>
      </c>
    </row>
    <row r="2800" spans="1:9" x14ac:dyDescent="0.25">
      <c r="A2800" s="125" t="s">
        <v>3331</v>
      </c>
      <c r="B2800" s="125" t="s">
        <v>5323</v>
      </c>
      <c r="C2800" s="125">
        <v>211</v>
      </c>
      <c r="D2800" s="125" t="s">
        <v>5324</v>
      </c>
      <c r="E2800" s="125" t="s">
        <v>5303</v>
      </c>
      <c r="F2800" s="125" t="s">
        <v>5304</v>
      </c>
      <c r="G2800" s="125" t="s">
        <v>5297</v>
      </c>
      <c r="H2800" s="125" t="s">
        <v>1697</v>
      </c>
      <c r="I2800" s="125" t="s">
        <v>1083</v>
      </c>
    </row>
    <row r="2801" spans="1:9" x14ac:dyDescent="0.25">
      <c r="A2801" s="125" t="s">
        <v>1818</v>
      </c>
      <c r="B2801" s="125" t="s">
        <v>5323</v>
      </c>
      <c r="C2801" s="125">
        <v>211</v>
      </c>
      <c r="D2801" s="125" t="s">
        <v>5324</v>
      </c>
      <c r="E2801" s="125" t="s">
        <v>5303</v>
      </c>
      <c r="F2801" s="125" t="s">
        <v>5304</v>
      </c>
      <c r="G2801" s="125" t="s">
        <v>5297</v>
      </c>
      <c r="H2801" s="125" t="s">
        <v>1697</v>
      </c>
      <c r="I2801" s="125" t="s">
        <v>1083</v>
      </c>
    </row>
    <row r="2802" spans="1:9" x14ac:dyDescent="0.25">
      <c r="A2802" s="125" t="s">
        <v>1616</v>
      </c>
      <c r="B2802" s="125" t="s">
        <v>5323</v>
      </c>
      <c r="C2802" s="125">
        <v>211</v>
      </c>
      <c r="D2802" s="125" t="s">
        <v>5324</v>
      </c>
      <c r="E2802" s="125" t="s">
        <v>5303</v>
      </c>
      <c r="F2802" s="125" t="s">
        <v>5304</v>
      </c>
      <c r="G2802" s="125" t="s">
        <v>5297</v>
      </c>
      <c r="H2802" s="125" t="s">
        <v>1104</v>
      </c>
      <c r="I2802" s="125" t="s">
        <v>1083</v>
      </c>
    </row>
    <row r="2803" spans="1:9" x14ac:dyDescent="0.25">
      <c r="A2803" s="125" t="s">
        <v>1488</v>
      </c>
      <c r="B2803" s="125" t="s">
        <v>5323</v>
      </c>
      <c r="C2803" s="125">
        <v>211</v>
      </c>
      <c r="D2803" s="125" t="s">
        <v>5324</v>
      </c>
      <c r="E2803" s="125" t="s">
        <v>5303</v>
      </c>
      <c r="F2803" s="125" t="s">
        <v>5304</v>
      </c>
      <c r="G2803" s="125" t="s">
        <v>5297</v>
      </c>
      <c r="H2803" s="125" t="s">
        <v>1104</v>
      </c>
      <c r="I2803" s="125" t="s">
        <v>1083</v>
      </c>
    </row>
    <row r="2804" spans="1:9" x14ac:dyDescent="0.25">
      <c r="A2804" s="125" t="s">
        <v>2370</v>
      </c>
      <c r="B2804" s="125" t="s">
        <v>5323</v>
      </c>
      <c r="C2804" s="125">
        <v>211</v>
      </c>
      <c r="D2804" s="125" t="s">
        <v>5324</v>
      </c>
      <c r="E2804" s="125" t="s">
        <v>5303</v>
      </c>
      <c r="F2804" s="125" t="s">
        <v>5304</v>
      </c>
      <c r="G2804" s="125" t="s">
        <v>5297</v>
      </c>
      <c r="H2804" s="125" t="s">
        <v>1104</v>
      </c>
      <c r="I2804" s="125" t="s">
        <v>1083</v>
      </c>
    </row>
    <row r="2805" spans="1:9" x14ac:dyDescent="0.25">
      <c r="A2805" s="125" t="s">
        <v>2762</v>
      </c>
      <c r="B2805" s="125" t="s">
        <v>5323</v>
      </c>
      <c r="C2805" s="125">
        <v>211</v>
      </c>
      <c r="D2805" s="125" t="s">
        <v>5324</v>
      </c>
      <c r="E2805" s="125" t="s">
        <v>5303</v>
      </c>
      <c r="F2805" s="125" t="s">
        <v>5304</v>
      </c>
      <c r="G2805" s="125" t="s">
        <v>5297</v>
      </c>
      <c r="H2805" s="125" t="s">
        <v>1104</v>
      </c>
      <c r="I2805" s="125" t="s">
        <v>1083</v>
      </c>
    </row>
    <row r="2806" spans="1:9" x14ac:dyDescent="0.25">
      <c r="A2806" s="125" t="s">
        <v>3317</v>
      </c>
      <c r="B2806" s="125" t="s">
        <v>5323</v>
      </c>
      <c r="C2806" s="125">
        <v>211</v>
      </c>
      <c r="D2806" s="125" t="s">
        <v>5324</v>
      </c>
      <c r="E2806" s="125" t="s">
        <v>5303</v>
      </c>
      <c r="F2806" s="125" t="s">
        <v>5304</v>
      </c>
      <c r="G2806" s="125" t="s">
        <v>5297</v>
      </c>
      <c r="H2806" s="125" t="s">
        <v>1697</v>
      </c>
      <c r="I2806" s="125" t="s">
        <v>1083</v>
      </c>
    </row>
    <row r="2807" spans="1:9" x14ac:dyDescent="0.25">
      <c r="A2807" s="125" t="s">
        <v>2831</v>
      </c>
      <c r="B2807" s="125" t="s">
        <v>5323</v>
      </c>
      <c r="C2807" s="125">
        <v>211</v>
      </c>
      <c r="D2807" s="125" t="s">
        <v>5324</v>
      </c>
      <c r="E2807" s="125" t="s">
        <v>5303</v>
      </c>
      <c r="F2807" s="125" t="s">
        <v>5304</v>
      </c>
      <c r="G2807" s="125" t="s">
        <v>5297</v>
      </c>
      <c r="H2807" s="125" t="s">
        <v>6192</v>
      </c>
      <c r="I2807" s="125" t="s">
        <v>2878</v>
      </c>
    </row>
    <row r="2808" spans="1:9" x14ac:dyDescent="0.25">
      <c r="A2808" s="125" t="s">
        <v>3220</v>
      </c>
      <c r="B2808" s="125" t="s">
        <v>5323</v>
      </c>
      <c r="C2808" s="125">
        <v>211</v>
      </c>
      <c r="D2808" s="125" t="s">
        <v>5324</v>
      </c>
      <c r="E2808" s="125" t="s">
        <v>5303</v>
      </c>
      <c r="F2808" s="125" t="s">
        <v>5304</v>
      </c>
      <c r="G2808" s="125" t="s">
        <v>5297</v>
      </c>
      <c r="H2808" s="125" t="s">
        <v>3501</v>
      </c>
      <c r="I2808" s="125" t="s">
        <v>3501</v>
      </c>
    </row>
    <row r="2809" spans="1:9" x14ac:dyDescent="0.25">
      <c r="A2809" s="125" t="s">
        <v>1273</v>
      </c>
      <c r="B2809" s="125" t="s">
        <v>5323</v>
      </c>
      <c r="C2809" s="125">
        <v>211</v>
      </c>
      <c r="D2809" s="125" t="s">
        <v>5324</v>
      </c>
      <c r="E2809" s="125" t="s">
        <v>5303</v>
      </c>
      <c r="F2809" s="125" t="s">
        <v>5304</v>
      </c>
      <c r="G2809" s="125" t="s">
        <v>5297</v>
      </c>
      <c r="H2809" s="125" t="s">
        <v>3501</v>
      </c>
      <c r="I2809" s="125" t="s">
        <v>3501</v>
      </c>
    </row>
    <row r="2810" spans="1:9" x14ac:dyDescent="0.25">
      <c r="A2810" s="125" t="s">
        <v>1327</v>
      </c>
      <c r="B2810" s="125" t="s">
        <v>5323</v>
      </c>
      <c r="C2810" s="125">
        <v>211</v>
      </c>
      <c r="D2810" s="125" t="s">
        <v>5324</v>
      </c>
      <c r="E2810" s="125" t="s">
        <v>5303</v>
      </c>
      <c r="F2810" s="125" t="s">
        <v>5304</v>
      </c>
      <c r="G2810" s="125" t="s">
        <v>5297</v>
      </c>
      <c r="H2810" s="125" t="s">
        <v>1104</v>
      </c>
      <c r="I2810" s="125" t="s">
        <v>1083</v>
      </c>
    </row>
    <row r="2811" spans="1:9" x14ac:dyDescent="0.25">
      <c r="A2811" s="125" t="s">
        <v>1758</v>
      </c>
      <c r="B2811" s="125" t="s">
        <v>5323</v>
      </c>
      <c r="C2811" s="125">
        <v>211</v>
      </c>
      <c r="D2811" s="125" t="s">
        <v>5324</v>
      </c>
      <c r="E2811" s="125" t="s">
        <v>5303</v>
      </c>
      <c r="F2811" s="125" t="s">
        <v>5304</v>
      </c>
      <c r="G2811" s="125" t="s">
        <v>5297</v>
      </c>
      <c r="H2811" s="125" t="s">
        <v>1104</v>
      </c>
      <c r="I2811" s="125" t="s">
        <v>1083</v>
      </c>
    </row>
    <row r="2812" spans="1:9" x14ac:dyDescent="0.25">
      <c r="A2812" s="125" t="s">
        <v>1105</v>
      </c>
      <c r="B2812" s="125" t="s">
        <v>5323</v>
      </c>
      <c r="C2812" s="125">
        <v>211</v>
      </c>
      <c r="D2812" s="125" t="s">
        <v>5324</v>
      </c>
      <c r="E2812" s="125" t="s">
        <v>5303</v>
      </c>
      <c r="F2812" s="125" t="s">
        <v>5304</v>
      </c>
      <c r="G2812" s="125" t="s">
        <v>5297</v>
      </c>
      <c r="H2812" s="125" t="s">
        <v>6192</v>
      </c>
      <c r="I2812" s="125" t="s">
        <v>2878</v>
      </c>
    </row>
    <row r="2813" spans="1:9" x14ac:dyDescent="0.25">
      <c r="A2813" s="125" t="s">
        <v>2655</v>
      </c>
      <c r="B2813" s="125" t="s">
        <v>5323</v>
      </c>
      <c r="C2813" s="125">
        <v>211</v>
      </c>
      <c r="D2813" s="125" t="s">
        <v>5324</v>
      </c>
      <c r="E2813" s="125" t="s">
        <v>5303</v>
      </c>
      <c r="F2813" s="125" t="s">
        <v>5304</v>
      </c>
      <c r="G2813" s="125" t="s">
        <v>5297</v>
      </c>
      <c r="H2813" s="125" t="s">
        <v>3501</v>
      </c>
      <c r="I2813" s="125" t="s">
        <v>3501</v>
      </c>
    </row>
    <row r="2814" spans="1:9" x14ac:dyDescent="0.25">
      <c r="A2814" s="125" t="s">
        <v>2819</v>
      </c>
      <c r="B2814" s="125" t="s">
        <v>5323</v>
      </c>
      <c r="C2814" s="125">
        <v>211</v>
      </c>
      <c r="D2814" s="125" t="s">
        <v>5324</v>
      </c>
      <c r="E2814" s="125" t="s">
        <v>5303</v>
      </c>
      <c r="F2814" s="125" t="s">
        <v>5304</v>
      </c>
      <c r="G2814" s="125" t="s">
        <v>5297</v>
      </c>
      <c r="H2814" s="125" t="s">
        <v>1104</v>
      </c>
      <c r="I2814" s="125" t="s">
        <v>1083</v>
      </c>
    </row>
    <row r="2815" spans="1:9" x14ac:dyDescent="0.25">
      <c r="A2815" s="125" t="s">
        <v>1684</v>
      </c>
      <c r="B2815" s="125" t="s">
        <v>5323</v>
      </c>
      <c r="C2815" s="125">
        <v>211</v>
      </c>
      <c r="D2815" s="125" t="s">
        <v>5324</v>
      </c>
      <c r="E2815" s="125" t="s">
        <v>5303</v>
      </c>
      <c r="F2815" s="125" t="s">
        <v>5304</v>
      </c>
      <c r="G2815" s="125" t="s">
        <v>5297</v>
      </c>
      <c r="H2815" s="125" t="s">
        <v>3501</v>
      </c>
      <c r="I2815" s="125" t="s">
        <v>3501</v>
      </c>
    </row>
    <row r="2816" spans="1:9" x14ac:dyDescent="0.25">
      <c r="A2816" s="125" t="s">
        <v>3354</v>
      </c>
      <c r="B2816" s="125" t="s">
        <v>5323</v>
      </c>
      <c r="C2816" s="125">
        <v>211</v>
      </c>
      <c r="D2816" s="125" t="s">
        <v>5324</v>
      </c>
      <c r="E2816" s="125" t="s">
        <v>5303</v>
      </c>
      <c r="F2816" s="125" t="s">
        <v>5304</v>
      </c>
      <c r="G2816" s="125" t="s">
        <v>5297</v>
      </c>
      <c r="H2816" s="125" t="s">
        <v>5577</v>
      </c>
      <c r="I2816" s="125" t="s">
        <v>2878</v>
      </c>
    </row>
    <row r="2817" spans="1:9" x14ac:dyDescent="0.25">
      <c r="A2817" s="125" t="s">
        <v>2895</v>
      </c>
      <c r="B2817" s="125" t="s">
        <v>5323</v>
      </c>
      <c r="C2817" s="125">
        <v>211</v>
      </c>
      <c r="D2817" s="125" t="s">
        <v>5324</v>
      </c>
      <c r="E2817" s="125" t="s">
        <v>5303</v>
      </c>
      <c r="F2817" s="125" t="s">
        <v>5304</v>
      </c>
      <c r="G2817" s="125" t="s">
        <v>5297</v>
      </c>
      <c r="H2817" s="125" t="s">
        <v>6192</v>
      </c>
      <c r="I2817" s="125" t="s">
        <v>2878</v>
      </c>
    </row>
    <row r="2818" spans="1:9" x14ac:dyDescent="0.25">
      <c r="A2818" s="125" t="s">
        <v>2883</v>
      </c>
      <c r="B2818" s="125" t="s">
        <v>5348</v>
      </c>
      <c r="C2818" s="125">
        <v>284</v>
      </c>
      <c r="D2818" s="125" t="s">
        <v>5349</v>
      </c>
      <c r="E2818" s="125" t="s">
        <v>5341</v>
      </c>
      <c r="F2818" s="140" t="s">
        <v>5342</v>
      </c>
      <c r="G2818" s="125" t="s">
        <v>5297</v>
      </c>
      <c r="H2818" s="125" t="s">
        <v>1485</v>
      </c>
      <c r="I2818" s="125" t="s">
        <v>5355</v>
      </c>
    </row>
    <row r="2819" spans="1:9" x14ac:dyDescent="0.25">
      <c r="A2819" s="125" t="s">
        <v>1984</v>
      </c>
      <c r="B2819" s="125" t="s">
        <v>5348</v>
      </c>
      <c r="C2819" s="125">
        <v>284</v>
      </c>
      <c r="D2819" s="125" t="s">
        <v>5349</v>
      </c>
      <c r="E2819" s="125" t="s">
        <v>5341</v>
      </c>
      <c r="F2819" s="140" t="s">
        <v>5342</v>
      </c>
      <c r="G2819" s="125" t="s">
        <v>5297</v>
      </c>
      <c r="H2819" s="125" t="s">
        <v>1485</v>
      </c>
      <c r="I2819" s="125" t="s">
        <v>5355</v>
      </c>
    </row>
    <row r="2820" spans="1:9" x14ac:dyDescent="0.25">
      <c r="A2820" s="125" t="s">
        <v>1465</v>
      </c>
      <c r="B2820" s="125" t="s">
        <v>5561</v>
      </c>
      <c r="C2820" s="125">
        <v>231</v>
      </c>
      <c r="D2820" s="125" t="s">
        <v>5562</v>
      </c>
      <c r="E2820" s="125" t="s">
        <v>5341</v>
      </c>
      <c r="F2820" s="140" t="s">
        <v>5342</v>
      </c>
      <c r="G2820" s="125" t="s">
        <v>5297</v>
      </c>
      <c r="H2820" s="125" t="s">
        <v>1464</v>
      </c>
      <c r="I2820" s="125" t="s">
        <v>5355</v>
      </c>
    </row>
    <row r="2821" spans="1:9" x14ac:dyDescent="0.25">
      <c r="A2821" s="125" t="s">
        <v>2385</v>
      </c>
      <c r="B2821" s="125" t="s">
        <v>5561</v>
      </c>
      <c r="C2821" s="125">
        <v>231</v>
      </c>
      <c r="D2821" s="125" t="s">
        <v>5562</v>
      </c>
      <c r="E2821" s="125" t="s">
        <v>5341</v>
      </c>
      <c r="F2821" s="140" t="s">
        <v>5342</v>
      </c>
      <c r="G2821" s="125" t="s">
        <v>5297</v>
      </c>
      <c r="H2821" s="125" t="s">
        <v>1464</v>
      </c>
      <c r="I2821" s="125" t="s">
        <v>5355</v>
      </c>
    </row>
    <row r="2822" spans="1:9" x14ac:dyDescent="0.25">
      <c r="A2822" s="125" t="s">
        <v>1847</v>
      </c>
      <c r="B2822" s="125" t="s">
        <v>5561</v>
      </c>
      <c r="C2822" s="125">
        <v>231</v>
      </c>
      <c r="D2822" s="125" t="s">
        <v>5562</v>
      </c>
      <c r="E2822" s="125" t="s">
        <v>5341</v>
      </c>
      <c r="F2822" s="140" t="s">
        <v>5342</v>
      </c>
      <c r="G2822" s="125" t="s">
        <v>5297</v>
      </c>
      <c r="H2822" s="125" t="s">
        <v>1464</v>
      </c>
      <c r="I2822" s="125" t="s">
        <v>5355</v>
      </c>
    </row>
    <row r="2823" spans="1:9" x14ac:dyDescent="0.25">
      <c r="A2823" s="125" t="s">
        <v>2732</v>
      </c>
      <c r="B2823" s="125" t="s">
        <v>5561</v>
      </c>
      <c r="C2823" s="125">
        <v>231</v>
      </c>
      <c r="D2823" s="125" t="s">
        <v>5562</v>
      </c>
      <c r="E2823" s="125" t="s">
        <v>5341</v>
      </c>
      <c r="F2823" s="140" t="s">
        <v>5342</v>
      </c>
      <c r="G2823" s="125" t="s">
        <v>5297</v>
      </c>
      <c r="H2823" s="125" t="s">
        <v>1464</v>
      </c>
      <c r="I2823" s="125" t="s">
        <v>5355</v>
      </c>
    </row>
    <row r="2824" spans="1:9" x14ac:dyDescent="0.25">
      <c r="A2824" s="125" t="s">
        <v>1584</v>
      </c>
      <c r="B2824" s="125" t="s">
        <v>5561</v>
      </c>
      <c r="C2824" s="125">
        <v>231</v>
      </c>
      <c r="D2824" s="125" t="s">
        <v>5562</v>
      </c>
      <c r="E2824" s="125" t="s">
        <v>5341</v>
      </c>
      <c r="F2824" s="140" t="s">
        <v>5342</v>
      </c>
      <c r="G2824" s="125" t="s">
        <v>5297</v>
      </c>
      <c r="H2824" s="125" t="s">
        <v>5566</v>
      </c>
      <c r="I2824" s="125" t="s">
        <v>5566</v>
      </c>
    </row>
    <row r="2825" spans="1:9" x14ac:dyDescent="0.25">
      <c r="A2825" s="125" t="s">
        <v>2304</v>
      </c>
      <c r="B2825" s="125" t="s">
        <v>5561</v>
      </c>
      <c r="C2825" s="125">
        <v>231</v>
      </c>
      <c r="D2825" s="125" t="s">
        <v>5562</v>
      </c>
      <c r="E2825" s="125" t="s">
        <v>5341</v>
      </c>
      <c r="F2825" s="140" t="s">
        <v>5342</v>
      </c>
      <c r="G2825" s="125" t="s">
        <v>5297</v>
      </c>
      <c r="H2825" s="125" t="s">
        <v>5566</v>
      </c>
      <c r="I2825" s="125" t="s">
        <v>5566</v>
      </c>
    </row>
    <row r="2826" spans="1:9" x14ac:dyDescent="0.25">
      <c r="A2826" s="125" t="s">
        <v>2396</v>
      </c>
      <c r="B2826" s="125" t="s">
        <v>5556</v>
      </c>
      <c r="C2826" s="125">
        <v>291</v>
      </c>
      <c r="D2826" s="125" t="s">
        <v>5557</v>
      </c>
      <c r="E2826" s="125" t="s">
        <v>5341</v>
      </c>
      <c r="F2826" s="140" t="s">
        <v>5342</v>
      </c>
      <c r="G2826" s="125" t="s">
        <v>5297</v>
      </c>
      <c r="H2826" s="125" t="s">
        <v>6193</v>
      </c>
      <c r="I2826" s="125" t="s">
        <v>5355</v>
      </c>
    </row>
    <row r="2827" spans="1:9" x14ac:dyDescent="0.25">
      <c r="A2827" s="125" t="s">
        <v>2720</v>
      </c>
      <c r="B2827" s="125" t="s">
        <v>5556</v>
      </c>
      <c r="C2827" s="125">
        <v>291</v>
      </c>
      <c r="D2827" s="125" t="s">
        <v>5557</v>
      </c>
      <c r="E2827" s="125" t="s">
        <v>5341</v>
      </c>
      <c r="F2827" s="140" t="s">
        <v>5342</v>
      </c>
      <c r="G2827" s="125" t="s">
        <v>5297</v>
      </c>
      <c r="H2827" s="125" t="s">
        <v>371</v>
      </c>
      <c r="I2827" s="125" t="s">
        <v>371</v>
      </c>
    </row>
    <row r="2828" spans="1:9" x14ac:dyDescent="0.25">
      <c r="A2828" s="125" t="s">
        <v>3026</v>
      </c>
      <c r="B2828" s="125" t="s">
        <v>5348</v>
      </c>
      <c r="C2828" s="125">
        <v>284</v>
      </c>
      <c r="D2828" s="125" t="s">
        <v>5349</v>
      </c>
      <c r="E2828" s="125" t="s">
        <v>5341</v>
      </c>
      <c r="F2828" s="140" t="s">
        <v>5342</v>
      </c>
      <c r="G2828" s="125" t="s">
        <v>5297</v>
      </c>
      <c r="H2828" s="125" t="s">
        <v>1485</v>
      </c>
      <c r="I2828" s="125" t="s">
        <v>5355</v>
      </c>
    </row>
    <row r="2829" spans="1:9" x14ac:dyDescent="0.25">
      <c r="A2829" s="125" t="s">
        <v>2374</v>
      </c>
      <c r="B2829" s="125" t="s">
        <v>5556</v>
      </c>
      <c r="C2829" s="125">
        <v>291</v>
      </c>
      <c r="D2829" s="125" t="s">
        <v>5557</v>
      </c>
      <c r="E2829" s="125" t="s">
        <v>5341</v>
      </c>
      <c r="F2829" s="140" t="s">
        <v>5342</v>
      </c>
      <c r="G2829" s="125" t="s">
        <v>5297</v>
      </c>
      <c r="H2829" s="125" t="s">
        <v>1464</v>
      </c>
      <c r="I2829" s="125" t="s">
        <v>5355</v>
      </c>
    </row>
    <row r="2830" spans="1:9" x14ac:dyDescent="0.25">
      <c r="A2830" s="125" t="s">
        <v>2384</v>
      </c>
      <c r="B2830" s="125" t="s">
        <v>5556</v>
      </c>
      <c r="C2830" s="125">
        <v>291</v>
      </c>
      <c r="D2830" s="125" t="s">
        <v>5557</v>
      </c>
      <c r="E2830" s="125" t="s">
        <v>5341</v>
      </c>
      <c r="F2830" s="140" t="s">
        <v>5342</v>
      </c>
      <c r="G2830" s="125" t="s">
        <v>5297</v>
      </c>
      <c r="H2830" s="125" t="s">
        <v>1464</v>
      </c>
      <c r="I2830" s="125" t="s">
        <v>5355</v>
      </c>
    </row>
    <row r="2831" spans="1:9" x14ac:dyDescent="0.25">
      <c r="A2831" s="125" t="s">
        <v>1212</v>
      </c>
      <c r="B2831" s="125" t="s">
        <v>5348</v>
      </c>
      <c r="C2831" s="125">
        <v>284</v>
      </c>
      <c r="D2831" s="125" t="s">
        <v>5349</v>
      </c>
      <c r="E2831" s="125" t="s">
        <v>5341</v>
      </c>
      <c r="F2831" s="140" t="s">
        <v>5342</v>
      </c>
      <c r="G2831" s="125" t="s">
        <v>5297</v>
      </c>
      <c r="H2831" s="125" t="s">
        <v>1485</v>
      </c>
      <c r="I2831" s="125" t="s">
        <v>5355</v>
      </c>
    </row>
    <row r="2832" spans="1:9" x14ac:dyDescent="0.25">
      <c r="A2832" s="125" t="s">
        <v>2402</v>
      </c>
      <c r="B2832" s="125" t="s">
        <v>5348</v>
      </c>
      <c r="C2832" s="125">
        <v>284</v>
      </c>
      <c r="D2832" s="125" t="s">
        <v>5349</v>
      </c>
      <c r="E2832" s="125" t="s">
        <v>5341</v>
      </c>
      <c r="F2832" s="140" t="s">
        <v>5342</v>
      </c>
      <c r="G2832" s="125" t="s">
        <v>5297</v>
      </c>
      <c r="H2832" s="125" t="s">
        <v>1485</v>
      </c>
      <c r="I2832" s="125" t="s">
        <v>5355</v>
      </c>
    </row>
    <row r="2833" spans="1:9" x14ac:dyDescent="0.25">
      <c r="A2833" s="125" t="s">
        <v>2306</v>
      </c>
      <c r="B2833" s="125" t="s">
        <v>5561</v>
      </c>
      <c r="C2833" s="125">
        <v>231</v>
      </c>
      <c r="D2833" s="125" t="s">
        <v>5562</v>
      </c>
      <c r="E2833" s="125" t="s">
        <v>5341</v>
      </c>
      <c r="F2833" s="140" t="s">
        <v>5342</v>
      </c>
      <c r="G2833" s="125" t="s">
        <v>5297</v>
      </c>
      <c r="H2833" s="125" t="s">
        <v>5566</v>
      </c>
      <c r="I2833" s="125" t="s">
        <v>5566</v>
      </c>
    </row>
    <row r="2834" spans="1:9" x14ac:dyDescent="0.25">
      <c r="A2834" s="125" t="s">
        <v>2303</v>
      </c>
      <c r="B2834" s="125" t="s">
        <v>5561</v>
      </c>
      <c r="C2834" s="125">
        <v>231</v>
      </c>
      <c r="D2834" s="125" t="s">
        <v>5562</v>
      </c>
      <c r="E2834" s="125" t="s">
        <v>5341</v>
      </c>
      <c r="F2834" s="140" t="s">
        <v>5342</v>
      </c>
      <c r="G2834" s="125" t="s">
        <v>5297</v>
      </c>
      <c r="H2834" s="125" t="s">
        <v>1469</v>
      </c>
      <c r="I2834" s="125" t="s">
        <v>5355</v>
      </c>
    </row>
    <row r="2835" spans="1:9" x14ac:dyDescent="0.25">
      <c r="A2835" s="125" t="s">
        <v>1839</v>
      </c>
      <c r="B2835" s="125" t="s">
        <v>5348</v>
      </c>
      <c r="C2835" s="125">
        <v>284</v>
      </c>
      <c r="D2835" s="125" t="s">
        <v>5349</v>
      </c>
      <c r="E2835" s="125" t="s">
        <v>5341</v>
      </c>
      <c r="F2835" s="140" t="s">
        <v>5342</v>
      </c>
      <c r="G2835" s="125" t="s">
        <v>5297</v>
      </c>
      <c r="H2835" s="125" t="s">
        <v>1485</v>
      </c>
      <c r="I2835" s="125" t="s">
        <v>5355</v>
      </c>
    </row>
    <row r="2836" spans="1:9" x14ac:dyDescent="0.25">
      <c r="A2836" s="125" t="s">
        <v>1486</v>
      </c>
      <c r="B2836" s="125" t="s">
        <v>5348</v>
      </c>
      <c r="C2836" s="125">
        <v>284</v>
      </c>
      <c r="D2836" s="125" t="s">
        <v>5349</v>
      </c>
      <c r="E2836" s="125" t="s">
        <v>5341</v>
      </c>
      <c r="F2836" s="140" t="s">
        <v>5342</v>
      </c>
      <c r="G2836" s="125" t="s">
        <v>5297</v>
      </c>
      <c r="H2836" s="125" t="s">
        <v>6194</v>
      </c>
      <c r="I2836" s="125" t="s">
        <v>5355</v>
      </c>
    </row>
    <row r="2837" spans="1:9" x14ac:dyDescent="0.25">
      <c r="A2837" s="125" t="s">
        <v>3408</v>
      </c>
      <c r="B2837" s="125" t="s">
        <v>5348</v>
      </c>
      <c r="C2837" s="125">
        <v>284</v>
      </c>
      <c r="D2837" s="125" t="s">
        <v>5349</v>
      </c>
      <c r="E2837" s="125" t="s">
        <v>5341</v>
      </c>
      <c r="F2837" s="140" t="s">
        <v>5342</v>
      </c>
      <c r="G2837" s="125" t="s">
        <v>5297</v>
      </c>
      <c r="H2837" s="125" t="s">
        <v>1485</v>
      </c>
      <c r="I2837" s="125" t="s">
        <v>5355</v>
      </c>
    </row>
    <row r="2838" spans="1:9" x14ac:dyDescent="0.25">
      <c r="A2838" s="125" t="s">
        <v>2557</v>
      </c>
      <c r="B2838" s="125" t="s">
        <v>5348</v>
      </c>
      <c r="C2838" s="125">
        <v>284</v>
      </c>
      <c r="D2838" s="125" t="s">
        <v>5349</v>
      </c>
      <c r="E2838" s="125" t="s">
        <v>5341</v>
      </c>
      <c r="F2838" s="140" t="s">
        <v>5342</v>
      </c>
      <c r="G2838" s="125" t="s">
        <v>5297</v>
      </c>
      <c r="H2838" s="125" t="s">
        <v>5566</v>
      </c>
      <c r="I2838" s="125" t="s">
        <v>5566</v>
      </c>
    </row>
    <row r="2839" spans="1:9" x14ac:dyDescent="0.25">
      <c r="A2839" s="125" t="s">
        <v>2108</v>
      </c>
      <c r="B2839" s="125" t="s">
        <v>5561</v>
      </c>
      <c r="C2839" s="125">
        <v>231</v>
      </c>
      <c r="D2839" s="125" t="s">
        <v>5562</v>
      </c>
      <c r="E2839" s="125" t="s">
        <v>5341</v>
      </c>
      <c r="F2839" s="140" t="s">
        <v>5342</v>
      </c>
      <c r="G2839" s="125" t="s">
        <v>5297</v>
      </c>
      <c r="H2839" s="125" t="s">
        <v>5566</v>
      </c>
      <c r="I2839" s="125" t="s">
        <v>5566</v>
      </c>
    </row>
    <row r="2840" spans="1:9" x14ac:dyDescent="0.25">
      <c r="A2840" s="125" t="s">
        <v>2844</v>
      </c>
      <c r="B2840" s="125" t="s">
        <v>5561</v>
      </c>
      <c r="C2840" s="125">
        <v>231</v>
      </c>
      <c r="D2840" s="125" t="s">
        <v>5562</v>
      </c>
      <c r="E2840" s="125" t="s">
        <v>5341</v>
      </c>
      <c r="F2840" s="140" t="s">
        <v>5342</v>
      </c>
      <c r="G2840" s="125" t="s">
        <v>5297</v>
      </c>
      <c r="H2840" s="125" t="s">
        <v>5566</v>
      </c>
      <c r="I2840" s="125" t="s">
        <v>5566</v>
      </c>
    </row>
    <row r="2841" spans="1:9" x14ac:dyDescent="0.25">
      <c r="A2841" s="125" t="s">
        <v>2502</v>
      </c>
      <c r="B2841" s="125" t="s">
        <v>5556</v>
      </c>
      <c r="C2841" s="125">
        <v>291</v>
      </c>
      <c r="D2841" s="125" t="s">
        <v>5557</v>
      </c>
      <c r="E2841" s="125" t="s">
        <v>5341</v>
      </c>
      <c r="F2841" s="140" t="s">
        <v>5342</v>
      </c>
      <c r="G2841" s="125" t="s">
        <v>5297</v>
      </c>
      <c r="H2841" s="125" t="s">
        <v>1469</v>
      </c>
      <c r="I2841" s="125" t="s">
        <v>5355</v>
      </c>
    </row>
    <row r="2842" spans="1:9" x14ac:dyDescent="0.25">
      <c r="A2842" s="125" t="s">
        <v>6195</v>
      </c>
      <c r="B2842" s="125" t="s">
        <v>5556</v>
      </c>
      <c r="C2842" s="125">
        <v>291</v>
      </c>
      <c r="D2842" s="125" t="s">
        <v>5557</v>
      </c>
      <c r="E2842" s="125" t="s">
        <v>5341</v>
      </c>
      <c r="F2842" s="140" t="s">
        <v>5342</v>
      </c>
      <c r="G2842" s="125" t="s">
        <v>5297</v>
      </c>
      <c r="H2842" s="125" t="s">
        <v>6193</v>
      </c>
      <c r="I2842" s="125" t="s">
        <v>5355</v>
      </c>
    </row>
    <row r="2843" spans="1:9" x14ac:dyDescent="0.25">
      <c r="A2843" s="125" t="s">
        <v>2693</v>
      </c>
      <c r="B2843" s="125" t="s">
        <v>5556</v>
      </c>
      <c r="C2843" s="125">
        <v>291</v>
      </c>
      <c r="D2843" s="125" t="s">
        <v>5557</v>
      </c>
      <c r="E2843" s="125" t="s">
        <v>5341</v>
      </c>
      <c r="F2843" s="140" t="s">
        <v>5342</v>
      </c>
      <c r="G2843" s="125" t="s">
        <v>5297</v>
      </c>
      <c r="H2843" s="125" t="s">
        <v>3453</v>
      </c>
      <c r="I2843" s="125" t="s">
        <v>5355</v>
      </c>
    </row>
    <row r="2844" spans="1:9" x14ac:dyDescent="0.25">
      <c r="A2844" s="125" t="s">
        <v>2731</v>
      </c>
      <c r="B2844" s="125" t="s">
        <v>5556</v>
      </c>
      <c r="C2844" s="125">
        <v>291</v>
      </c>
      <c r="D2844" s="125" t="s">
        <v>5557</v>
      </c>
      <c r="E2844" s="125" t="s">
        <v>5341</v>
      </c>
      <c r="F2844" s="140" t="s">
        <v>5342</v>
      </c>
      <c r="G2844" s="125" t="s">
        <v>5297</v>
      </c>
      <c r="H2844" s="125" t="s">
        <v>6193</v>
      </c>
      <c r="I2844" s="125" t="s">
        <v>5355</v>
      </c>
    </row>
    <row r="2845" spans="1:9" x14ac:dyDescent="0.25">
      <c r="A2845" s="125" t="s">
        <v>2739</v>
      </c>
      <c r="B2845" s="125" t="s">
        <v>5556</v>
      </c>
      <c r="C2845" s="125">
        <v>291</v>
      </c>
      <c r="D2845" s="125" t="s">
        <v>5557</v>
      </c>
      <c r="E2845" s="125" t="s">
        <v>5341</v>
      </c>
      <c r="F2845" s="140" t="s">
        <v>5342</v>
      </c>
      <c r="G2845" s="125" t="s">
        <v>5297</v>
      </c>
      <c r="H2845" s="125" t="s">
        <v>1469</v>
      </c>
      <c r="I2845" s="125" t="s">
        <v>5355</v>
      </c>
    </row>
    <row r="2846" spans="1:9" x14ac:dyDescent="0.25">
      <c r="A2846" s="125" t="s">
        <v>2633</v>
      </c>
      <c r="B2846" s="125" t="s">
        <v>5561</v>
      </c>
      <c r="C2846" s="125">
        <v>231</v>
      </c>
      <c r="D2846" s="125" t="s">
        <v>5562</v>
      </c>
      <c r="E2846" s="125" t="s">
        <v>5341</v>
      </c>
      <c r="F2846" s="140" t="s">
        <v>5342</v>
      </c>
      <c r="G2846" s="125" t="s">
        <v>5297</v>
      </c>
      <c r="H2846" s="125" t="s">
        <v>2696</v>
      </c>
      <c r="I2846" s="125" t="s">
        <v>5355</v>
      </c>
    </row>
    <row r="2847" spans="1:9" x14ac:dyDescent="0.25">
      <c r="A2847" s="125" t="s">
        <v>6196</v>
      </c>
      <c r="B2847" s="125" t="s">
        <v>5382</v>
      </c>
      <c r="C2847" s="125" t="s">
        <v>5383</v>
      </c>
      <c r="D2847" s="125"/>
      <c r="E2847" s="125" t="s">
        <v>5384</v>
      </c>
      <c r="F2847" s="125" t="s">
        <v>5384</v>
      </c>
      <c r="G2847" s="125" t="s">
        <v>5384</v>
      </c>
      <c r="H2847" s="125" t="s">
        <v>6197</v>
      </c>
      <c r="I2847" s="125" t="s">
        <v>6198</v>
      </c>
    </row>
    <row r="2848" spans="1:9" x14ac:dyDescent="0.25">
      <c r="A2848" s="125" t="s">
        <v>6199</v>
      </c>
      <c r="B2848" s="125" t="s">
        <v>5382</v>
      </c>
      <c r="C2848" s="125" t="s">
        <v>5383</v>
      </c>
      <c r="D2848" s="125"/>
      <c r="E2848" s="125" t="s">
        <v>5384</v>
      </c>
      <c r="F2848" s="125" t="s">
        <v>5384</v>
      </c>
      <c r="G2848" s="125" t="s">
        <v>5384</v>
      </c>
      <c r="H2848" s="125" t="s">
        <v>1102</v>
      </c>
      <c r="I2848" s="125" t="s">
        <v>1102</v>
      </c>
    </row>
    <row r="2849" spans="1:9" x14ac:dyDescent="0.25">
      <c r="A2849" s="125" t="s">
        <v>6200</v>
      </c>
      <c r="B2849" s="125" t="s">
        <v>5382</v>
      </c>
      <c r="C2849" s="125" t="s">
        <v>5383</v>
      </c>
      <c r="D2849" s="125"/>
      <c r="E2849" s="125" t="s">
        <v>5384</v>
      </c>
      <c r="F2849" s="125" t="s">
        <v>5384</v>
      </c>
      <c r="G2849" s="125" t="s">
        <v>5384</v>
      </c>
      <c r="H2849" s="125" t="s">
        <v>1102</v>
      </c>
      <c r="I2849" s="125" t="s">
        <v>1102</v>
      </c>
    </row>
  </sheetData>
  <hyperlinks>
    <hyperlink ref="D141" r:id="rId1" display="mailto:jessicagreen@greeneking.co.uk" xr:uid="{8ACD6F61-DD30-4326-9886-5DE822F64854}"/>
    <hyperlink ref="F141" r:id="rId2" display="mailto:liamhancy@greeneking.co.uk" xr:uid="{3FBDEC33-510F-45D5-978A-91C0D98DE678}"/>
    <hyperlink ref="D142" r:id="rId3" display="mailto:jessicagreen@greeneking.co.uk" xr:uid="{1A49D42F-8056-4619-B00D-42C9CEC370F9}"/>
    <hyperlink ref="F142" r:id="rId4" display="mailto:liamhancy@greeneking.co.uk" xr:uid="{FED68C55-C003-4E88-9094-E43B8504E78A}"/>
    <hyperlink ref="D143" r:id="rId5" display="mailto:jessicagreen@greeneking.co.uk" xr:uid="{F5319553-C5E0-4835-87E2-0751402EFC12}"/>
    <hyperlink ref="F143" r:id="rId6" display="mailto:liamhancy@greeneking.co.uk" xr:uid="{5E0EA37D-369E-4C49-9B64-4F038AE037B0}"/>
    <hyperlink ref="D144" r:id="rId7" display="mailto:jessicagreen@greeneking.co.uk" xr:uid="{2DB81778-CC79-462C-B116-CF70EAE8AD15}"/>
    <hyperlink ref="F144" r:id="rId8" display="mailto:liamhancy@greeneking.co.uk" xr:uid="{33671F6A-546C-4FFE-92FD-47E0C51ABC52}"/>
    <hyperlink ref="D145" r:id="rId9" display="mailto:jessicagreen@greeneking.co.uk" xr:uid="{B120C4F9-5D5D-4323-97C3-11D71BC69DCE}"/>
    <hyperlink ref="F145" r:id="rId10" display="mailto:liamhancy@greeneking.co.uk" xr:uid="{83F8F321-8E99-4981-BCAE-BCC2D4221B20}"/>
    <hyperlink ref="D146" r:id="rId11" display="mailto:jessicagreen@greeneking.co.uk" xr:uid="{B793B613-5578-444D-9128-8FFE6EE6CE43}"/>
    <hyperlink ref="F146" r:id="rId12" display="mailto:liamhancy@greeneking.co.uk" xr:uid="{062643E3-A195-47A2-9911-3A8814B05B8D}"/>
    <hyperlink ref="D147" r:id="rId13" display="mailto:jessicagreen@greeneking.co.uk" xr:uid="{B699D824-27DF-4B80-ACC2-294C4ECC227B}"/>
    <hyperlink ref="F147" r:id="rId14" display="mailto:liamhancy@greeneking.co.uk" xr:uid="{29C6CC04-A5F6-42E1-9AC8-F05DAEDEA165}"/>
    <hyperlink ref="D148" r:id="rId15" display="mailto:jessicagreen@greeneking.co.uk" xr:uid="{17ACD1FC-6A97-43D9-9457-D69C912831F3}"/>
    <hyperlink ref="F148" r:id="rId16" display="mailto:liamhancy@greeneking.co.uk" xr:uid="{43E195B0-BF3B-49D9-ACD8-F6C49E7E13BA}"/>
    <hyperlink ref="D149" r:id="rId17" display="mailto:jessicagreen@greeneking.co.uk" xr:uid="{F79B94D5-7F0F-4A1C-9364-7FF3703E646C}"/>
    <hyperlink ref="F149" r:id="rId18" display="mailto:liamhancy@greeneking.co.uk" xr:uid="{D1E4866A-812C-4404-8CB9-5B9548F1B37E}"/>
    <hyperlink ref="D150" r:id="rId19" display="mailto:jessicagreen@greeneking.co.uk" xr:uid="{9F1B306A-20E6-46D1-B2DB-20503D3ED378}"/>
    <hyperlink ref="F150" r:id="rId20" display="mailto:liamhancy@greeneking.co.uk" xr:uid="{21E03037-6826-431A-A1B4-1BD2A4D60ABF}"/>
    <hyperlink ref="D151" r:id="rId21" display="mailto:jessicagreen@greeneking.co.uk" xr:uid="{051340DF-9DA4-4DF8-937E-8C19D2A1A02A}"/>
    <hyperlink ref="F151" r:id="rId22" display="mailto:liamhancy@greeneking.co.uk" xr:uid="{2601118A-3AAE-45EF-AF50-7A3400C5C349}"/>
    <hyperlink ref="D152" r:id="rId23" display="mailto:jessicagreen@greeneking.co.uk" xr:uid="{D6AEC933-4BEC-4BFA-8763-0580265B36CC}"/>
    <hyperlink ref="F152" r:id="rId24" display="mailto:liamhancy@greeneking.co.uk" xr:uid="{EA190FA7-55E3-48A9-9BF7-455F617A11F4}"/>
    <hyperlink ref="D153" r:id="rId25" display="mailto:jessicagreen@greeneking.co.uk" xr:uid="{06C33F2A-CC03-4F7E-946A-D98115F907BD}"/>
    <hyperlink ref="F153" r:id="rId26" display="mailto:liamhancy@greeneking.co.uk" xr:uid="{D422DCFE-0A25-4CD6-968C-82FB2032EF61}"/>
    <hyperlink ref="F154" r:id="rId27" display="mailto:liamhancy@greeneking.co.uk" xr:uid="{3760B69C-CE7F-496B-8404-DC9C8BD159E1}"/>
    <hyperlink ref="F155" r:id="rId28" display="mailto:liamhancy@greeneking.co.uk" xr:uid="{A96A73A9-4859-4883-9BBC-11F9FEA1D9F4}"/>
    <hyperlink ref="F156" r:id="rId29" display="mailto:liamhancy@greeneking.co.uk" xr:uid="{77DA60DB-0D1D-495B-A143-83C17992C3FB}"/>
    <hyperlink ref="F157" r:id="rId30" display="mailto:liamhancy@greeneking.co.uk" xr:uid="{61A446D0-27C9-4512-9C41-23B5682E31EF}"/>
    <hyperlink ref="F158" r:id="rId31" display="mailto:liamhancy@greeneking.co.uk" xr:uid="{71C7D723-3F7E-4D87-8669-70A6438F31DF}"/>
    <hyperlink ref="F159" r:id="rId32" display="mailto:liamhancy@greeneking.co.uk" xr:uid="{9597A5DF-66F9-437D-AEE4-BEB530987DD9}"/>
    <hyperlink ref="F160" r:id="rId33" display="mailto:liamhancy@greeneking.co.uk" xr:uid="{BB806E35-0FA1-403F-A95B-4D96957E5780}"/>
    <hyperlink ref="F161" r:id="rId34" display="mailto:liamhancy@greeneking.co.uk" xr:uid="{A0E5D35A-F145-4F3A-8090-51BA33B61FCF}"/>
    <hyperlink ref="F162" r:id="rId35" display="mailto:liamhancy@greeneking.co.uk" xr:uid="{489C0C25-FC28-4666-A30C-AC2EA326A347}"/>
    <hyperlink ref="F163" r:id="rId36" display="mailto:liamhancy@greeneking.co.uk" xr:uid="{AF8C60B6-8547-4247-B0CD-62ED0BADA184}"/>
    <hyperlink ref="F164" r:id="rId37" display="mailto:liamhancy@greeneking.co.uk" xr:uid="{F1689C41-C328-426B-B663-E869FFB85A59}"/>
    <hyperlink ref="F165" r:id="rId38" display="mailto:liamhancy@greeneking.co.uk" xr:uid="{6E136917-937B-4CD2-81BA-E67C4B42FECD}"/>
    <hyperlink ref="F166" r:id="rId39" display="mailto:liamhancy@greeneking.co.uk" xr:uid="{68C2E097-28A2-4195-A419-67B20032C07B}"/>
    <hyperlink ref="F167" r:id="rId40" display="mailto:liamhancy@greeneking.co.uk" xr:uid="{22E557DF-78DE-4C5B-B7F0-D32D1855693C}"/>
    <hyperlink ref="F168" r:id="rId41" display="mailto:liamhancy@greeneking.co.uk" xr:uid="{DBD424E2-954F-46D1-BDDB-3C3BCB9F8CBC}"/>
    <hyperlink ref="F169" r:id="rId42" display="mailto:liamhancy@greeneking.co.uk" xr:uid="{CC39C3CC-9A6E-475B-B173-982DE423C1C7}"/>
    <hyperlink ref="F170" r:id="rId43" display="mailto:liamhancy@greeneking.co.uk" xr:uid="{FA3D9C33-F9BF-4AD9-8125-CF11C746AD1F}"/>
    <hyperlink ref="F171" r:id="rId44" display="mailto:liamhancy@greeneking.co.uk" xr:uid="{EECA3743-FBB6-4CCE-A6EB-45FEF72F8EE8}"/>
    <hyperlink ref="F172" r:id="rId45" display="mailto:liamhancy@greeneking.co.uk" xr:uid="{A457DFD7-68B2-44D0-B369-48A10805F718}"/>
    <hyperlink ref="F173" r:id="rId46" display="mailto:liamhancy@greeneking.co.uk" xr:uid="{4B7D3AD1-2074-4309-9F78-B86B987789BF}"/>
    <hyperlink ref="F174" r:id="rId47" display="mailto:liamhancy@greeneking.co.uk" xr:uid="{9A40492F-CC2D-490A-9CB1-C0D52273F190}"/>
    <hyperlink ref="F175" r:id="rId48" display="mailto:liamhancy@greeneking.co.uk" xr:uid="{1A6C147B-FC1E-434C-8124-CB3A01F0F66D}"/>
    <hyperlink ref="F176" r:id="rId49" display="mailto:liamhancy@greeneking.co.uk" xr:uid="{0EB8FA55-1DE1-42C5-A72F-41F98ABCC2C8}"/>
    <hyperlink ref="F177" r:id="rId50" display="mailto:liamhancy@greeneking.co.uk" xr:uid="{568A4E92-3241-401E-BA2B-3436E376AB37}"/>
    <hyperlink ref="D204" r:id="rId51" display="mailto:jessicagreen@greeneking.co.uk" xr:uid="{B1AE3E69-60E0-4A9A-AA0E-BE4BA967AA10}"/>
    <hyperlink ref="F204" r:id="rId52" display="mailto:liamhancy@greeneking.co.uk" xr:uid="{A1B0033E-3020-4265-BC3E-34E6D57E742C}"/>
    <hyperlink ref="D205" r:id="rId53" display="mailto:jessicagreen@greeneking.co.uk" xr:uid="{76593507-665D-40D6-AC02-E4DFE836F1F6}"/>
    <hyperlink ref="F205" r:id="rId54" display="mailto:liamhancy@greeneking.co.uk" xr:uid="{0BACBF45-5991-4077-9145-9FDAD05A4D6F}"/>
    <hyperlink ref="D206" r:id="rId55" display="mailto:jessicagreen@greeneking.co.uk" xr:uid="{5AC4B10B-F932-4FF8-B859-0DFBA58076BC}"/>
    <hyperlink ref="F206" r:id="rId56" display="mailto:liamhancy@greeneking.co.uk" xr:uid="{84CA62F2-F96F-478F-ACD5-F8DEA5D949F9}"/>
    <hyperlink ref="D207" r:id="rId57" display="mailto:jessicagreen@greeneking.co.uk" xr:uid="{BB714372-50C8-4EAB-8388-C897DC869F1E}"/>
    <hyperlink ref="F207" r:id="rId58" display="mailto:liamhancy@greeneking.co.uk" xr:uid="{46714CC5-5997-4B61-BDF9-703DF8FAF1FC}"/>
    <hyperlink ref="D208" r:id="rId59" display="mailto:jessicagreen@greeneking.co.uk" xr:uid="{BEFC375E-A65E-4CEC-B0C8-310E352AFE69}"/>
    <hyperlink ref="F208" r:id="rId60" display="mailto:liamhancy@greeneking.co.uk" xr:uid="{5ACED969-0F9F-42BC-8C9F-B5BC131BFB66}"/>
    <hyperlink ref="D209" r:id="rId61" display="mailto:jessicagreen@greeneking.co.uk" xr:uid="{C0A084D8-0FE6-4729-8E9E-B3EA179BC6F8}"/>
    <hyperlink ref="F209" r:id="rId62" display="mailto:liamhancy@greeneking.co.uk" xr:uid="{F4D7D0CC-91EF-4853-B451-0CA0FCCE3225}"/>
    <hyperlink ref="D210" r:id="rId63" display="mailto:jessicagreen@greeneking.co.uk" xr:uid="{865EBD13-6297-4704-BF37-C428E03B2BCE}"/>
    <hyperlink ref="F210" r:id="rId64" display="mailto:liamhancy@greeneking.co.uk" xr:uid="{3CAA956B-D378-4088-9A4D-13EF60453052}"/>
    <hyperlink ref="D211" r:id="rId65" display="mailto:jessicagreen@greeneking.co.uk" xr:uid="{9FAB96F2-4F0C-458A-AB24-3652BC668A53}"/>
    <hyperlink ref="F211" r:id="rId66" display="mailto:liamhancy@greeneking.co.uk" xr:uid="{43BE0410-A430-494F-B526-3A1406B1CC4C}"/>
    <hyperlink ref="D212" r:id="rId67" display="mailto:jessicagreen@greeneking.co.uk" xr:uid="{D8587232-40DB-4E8B-A522-5AD0E6220EEA}"/>
    <hyperlink ref="F212" r:id="rId68" display="mailto:liamhancy@greeneking.co.uk" xr:uid="{F208517F-0880-424F-A8DF-331E3CA539FA}"/>
    <hyperlink ref="D213" r:id="rId69" display="mailto:jessicagreen@greeneking.co.uk" xr:uid="{7BEF67A5-9241-4AE2-9A44-87DA5CCCC273}"/>
    <hyperlink ref="F213" r:id="rId70" display="mailto:liamhancy@greeneking.co.uk" xr:uid="{72A2E1EC-401A-482F-B362-1BE3D8043FD8}"/>
    <hyperlink ref="F397" r:id="rId71" display="mailto:tombrown@greeneking.co.uk" xr:uid="{EC9CF023-06D1-439B-8843-8B6F3068C95C}"/>
    <hyperlink ref="F400" r:id="rId72" display="mailto:tombrown@greeneking.co.uk" xr:uid="{81C19F7B-805A-4702-837A-401B8CED14A0}"/>
    <hyperlink ref="F401" r:id="rId73" display="mailto:tombrown@greeneking.co.uk" xr:uid="{E393742E-847B-4DAF-8C8A-F2F4B99B6E7C}"/>
    <hyperlink ref="F402" r:id="rId74" display="mailto:tombrown@greeneking.co.uk" xr:uid="{41A8AA93-9A23-4FAA-9A92-216E896BF756}"/>
    <hyperlink ref="F403" r:id="rId75" display="mailto:tombrown@greeneking.co.uk" xr:uid="{9F858156-E25F-4857-9702-56F9216C9AAC}"/>
    <hyperlink ref="F404" r:id="rId76" display="mailto:tombrown@greeneking.co.uk" xr:uid="{2DD10B80-4805-453D-97EF-3782E11B27B5}"/>
    <hyperlink ref="F405" r:id="rId77" display="mailto:tombrown@greeneking.co.uk" xr:uid="{7D2AFE51-C3D7-419C-9214-0F794E3A185E}"/>
    <hyperlink ref="F406" r:id="rId78" display="mailto:tombrown@greeneking.co.uk" xr:uid="{F9C5AE03-C693-4745-8C66-366E9ABF7423}"/>
    <hyperlink ref="F407" r:id="rId79" display="mailto:tombrown@greeneking.co.uk" xr:uid="{433F8686-94BD-4721-9670-752F40F6A033}"/>
    <hyperlink ref="F408" r:id="rId80" display="mailto:tombrown@greeneking.co.uk" xr:uid="{FA0F3226-CA57-409C-B02D-0E8868F1C6AD}"/>
    <hyperlink ref="F409" r:id="rId81" display="mailto:tombrown@greeneking.co.uk" xr:uid="{69D7F931-E592-4775-8AD2-9598C2A88371}"/>
    <hyperlink ref="F410" r:id="rId82" display="mailto:tombrown@greeneking.co.uk" xr:uid="{BE763E47-E6E1-48C5-98A3-4FB6D0026335}"/>
    <hyperlink ref="F411" r:id="rId83" display="mailto:tombrown@greeneking.co.uk" xr:uid="{7720D1FB-69F4-4F2E-9E5A-A8E595ED6207}"/>
    <hyperlink ref="F412" r:id="rId84" display="mailto:tombrown@greeneking.co.uk" xr:uid="{6C60CEEC-EE34-4325-8E14-48059B7F6650}"/>
    <hyperlink ref="D450" r:id="rId85" display="mailto:jessicagreen@greeneking.co.uk" xr:uid="{3276FE72-8384-4DDA-93F8-F38F1566FC84}"/>
    <hyperlink ref="F450" r:id="rId86" display="mailto:liamhancy@greeneking.co.uk" xr:uid="{FA38514C-19AE-4FB6-9AC1-54845FBA1FD4}"/>
    <hyperlink ref="D451" r:id="rId87" display="mailto:jessicagreen@greeneking.co.uk" xr:uid="{CD59FA4A-1F20-4C2C-AE86-1FC5AA4A991E}"/>
    <hyperlink ref="F451" r:id="rId88" display="mailto:liamhancy@greeneking.co.uk" xr:uid="{C444EC4E-C70F-4765-A283-E1BC35A5A07D}"/>
    <hyperlink ref="D452" r:id="rId89" display="mailto:jessicagreen@greeneking.co.uk" xr:uid="{B0B2D77F-B79E-432C-8840-788DB2CC5BB9}"/>
    <hyperlink ref="F452" r:id="rId90" display="mailto:liamhancy@greeneking.co.uk" xr:uid="{E449D19F-16D2-4895-809F-6BDC37B46C70}"/>
    <hyperlink ref="D453" r:id="rId91" display="mailto:jessicagreen@greeneking.co.uk" xr:uid="{07393EBB-192F-45E1-8309-F69F67872B1C}"/>
    <hyperlink ref="F453" r:id="rId92" display="mailto:liamhancy@greeneking.co.uk" xr:uid="{45CFB23D-6EDE-44B7-A7E0-2AB8ABD165B4}"/>
    <hyperlink ref="D454" r:id="rId93" display="mailto:jessicagreen@greeneking.co.uk" xr:uid="{FF5753F2-C526-4134-B3F4-5C30AD2EDB0F}"/>
    <hyperlink ref="F454" r:id="rId94" display="mailto:liamhancy@greeneking.co.uk" xr:uid="{9D3135F6-D9D5-40C7-9203-CD10FFECA8DA}"/>
    <hyperlink ref="D455" r:id="rId95" display="mailto:jessicagreen@greeneking.co.uk" xr:uid="{395B0BA8-5B55-41CF-8440-25E21E2B43F5}"/>
    <hyperlink ref="F455" r:id="rId96" display="mailto:liamhancy@greeneking.co.uk" xr:uid="{806815F3-3B71-40C3-9F79-000A297CDA1F}"/>
    <hyperlink ref="D456" r:id="rId97" display="mailto:jessicagreen@greeneking.co.uk" xr:uid="{C5E7A436-BA67-4561-B0FC-88DF74DDA9B7}"/>
    <hyperlink ref="F456" r:id="rId98" display="mailto:liamhancy@greeneking.co.uk" xr:uid="{2CC41444-E924-44E7-9C29-E7E6D9BB7FA2}"/>
    <hyperlink ref="D457" r:id="rId99" display="mailto:jessicagreen@greeneking.co.uk" xr:uid="{D094D63E-2A49-435B-AE21-2ADB2B640C51}"/>
    <hyperlink ref="F457" r:id="rId100" display="mailto:liamhancy@greeneking.co.uk" xr:uid="{E65EDBC4-7EA2-45BB-9435-F3312253AEAA}"/>
    <hyperlink ref="D458" r:id="rId101" display="mailto:jessicagreen@greeneking.co.uk" xr:uid="{80121826-86E5-46D4-863F-FBB6E32E6CF7}"/>
    <hyperlink ref="F458" r:id="rId102" display="mailto:liamhancy@greeneking.co.uk" xr:uid="{79C16A44-CBF3-4F24-88E4-43645BA2AA94}"/>
    <hyperlink ref="D459" r:id="rId103" display="mailto:jessicagreen@greeneking.co.uk" xr:uid="{F6A5E6AB-F9E7-4748-A1BD-E28C917074DA}"/>
    <hyperlink ref="F459" r:id="rId104" display="mailto:liamhancy@greeneking.co.uk" xr:uid="{1A5794AA-E7AB-4A17-A691-42CFA0D36241}"/>
    <hyperlink ref="D460" r:id="rId105" display="mailto:jessicagreen@greeneking.co.uk" xr:uid="{07147A29-7683-4FB2-999A-5169384CD613}"/>
    <hyperlink ref="F460" r:id="rId106" display="mailto:liamhancy@greeneking.co.uk" xr:uid="{AB26AD04-2165-424C-AA62-12DF40605769}"/>
    <hyperlink ref="D461" r:id="rId107" display="mailto:jessicagreen@greeneking.co.uk" xr:uid="{84961B25-B8D7-42B2-ACE4-47D02807A15B}"/>
    <hyperlink ref="F461" r:id="rId108" display="mailto:liamhancy@greeneking.co.uk" xr:uid="{6D534626-4976-4065-A7C6-54D6D512DDBA}"/>
    <hyperlink ref="D462" r:id="rId109" display="mailto:jessicagreen@greeneking.co.uk" xr:uid="{ACCD9520-A03F-4416-9A9E-38841141683C}"/>
    <hyperlink ref="F462" r:id="rId110" display="mailto:liamhancy@greeneking.co.uk" xr:uid="{BE9A53D1-BBE0-407F-A3DF-B9D85EDACCAF}"/>
    <hyperlink ref="D463" r:id="rId111" display="mailto:jessicagreen@greeneking.co.uk" xr:uid="{D6011493-59A8-4FE8-A097-7A3E84BE33B1}"/>
    <hyperlink ref="F463" r:id="rId112" display="mailto:liamhancy@greeneking.co.uk" xr:uid="{E9E46778-5DEF-4B14-B2BD-E24E01A72ECC}"/>
    <hyperlink ref="D464" r:id="rId113" display="mailto:jessicagreen@greeneking.co.uk" xr:uid="{7A5B8D1B-B443-414B-9C1E-5F501CE845C2}"/>
    <hyperlink ref="F464" r:id="rId114" display="mailto:liamhancy@greeneking.co.uk" xr:uid="{1EA3A8C0-81A3-42AD-85C0-5DE49C8BC48D}"/>
    <hyperlink ref="D465" r:id="rId115" display="mailto:jessicagreen@greeneking.co.uk" xr:uid="{5C183FD0-02AB-46D6-993B-83D20C8D6386}"/>
    <hyperlink ref="F465" r:id="rId116" display="mailto:liamhancy@greeneking.co.uk" xr:uid="{A57DFEDD-B9AB-4C68-A2EC-E277A6693F95}"/>
    <hyperlink ref="D466" r:id="rId117" display="mailto:jessicagreen@greeneking.co.uk" xr:uid="{1F17A668-EB05-4EED-8801-3C07AFF47C56}"/>
    <hyperlink ref="F466" r:id="rId118" display="mailto:liamhancy@greeneking.co.uk" xr:uid="{36A61710-EE31-4013-B0B5-BFDCC5F51560}"/>
    <hyperlink ref="D467" r:id="rId119" display="mailto:jessicagreen@greeneking.co.uk" xr:uid="{914A2E0B-0F6B-4AB4-A5A3-3C2483C31321}"/>
    <hyperlink ref="F467" r:id="rId120" display="mailto:liamhancy@greeneking.co.uk" xr:uid="{0D2CDAE6-B395-4BDB-ABD5-E1CD68CE17E3}"/>
    <hyperlink ref="D468" r:id="rId121" display="mailto:jessicagreen@greeneking.co.uk" xr:uid="{7BC6A559-522B-417A-871C-C41922777E3E}"/>
    <hyperlink ref="F468" r:id="rId122" display="mailto:liamhancy@greeneking.co.uk" xr:uid="{1A4554D3-8174-43E0-AE48-BB443730F00A}"/>
    <hyperlink ref="D469" r:id="rId123" display="mailto:jessicagreen@greeneking.co.uk" xr:uid="{EF136FA4-9350-4317-ABAF-F5562B714E29}"/>
    <hyperlink ref="F469" r:id="rId124" display="mailto:liamhancy@greeneking.co.uk" xr:uid="{997F43BB-2F19-493B-A2F3-85233348C06F}"/>
    <hyperlink ref="D470" r:id="rId125" display="mailto:jessicagreen@greeneking.co.uk" xr:uid="{793BD5BD-263C-4DB1-B8BE-22E03F9BC936}"/>
    <hyperlink ref="F470" r:id="rId126" display="mailto:liamhancy@greeneking.co.uk" xr:uid="{1705D6F3-C41C-4D3A-8B5D-36191A0DBB94}"/>
    <hyperlink ref="D471" r:id="rId127" display="mailto:jessicagreen@greeneking.co.uk" xr:uid="{EA0A3EC5-C3F8-4E39-8418-A49CDD48B0D4}"/>
    <hyperlink ref="F471" r:id="rId128" display="mailto:liamhancy@greeneking.co.uk" xr:uid="{46523712-780E-4192-9602-E691ACCC5BCB}"/>
    <hyperlink ref="D472" r:id="rId129" display="mailto:jessicagreen@greeneking.co.uk" xr:uid="{B89A08DF-CFF4-44AA-9107-7F3049D76FDD}"/>
    <hyperlink ref="F472" r:id="rId130" display="mailto:liamhancy@greeneking.co.uk" xr:uid="{4F6774DA-CB27-4357-9D8E-FFF875799149}"/>
    <hyperlink ref="D473" r:id="rId131" display="mailto:jessicagreen@greeneking.co.uk" xr:uid="{AB0812A5-2427-4B1B-AFB3-4362DB4E2B14}"/>
    <hyperlink ref="F473" r:id="rId132" display="mailto:liamhancy@greeneking.co.uk" xr:uid="{C84C7117-D630-45B0-9F28-E52C16A42F47}"/>
    <hyperlink ref="F500" r:id="rId133" display="mailto:tombrown@greeneking.co.uk" xr:uid="{CDA1DE61-1837-42B0-B491-06F9A3C7B4A2}"/>
    <hyperlink ref="F513" r:id="rId134" display="mailto:tombrown@greeneking.co.uk" xr:uid="{7A1B5CE6-5E1F-45AF-94F7-12B473431C96}"/>
    <hyperlink ref="D569" r:id="rId135" display="mailto:jessicagreen@greeneking.co.uk" xr:uid="{9498D0B8-1D64-41CA-8865-E405D77562E0}"/>
    <hyperlink ref="F569" r:id="rId136" display="mailto:liamhancy@greeneking.co.uk" xr:uid="{81B5FE96-1398-4947-B668-08A4332C14E4}"/>
    <hyperlink ref="D571" r:id="rId137" display="mailto:jessicagreen@greeneking.co.uk" xr:uid="{722E2EE6-19B5-4F77-87FF-7381A1E294A6}"/>
    <hyperlink ref="F571" r:id="rId138" display="mailto:liamhancy@greeneking.co.uk" xr:uid="{BCBCBCDA-E6C5-4669-B685-B32CCB82E295}"/>
    <hyperlink ref="F572" r:id="rId139" display="mailto:liamhancy@greeneking.co.uk" xr:uid="{2D3CBBCE-901A-4325-947B-02E17677067B}"/>
    <hyperlink ref="D574" r:id="rId140" display="mailto:jessicagreen@greeneking.co.uk" xr:uid="{9BC73669-BF10-4BFA-AC66-3312E8EC5D9E}"/>
    <hyperlink ref="F574" r:id="rId141" display="mailto:liamhancy@greeneking.co.uk" xr:uid="{81CE5AA4-2464-46FD-B433-8DA0102DA7AC}"/>
    <hyperlink ref="D575" r:id="rId142" display="mailto:jessicagreen@greeneking.co.uk" xr:uid="{5A18D88C-3D88-4329-815C-12D0F5E44271}"/>
    <hyperlink ref="F575" r:id="rId143" display="mailto:liamhancy@greeneking.co.uk" xr:uid="{63ACACFE-FA5A-480A-B315-6787CF4A15DD}"/>
    <hyperlink ref="D576" r:id="rId144" display="mailto:jessicagreen@greeneking.co.uk" xr:uid="{BFDBD934-7A43-45C6-98D3-D3C80B4AC4E8}"/>
    <hyperlink ref="F576" r:id="rId145" display="mailto:liamhancy@greeneking.co.uk" xr:uid="{7D219B7A-5579-499F-A379-62527F4B4978}"/>
    <hyperlink ref="D577" r:id="rId146" display="mailto:jessicagreen@greeneking.co.uk" xr:uid="{70F99201-59BC-4734-8F61-450053471C5A}"/>
    <hyperlink ref="F577" r:id="rId147" display="mailto:liamhancy@greeneking.co.uk" xr:uid="{86A82952-543A-4699-9882-BDC54581B30B}"/>
    <hyperlink ref="D578" r:id="rId148" display="mailto:jessicagreen@greeneking.co.uk" xr:uid="{CD0298E7-A723-49EF-9091-B0E9A1796520}"/>
    <hyperlink ref="F578" r:id="rId149" display="mailto:liamhancy@greeneking.co.uk" xr:uid="{0A129CF7-0EB6-437F-8CEA-9A065D4D1947}"/>
    <hyperlink ref="D579" r:id="rId150" display="mailto:jessicagreen@greeneking.co.uk" xr:uid="{84B67FBC-069E-4EE2-B8FA-143BD6C0C406}"/>
    <hyperlink ref="F579" r:id="rId151" display="mailto:liamhancy@greeneking.co.uk" xr:uid="{3F2A34F6-2D3C-4D5E-BFBB-22CA8A8065F1}"/>
    <hyperlink ref="D580" r:id="rId152" display="mailto:jessicagreen@greeneking.co.uk" xr:uid="{14531C5B-756B-4883-B526-66F0E0CB1C45}"/>
    <hyperlink ref="F580" r:id="rId153" display="mailto:liamhancy@greeneking.co.uk" xr:uid="{A7D93D8F-E258-468F-98DE-E7E5C0E5F9DE}"/>
    <hyperlink ref="F610" r:id="rId154" display="mailto:liamhancy@greeneking.co.uk" xr:uid="{177987A8-2997-482D-8D66-A69664060F94}"/>
    <hyperlink ref="F611" r:id="rId155" display="mailto:liamhancy@greeneking.co.uk" xr:uid="{BA9691F4-D260-47DF-B346-4D48876F0261}"/>
    <hyperlink ref="F612" r:id="rId156" display="mailto:liamhancy@greeneking.co.uk" xr:uid="{79210841-433D-4FE9-B6C5-ADDE3C6921D8}"/>
    <hyperlink ref="F613" r:id="rId157" display="mailto:liamhancy@greeneking.co.uk" xr:uid="{7C79C33E-F54A-41AE-90C4-A99BB2FD1279}"/>
    <hyperlink ref="F614" r:id="rId158" display="mailto:liamhancy@greeneking.co.uk" xr:uid="{0AA4AC41-417F-428A-8400-933641D8B0E2}"/>
    <hyperlink ref="F615" r:id="rId159" display="mailto:liamhancy@greeneking.co.uk" xr:uid="{29B595C7-AB83-49AF-ACA9-122F9CA69B29}"/>
    <hyperlink ref="F616" r:id="rId160" display="mailto:liamhancy@greeneking.co.uk" xr:uid="{8D7B91A6-D02C-4571-8BEA-07886F2475C8}"/>
    <hyperlink ref="F617" r:id="rId161" display="mailto:liamhancy@greeneking.co.uk" xr:uid="{1AFCDB36-DC31-4D6B-A3AE-99886E9106C3}"/>
    <hyperlink ref="F618" r:id="rId162" display="mailto:liamhancy@greeneking.co.uk" xr:uid="{2CCEBCAA-527D-4FD0-9C25-7063354E9C71}"/>
    <hyperlink ref="F619" r:id="rId163" display="mailto:liamhancy@greeneking.co.uk" xr:uid="{EF19F6C9-7ECD-4319-94F4-58D9D96E8451}"/>
    <hyperlink ref="F620" r:id="rId164" display="mailto:liamhancy@greeneking.co.uk" xr:uid="{FCB85A9F-7DE6-4CFE-AB34-E1F9ABB23E40}"/>
    <hyperlink ref="F621" r:id="rId165" display="mailto:liamhancy@greeneking.co.uk" xr:uid="{66C46F94-4092-47A0-8447-436DA9B908C7}"/>
    <hyperlink ref="F622" r:id="rId166" display="mailto:liamhancy@greeneking.co.uk" xr:uid="{0376699E-E262-41C6-B40B-741001645A47}"/>
    <hyperlink ref="F623" r:id="rId167" display="mailto:liamhancy@greeneking.co.uk" xr:uid="{0E8446EB-9386-439A-8920-08DB3A5F31B3}"/>
    <hyperlink ref="F624" r:id="rId168" display="mailto:liamhancy@greeneking.co.uk" xr:uid="{37CD63EA-0B52-475E-BD88-92C011160219}"/>
    <hyperlink ref="F625" r:id="rId169" display="mailto:liamhancy@greeneking.co.uk" xr:uid="{ED3E6D76-3B4D-47B8-90BA-ED61B687DDEB}"/>
    <hyperlink ref="F626" r:id="rId170" display="mailto:liamhancy@greeneking.co.uk" xr:uid="{B74D9023-E618-44E4-A0F3-17390B746AD9}"/>
    <hyperlink ref="F627" r:id="rId171" display="mailto:liamhancy@greeneking.co.uk" xr:uid="{0F132E2B-72B7-4A65-B4EB-92A98C4F5BF8}"/>
    <hyperlink ref="F628" r:id="rId172" display="mailto:liamhancy@greeneking.co.uk" xr:uid="{02D07A10-43F0-4087-8D94-0F9055DF8754}"/>
    <hyperlink ref="F629" r:id="rId173" display="mailto:liamhancy@greeneking.co.uk" xr:uid="{774D4532-3A6B-4C52-A77F-F08A3AAA1E41}"/>
    <hyperlink ref="F630" r:id="rId174" display="mailto:liamhancy@greeneking.co.uk" xr:uid="{40673666-693B-4228-8481-BBD643A7C026}"/>
    <hyperlink ref="F631" r:id="rId175" display="mailto:liamhancy@greeneking.co.uk" xr:uid="{16B2DC96-15E1-444E-A87C-89C6B535F26A}"/>
    <hyperlink ref="F632" r:id="rId176" display="mailto:liamhancy@greeneking.co.uk" xr:uid="{554604A8-CA0E-4F14-B5E0-702CE9731928}"/>
    <hyperlink ref="F648" r:id="rId177" display="mailto:liamhancy@greeneking.co.uk" xr:uid="{8CE26EDD-2BFE-40C3-8C1A-0BB675FFB3AD}"/>
    <hyperlink ref="F649" r:id="rId178" display="mailto:liamhancy@greeneking.co.uk" xr:uid="{8439773D-AF24-48AC-BA1C-112E39D8EEAE}"/>
    <hyperlink ref="F650" r:id="rId179" display="mailto:liamhancy@greeneking.co.uk" xr:uid="{C3347CD4-11F7-43FB-AB8F-F4D69EC14A4E}"/>
    <hyperlink ref="F651" r:id="rId180" display="mailto:liamhancy@greeneking.co.uk" xr:uid="{D14F2BCF-4ECA-4B49-85DF-A5EC30E4C887}"/>
    <hyperlink ref="F652" r:id="rId181" display="mailto:liamhancy@greeneking.co.uk" xr:uid="{D83ED211-1FB3-4E9F-A9D8-FFE9D28702FF}"/>
    <hyperlink ref="F653" r:id="rId182" display="mailto:liamhancy@greeneking.co.uk" xr:uid="{26DDCBFA-224D-4184-9D12-FAA54856048F}"/>
    <hyperlink ref="F654" r:id="rId183" display="mailto:liamhancy@greeneking.co.uk" xr:uid="{971F34DB-ADCD-48C2-AA6E-B996605429A4}"/>
    <hyperlink ref="F655" r:id="rId184" display="mailto:liamhancy@greeneking.co.uk" xr:uid="{67FBA33A-7AFA-40C1-AFEE-8F69CE7D335C}"/>
    <hyperlink ref="F656" r:id="rId185" display="mailto:liamhancy@greeneking.co.uk" xr:uid="{92A0290E-EBAE-4C36-A3CA-45A3981552A4}"/>
    <hyperlink ref="F657" r:id="rId186" display="mailto:liamhancy@greeneking.co.uk" xr:uid="{A66B3B40-AEE8-4203-BF48-F0A11C9F36D3}"/>
    <hyperlink ref="F658" r:id="rId187" display="mailto:liamhancy@greeneking.co.uk" xr:uid="{9395FFE0-7F9B-44F8-9CAC-F5EACF1EE3E1}"/>
    <hyperlink ref="F659" r:id="rId188" display="mailto:liamhancy@greeneking.co.uk" xr:uid="{1ED9E45F-3A0B-4325-AAEC-D0ECF79062E5}"/>
    <hyperlink ref="F660" r:id="rId189" display="mailto:liamhancy@greeneking.co.uk" xr:uid="{E8DF4083-8BD5-48EF-95B7-49F6F39BC1A6}"/>
    <hyperlink ref="F661" r:id="rId190" display="mailto:liamhancy@greeneking.co.uk" xr:uid="{E3FF3014-768E-42B2-AE06-EC45F9D06A96}"/>
    <hyperlink ref="F662" r:id="rId191" display="mailto:liamhancy@greeneking.co.uk" xr:uid="{B5B88B7E-FE14-4CBA-BD35-F2A7F531C750}"/>
    <hyperlink ref="F663" r:id="rId192" display="mailto:liamhancy@greeneking.co.uk" xr:uid="{D9B3DBEA-C84D-4459-9536-0C44071B1C37}"/>
    <hyperlink ref="F664" r:id="rId193" display="mailto:liamhancy@greeneking.co.uk" xr:uid="{6A0E94B9-F161-4610-83C2-1BDAD2C6A7AE}"/>
    <hyperlink ref="F665" r:id="rId194" display="mailto:liamhancy@greeneking.co.uk" xr:uid="{E2375A7E-AC7B-4124-8360-44CB73574FEA}"/>
    <hyperlink ref="F666" r:id="rId195" display="mailto:liamhancy@greeneking.co.uk" xr:uid="{FEFA61AB-1B6B-4BB1-9744-93C21D76ED37}"/>
    <hyperlink ref="F667" r:id="rId196" display="mailto:liamhancy@greeneking.co.uk" xr:uid="{609ECFA9-E6D2-4FE4-8A50-08B9C6EA682C}"/>
    <hyperlink ref="F668" r:id="rId197" display="mailto:liamhancy@greeneking.co.uk" xr:uid="{D0094E35-F7C3-44E3-A3D4-E9908CD78505}"/>
    <hyperlink ref="F669" r:id="rId198" display="mailto:liamhancy@greeneking.co.uk" xr:uid="{9B68E2ED-84E6-435B-ABCE-ECD7C51F9F44}"/>
    <hyperlink ref="F670" r:id="rId199" display="mailto:liamhancy@greeneking.co.uk" xr:uid="{92E3D41E-578E-4146-B9BB-2D021B7D989E}"/>
    <hyperlink ref="F671" r:id="rId200" display="mailto:liamhancy@greeneking.co.uk" xr:uid="{A7B78CA7-3DB4-4A1D-B09E-8BC52E5BC7B9}"/>
    <hyperlink ref="F672" r:id="rId201" display="mailto:liamhancy@greeneking.co.uk" xr:uid="{2A52E76F-0F05-4F3A-8E3A-EA7196264A5A}"/>
    <hyperlink ref="F673" r:id="rId202" display="mailto:liamhancy@greeneking.co.uk" xr:uid="{7EA99739-9201-4EDE-AE19-85F1FC59FFA4}"/>
    <hyperlink ref="F674" r:id="rId203" display="mailto:liamhancy@greeneking.co.uk" xr:uid="{BC7B76EE-FE64-413B-BC99-0300CE35E0CE}"/>
    <hyperlink ref="F675" r:id="rId204" display="mailto:liamhancy@greeneking.co.uk" xr:uid="{CFFD52CE-2B16-4B70-AE7B-23C164014D9C}"/>
    <hyperlink ref="F676" r:id="rId205" display="mailto:liamhancy@greeneking.co.uk" xr:uid="{16D20CF5-1188-4E56-8A18-A68DE1D803EE}"/>
    <hyperlink ref="F677" r:id="rId206" display="mailto:liamhancy@greeneking.co.uk" xr:uid="{7B9A6382-07B3-4D88-815E-CA1785511B7F}"/>
    <hyperlink ref="F678" r:id="rId207" display="mailto:liamhancy@greeneking.co.uk" xr:uid="{21EFED42-EA39-4046-957E-0258C7070C51}"/>
    <hyperlink ref="F679" r:id="rId208" display="mailto:liamhancy@greeneking.co.uk" xr:uid="{AA4DDE7E-5AC3-4658-B51E-09B4DE3A9F69}"/>
    <hyperlink ref="F680" r:id="rId209" display="mailto:liamhancy@greeneking.co.uk" xr:uid="{C180436D-F726-4893-8253-F9CF9141479C}"/>
    <hyperlink ref="F681" r:id="rId210" display="mailto:liamhancy@greeneking.co.uk" xr:uid="{D3887F20-2A95-49C2-A676-4B562339BCB0}"/>
    <hyperlink ref="F682" r:id="rId211" display="mailto:liamhancy@greeneking.co.uk" xr:uid="{897B9849-709A-4073-9D33-B7AD46786824}"/>
    <hyperlink ref="F683" r:id="rId212" display="mailto:liamhancy@greeneking.co.uk" xr:uid="{F5A224C9-9D39-4176-A8E3-BB25A03456B1}"/>
    <hyperlink ref="F684" r:id="rId213" display="mailto:liamhancy@greeneking.co.uk" xr:uid="{EC4A0AD1-9833-4EA9-ABB4-2FE7C1A509FD}"/>
    <hyperlink ref="F685" r:id="rId214" display="mailto:liamhancy@greeneking.co.uk" xr:uid="{21AA1708-FDCB-41D4-B475-CCDE5A9E4712}"/>
    <hyperlink ref="F686" r:id="rId215" display="mailto:liamhancy@greeneking.co.uk" xr:uid="{BC1A6054-AD0F-41B0-A9CF-3A248E999041}"/>
    <hyperlink ref="F687" r:id="rId216" display="mailto:liamhancy@greeneking.co.uk" xr:uid="{512E3795-F8DC-4EBA-80FC-07686724D9C6}"/>
    <hyperlink ref="F688" r:id="rId217" display="mailto:liamhancy@greeneking.co.uk" xr:uid="{2ED14271-2C3A-4A18-BABD-6AC2A3927E2F}"/>
    <hyperlink ref="F689" r:id="rId218" display="mailto:liamhancy@greeneking.co.uk" xr:uid="{98ECA7BF-1A8C-42D8-BBE4-A3B023A14DDE}"/>
    <hyperlink ref="F690" r:id="rId219" display="mailto:liamhancy@greeneking.co.uk" xr:uid="{BA715AFE-B249-4842-9249-A43D565B0D1C}"/>
    <hyperlink ref="F691" r:id="rId220" display="mailto:liamhancy@greeneking.co.uk" xr:uid="{460D19EC-12BD-4492-B4A9-FF27B65DDCC5}"/>
    <hyperlink ref="F692" r:id="rId221" display="mailto:liamhancy@greeneking.co.uk" xr:uid="{3C8C1BE6-9988-47DD-B411-D52561542051}"/>
    <hyperlink ref="F693" r:id="rId222" display="mailto:liamhancy@greeneking.co.uk" xr:uid="{825A8ADE-2872-4869-A8B2-BF04DE8A13D3}"/>
    <hyperlink ref="F694" r:id="rId223" display="mailto:liamhancy@greeneking.co.uk" xr:uid="{36AB0E18-740E-4AEC-A6F0-77162D01EABE}"/>
    <hyperlink ref="F695" r:id="rId224" display="mailto:liamhancy@greeneking.co.uk" xr:uid="{A319C84E-E676-4069-A876-AA5D544CC076}"/>
    <hyperlink ref="F696" r:id="rId225" display="mailto:liamhancy@greeneking.co.uk" xr:uid="{3D26D40B-6438-4FF8-8A2D-999639DC659E}"/>
    <hyperlink ref="F697" r:id="rId226" display="mailto:liamhancy@greeneking.co.uk" xr:uid="{7293D633-17D8-43EC-BEA2-85E2C1FBC42E}"/>
    <hyperlink ref="F698" r:id="rId227" display="mailto:liamhancy@greeneking.co.uk" xr:uid="{498ADDB8-8656-4360-8D0B-1B6E10484996}"/>
    <hyperlink ref="F699" r:id="rId228" display="mailto:liamhancy@greeneking.co.uk" xr:uid="{A3890CE8-BF98-47B3-AFE2-CF650FBD4B6C}"/>
    <hyperlink ref="F700" r:id="rId229" display="mailto:liamhancy@greeneking.co.uk" xr:uid="{6066BE44-2D4A-4E1D-8974-357E67291CDC}"/>
    <hyperlink ref="F701" r:id="rId230" display="mailto:liamhancy@greeneking.co.uk" xr:uid="{759D8DA9-C5D6-4199-80F3-FF6AF2D46DFA}"/>
    <hyperlink ref="F702" r:id="rId231" display="mailto:liamhancy@greeneking.co.uk" xr:uid="{ACCA0FE1-0D45-4AA2-B65F-F3A6C3AFD4B3}"/>
    <hyperlink ref="F703" r:id="rId232" display="mailto:liamhancy@greeneking.co.uk" xr:uid="{7025F768-6B5D-4A92-97C7-57497C02D7A2}"/>
    <hyperlink ref="F704" r:id="rId233" display="mailto:liamhancy@greeneking.co.uk" xr:uid="{872BE544-CE00-4195-9C28-63BFA985CA33}"/>
    <hyperlink ref="F705" r:id="rId234" display="mailto:liamhancy@greeneking.co.uk" xr:uid="{6BC738BC-E6D2-4268-A0FC-584EB214ACF7}"/>
    <hyperlink ref="D894" r:id="rId235" display="mailto:jessicagreen@greeneking.co.uk" xr:uid="{A90FB7E4-72BD-41D0-8A0F-C6324C315262}"/>
    <hyperlink ref="F894" r:id="rId236" display="mailto:liamhancy@greeneking.co.uk" xr:uid="{AD75D0BD-18DA-4A0A-804E-64E1D5704000}"/>
    <hyperlink ref="D895" r:id="rId237" display="mailto:jessicagreen@greeneking.co.uk" xr:uid="{5404A427-DF8F-4716-8324-557FDCD67CFC}"/>
    <hyperlink ref="F895" r:id="rId238" display="mailto:liamhancy@greeneking.co.uk" xr:uid="{3146F7E4-8430-4BB9-AF70-798CB09F99C3}"/>
    <hyperlink ref="D896" r:id="rId239" display="mailto:jessicagreen@greeneking.co.uk" xr:uid="{C506BA6B-B6B0-4664-B5BA-ACBE43D6FE8A}"/>
    <hyperlink ref="F896" r:id="rId240" display="mailto:liamhancy@greeneking.co.uk" xr:uid="{C861D828-7F69-4E8D-A4A6-5C059DB8FDD6}"/>
    <hyperlink ref="D897" r:id="rId241" display="mailto:jessicagreen@greeneking.co.uk" xr:uid="{C67F0FCD-57AA-49AD-8865-EB089EA6EECA}"/>
    <hyperlink ref="F897" r:id="rId242" display="mailto:liamhancy@greeneking.co.uk" xr:uid="{6D10AC66-3AB2-4579-AFA1-982A442B7C36}"/>
    <hyperlink ref="D898" r:id="rId243" display="mailto:jessicagreen@greeneking.co.uk" xr:uid="{E825BFC4-FBF7-4A79-96D9-AEBFC3FA47D1}"/>
    <hyperlink ref="F898" r:id="rId244" display="mailto:liamhancy@greeneking.co.uk" xr:uid="{32C5358F-9991-404C-86FD-28DFAE0010E8}"/>
    <hyperlink ref="D899" r:id="rId245" display="mailto:jessicagreen@greeneking.co.uk" xr:uid="{C369B3F5-2882-45A6-A1C2-57F012C05220}"/>
    <hyperlink ref="F899" r:id="rId246" display="mailto:liamhancy@greeneking.co.uk" xr:uid="{641D59B9-8432-453A-A6D1-F3703AE29686}"/>
    <hyperlink ref="D900" r:id="rId247" display="mailto:jessicagreen@greeneking.co.uk" xr:uid="{3BA3B75E-4DD8-4CBE-B29E-35026A6CCF3D}"/>
    <hyperlink ref="F900" r:id="rId248" display="mailto:liamhancy@greeneking.co.uk" xr:uid="{6C186257-5CA0-45B3-842A-8A9298433252}"/>
    <hyperlink ref="D901" r:id="rId249" display="mailto:jessicagreen@greeneking.co.uk" xr:uid="{05837B86-D416-4B07-8F14-A0843893DA63}"/>
    <hyperlink ref="F901" r:id="rId250" display="mailto:liamhancy@greeneking.co.uk" xr:uid="{37795524-EFE9-42DE-91E0-36A556D64BBA}"/>
    <hyperlink ref="D902" r:id="rId251" display="mailto:benfrater@greeneking.co.uk" xr:uid="{F4A15E15-0DEF-4D25-B447-953DE8DFF091}"/>
    <hyperlink ref="F902" r:id="rId252" display="mailto:kevin.grierson@belhaven.co.uk" xr:uid="{84B9C1A6-E8F0-4EE2-A372-3C246D556BF9}"/>
    <hyperlink ref="D903" r:id="rId253" display="mailto:benfrater@greeneking.co.uk" xr:uid="{1198392F-15CC-4983-8E30-93020A74B3BB}"/>
    <hyperlink ref="F903" r:id="rId254" display="mailto:kevin.grierson@belhaven.co.uk" xr:uid="{B1906F73-DA2D-4138-B5FF-5E2D0337A630}"/>
    <hyperlink ref="D904" r:id="rId255" display="mailto:benfrater@greeneking.co.uk" xr:uid="{8B3B9769-75C9-4552-83C8-960C15480D59}"/>
    <hyperlink ref="F904" r:id="rId256" display="mailto:kevin.grierson@belhaven.co.uk" xr:uid="{12D49DBC-237D-408A-94FB-49231423845A}"/>
    <hyperlink ref="D905" r:id="rId257" display="mailto:benfrater@greeneking.co.uk" xr:uid="{89863118-0D7A-4E60-ACF6-87148224B006}"/>
    <hyperlink ref="F905" r:id="rId258" display="mailto:kevin.grierson@belhaven.co.uk" xr:uid="{608AE07E-7077-4626-A457-7179ABE78FAE}"/>
    <hyperlink ref="D908" r:id="rId259" display="mailto:benfrater@greeneking.co.uk" xr:uid="{88C4F1AB-4567-4FCE-81A0-CC3DE7E7A396}"/>
    <hyperlink ref="F908" r:id="rId260" display="mailto:kevin.grierson@belhaven.co.uk" xr:uid="{A114F18B-8FF6-4FA3-852D-161D2D8025F0}"/>
    <hyperlink ref="D909" r:id="rId261" display="mailto:benfrater@greeneking.co.uk" xr:uid="{02604DA8-E10C-456E-AC92-50116B82FE72}"/>
    <hyperlink ref="F909" r:id="rId262" display="mailto:kevin.grierson@belhaven.co.uk" xr:uid="{0D3B939B-DF77-4AC1-8CC3-98C0A3D2651D}"/>
    <hyperlink ref="D910" r:id="rId263" display="mailto:benfrater@greeneking.co.uk" xr:uid="{A80CA20F-65DA-4E0F-AE9A-84DE77BDCFA8}"/>
    <hyperlink ref="F910" r:id="rId264" display="mailto:kevin.grierson@belhaven.co.uk" xr:uid="{0FBFFED0-3085-44A6-9EA2-1AB169074021}"/>
    <hyperlink ref="D911" r:id="rId265" display="mailto:benfrater@greeneking.co.uk" xr:uid="{516A006E-435F-4FDE-B747-9F63C3654F5C}"/>
    <hyperlink ref="F911" r:id="rId266" display="mailto:kevin.grierson@belhaven.co.uk" xr:uid="{797CF238-5096-427A-B920-58F426471087}"/>
    <hyperlink ref="D912" r:id="rId267" display="mailto:benfrater@greeneking.co.uk" xr:uid="{5883292C-C8EA-4AD0-87C8-519970B532FA}"/>
    <hyperlink ref="F912" r:id="rId268" display="mailto:kevin.grierson@belhaven.co.uk" xr:uid="{E394C231-745D-4643-8449-613F44644594}"/>
    <hyperlink ref="D913" r:id="rId269" display="mailto:benfrater@greeneking.co.uk" xr:uid="{E1865673-B66B-46AB-BBEA-98CA221947B0}"/>
    <hyperlink ref="F913" r:id="rId270" display="mailto:kevin.grierson@belhaven.co.uk" xr:uid="{576C3667-7448-4BB3-9C54-016262E81BC7}"/>
    <hyperlink ref="D914" r:id="rId271" display="mailto:benfrater@greeneking.co.uk" xr:uid="{6228ABC6-646E-4BFA-81E0-EC5176A3E8B4}"/>
    <hyperlink ref="F914" r:id="rId272" display="mailto:kevin.grierson@belhaven.co.uk" xr:uid="{199A860B-F783-4EFB-897A-7D5AAB3F1E31}"/>
    <hyperlink ref="D915" r:id="rId273" display="mailto:benfrater@greeneking.co.uk" xr:uid="{37F01F50-70B7-4F03-B0C2-C924B41D59BD}"/>
    <hyperlink ref="F915" r:id="rId274" display="mailto:kevin.grierson@belhaven.co.uk" xr:uid="{7A63C56A-38D1-4F4E-A6F6-F7E71FD6964B}"/>
    <hyperlink ref="D917" r:id="rId275" display="mailto:benfrater@greeneking.co.uk" xr:uid="{7C9529DD-199B-4546-8858-2ADFFA109AFF}"/>
    <hyperlink ref="F917" r:id="rId276" display="mailto:kevin.grierson@belhaven.co.uk" xr:uid="{B50B7E7D-E97C-4A0C-96FA-4780C494F83B}"/>
    <hyperlink ref="D918" r:id="rId277" display="mailto:benfrater@greeneking.co.uk" xr:uid="{9894698D-57D3-4F10-ABD6-8B64C5B63B13}"/>
    <hyperlink ref="F918" r:id="rId278" display="mailto:kevin.grierson@belhaven.co.uk" xr:uid="{34C7B32B-9FAB-4B3A-98FD-865C5B538404}"/>
    <hyperlink ref="D919" r:id="rId279" display="mailto:benfrater@greeneking.co.uk" xr:uid="{0DD7A702-84C9-4626-9FA7-76986DD89BCB}"/>
    <hyperlink ref="F919" r:id="rId280" display="mailto:kevin.grierson@belhaven.co.uk" xr:uid="{47B2D5AD-E7E2-4776-9B83-BBD8850D9595}"/>
    <hyperlink ref="D920" r:id="rId281" display="mailto:benfrater@greeneking.co.uk" xr:uid="{9272268E-FC76-4E56-8A0E-F3C1E85C9F90}"/>
    <hyperlink ref="F920" r:id="rId282" display="mailto:kevin.grierson@belhaven.co.uk" xr:uid="{550E8539-9A09-4678-B2AB-B7E92508046C}"/>
    <hyperlink ref="D921" r:id="rId283" display="mailto:benfrater@greeneking.co.uk" xr:uid="{C50EFA4C-C8DC-4A64-B2F9-1C4C4E85367C}"/>
    <hyperlink ref="F921" r:id="rId284" display="mailto:kevin.grierson@belhaven.co.uk" xr:uid="{1E2A5412-1B36-4386-8391-9717A34CD527}"/>
    <hyperlink ref="D922" r:id="rId285" display="mailto:benfrater@greeneking.co.uk" xr:uid="{B0292BC3-0753-42D3-9292-06B7239A3C3B}"/>
    <hyperlink ref="F922" r:id="rId286" display="mailto:kevin.grierson@belhaven.co.uk" xr:uid="{87A6EF34-AA83-4E65-99D5-5B1361766986}"/>
    <hyperlink ref="D923" r:id="rId287" display="mailto:benfrater@greeneking.co.uk" xr:uid="{68F77F43-C1AA-408D-96CA-966B7BE6CA1E}"/>
    <hyperlink ref="F923" r:id="rId288" display="mailto:kevin.grierson@belhaven.co.uk" xr:uid="{3EF89A5D-D0E4-4CA8-95FC-655F63F19A1A}"/>
    <hyperlink ref="D924" r:id="rId289" display="mailto:benfrater@greeneking.co.uk" xr:uid="{085E4C02-0B22-4B05-A56C-ABD8361DED19}"/>
    <hyperlink ref="F924" r:id="rId290" display="mailto:kevin.grierson@belhaven.co.uk" xr:uid="{67D31A61-81E4-400A-9F4C-40253972EAC4}"/>
    <hyperlink ref="D925" r:id="rId291" display="mailto:benfrater@greeneking.co.uk" xr:uid="{AFBD9EB5-2B9D-4D66-9F74-3E2A5850581A}"/>
    <hyperlink ref="F925" r:id="rId292" display="mailto:kevin.grierson@belhaven.co.uk" xr:uid="{D9AC1AB2-5D32-4E54-97D1-0019B140F2DD}"/>
    <hyperlink ref="D926" r:id="rId293" display="mailto:benfrater@greeneking.co.uk" xr:uid="{280AC17E-D6AE-464C-9677-34CFF31CA211}"/>
    <hyperlink ref="F926" r:id="rId294" display="mailto:kevin.grierson@belhaven.co.uk" xr:uid="{6966B13B-384B-4B5E-A003-24BE10AF27C5}"/>
    <hyperlink ref="D927" r:id="rId295" display="mailto:benfrater@greeneking.co.uk" xr:uid="{0E8C6D34-7F54-4848-986E-74BA6E5C75D6}"/>
    <hyperlink ref="F927" r:id="rId296" display="mailto:kevin.grierson@belhaven.co.uk" xr:uid="{23489E08-3403-479E-B121-40D7586FE5D4}"/>
    <hyperlink ref="D928" r:id="rId297" display="mailto:benfrater@greeneking.co.uk" xr:uid="{934E33A5-4022-4C45-9C80-581B194AC79F}"/>
    <hyperlink ref="F928" r:id="rId298" display="mailto:kevin.grierson@belhaven.co.uk" xr:uid="{95211BEA-6988-4AF2-A695-95761E78897A}"/>
    <hyperlink ref="D929" r:id="rId299" display="mailto:benfrater@greeneking.co.uk" xr:uid="{C4D7F23A-1B37-4D7D-B96A-C9276F8ADF3F}"/>
    <hyperlink ref="F929" r:id="rId300" display="mailto:kevin.grierson@belhaven.co.uk" xr:uid="{E6851FE4-C2C2-489E-B1AB-47190D6FC729}"/>
    <hyperlink ref="D930" r:id="rId301" display="mailto:benfrater@greeneking.co.uk" xr:uid="{09FD7617-A1D5-435E-9C5F-7BCD57967FF3}"/>
    <hyperlink ref="F930" r:id="rId302" display="mailto:kevin.grierson@belhaven.co.uk" xr:uid="{00CB47DF-D7ED-45FF-B7C7-6D175CA19772}"/>
    <hyperlink ref="D931" r:id="rId303" display="mailto:benfrater@greeneking.co.uk" xr:uid="{F95D417D-3D1F-4085-ADC9-9E0C5FCABE07}"/>
    <hyperlink ref="F931" r:id="rId304" display="mailto:kevin.grierson@belhaven.co.uk" xr:uid="{9C792B74-B024-4EEE-8D1F-6F4D5807DE76}"/>
    <hyperlink ref="D932" r:id="rId305" display="mailto:benfrater@greeneking.co.uk" xr:uid="{A0A9ECD5-174F-40D7-9987-D6E833B9C9B9}"/>
    <hyperlink ref="F932" r:id="rId306" display="mailto:kevin.grierson@belhaven.co.uk" xr:uid="{C5B7F54B-D09B-4D52-A428-5090FB02D0E5}"/>
    <hyperlink ref="D934" r:id="rId307" display="mailto:benfrater@greeneking.co.uk" xr:uid="{30341D15-0092-4BCB-9B98-9C7A01641DDB}"/>
    <hyperlink ref="F934" r:id="rId308" display="mailto:kevin.grierson@belhaven.co.uk" xr:uid="{E682389A-B429-4E25-8FC6-5A4E79229713}"/>
    <hyperlink ref="D938" r:id="rId309" display="mailto:benfrater@greeneking.co.uk" xr:uid="{F38FE918-D022-49FF-9A5B-696573632D69}"/>
    <hyperlink ref="F938" r:id="rId310" display="mailto:kevin.grierson@belhaven.co.uk" xr:uid="{5CBD3ABE-E148-4E23-BC8A-EE16991106D7}"/>
    <hyperlink ref="D939" r:id="rId311" display="mailto:benfrater@greeneking.co.uk" xr:uid="{A153960D-C302-44EA-B6B9-31A8DFEE80D3}"/>
    <hyperlink ref="F939" r:id="rId312" display="mailto:kevin.grierson@belhaven.co.uk" xr:uid="{4BD09887-2025-466B-B4C6-C71A95861B8E}"/>
    <hyperlink ref="D940" r:id="rId313" display="mailto:benfrater@greeneking.co.uk" xr:uid="{64C99E2D-2206-4495-9975-90D69C53B7A5}"/>
    <hyperlink ref="F940" r:id="rId314" display="mailto:kevin.grierson@belhaven.co.uk" xr:uid="{0E220629-D396-4767-9B51-3AE5AC5DE5A8}"/>
    <hyperlink ref="D941" r:id="rId315" display="mailto:benfrater@greeneking.co.uk" xr:uid="{E41DF0CD-9B72-4FDB-AC13-7301054C2CC7}"/>
    <hyperlink ref="F941" r:id="rId316" display="mailto:kevin.grierson@belhaven.co.uk" xr:uid="{559E6EE2-A11B-4A61-8E25-6B16D85A9D18}"/>
    <hyperlink ref="D942" r:id="rId317" display="mailto:benfrater@greeneking.co.uk" xr:uid="{90230968-2BCF-4999-87CE-1924D916A525}"/>
    <hyperlink ref="F942" r:id="rId318" display="mailto:kevin.grierson@belhaven.co.uk" xr:uid="{98FB6BD0-CA25-47C6-8F60-ABE55B0480D7}"/>
    <hyperlink ref="D943" r:id="rId319" display="mailto:benfrater@greeneking.co.uk" xr:uid="{5D073250-0058-4C84-85DE-E88B09C201AB}"/>
    <hyperlink ref="F943" r:id="rId320" display="mailto:kevin.grierson@belhaven.co.uk" xr:uid="{F548CB43-DB80-4C61-9FB6-ABC25B4679BF}"/>
    <hyperlink ref="D944" r:id="rId321" display="mailto:benfrater@greeneking.co.uk" xr:uid="{55AFA566-4A44-45BE-B9CF-97A367962F66}"/>
    <hyperlink ref="F944" r:id="rId322" display="mailto:kevin.grierson@belhaven.co.uk" xr:uid="{6B8F3F38-DCAD-42CA-8C6A-B603F7AA3A62}"/>
    <hyperlink ref="D945" r:id="rId323" display="mailto:benfrater@greeneking.co.uk" xr:uid="{AD40BD34-9600-4EBB-82DF-2C1D7F2F0523}"/>
    <hyperlink ref="F945" r:id="rId324" display="mailto:kevin.grierson@belhaven.co.uk" xr:uid="{223391A3-A926-4036-B6FD-15D6D76CF451}"/>
    <hyperlink ref="D946" r:id="rId325" display="mailto:benfrater@greeneking.co.uk" xr:uid="{F10042EE-F2D5-4A8B-AB1A-88D6FE23FF83}"/>
    <hyperlink ref="F946" r:id="rId326" display="mailto:kevin.grierson@belhaven.co.uk" xr:uid="{F42D26D3-A15F-4809-B2AA-A23E1F7FB63A}"/>
    <hyperlink ref="D947" r:id="rId327" display="mailto:benfrater@greeneking.co.uk" xr:uid="{97BD6FF6-8EBE-4975-9878-CC4F9F5F54AD}"/>
    <hyperlink ref="F947" r:id="rId328" display="mailto:kevin.grierson@belhaven.co.uk" xr:uid="{2846422B-2735-4706-ABFE-51019267BDFD}"/>
    <hyperlink ref="D1037" r:id="rId329" display="mailto:jessicagreen@greeneking.co.uk" xr:uid="{6BB3C6BA-397B-4B79-B582-A463E90DC9A8}"/>
    <hyperlink ref="F1037" r:id="rId330" display="mailto:liamhancy@greeneking.co.uk" xr:uid="{D2389D77-75FF-4218-96D7-2A0D8CD4F6EB}"/>
    <hyperlink ref="D1038" r:id="rId331" display="mailto:jessicagreen@greeneking.co.uk" xr:uid="{6167E47D-88C5-4A84-83F7-FB8AA70AFADE}"/>
    <hyperlink ref="F1038" r:id="rId332" display="mailto:liamhancy@greeneking.co.uk" xr:uid="{8EA988D5-8AD4-46A4-97F1-9621F57AF4C2}"/>
    <hyperlink ref="D1039" r:id="rId333" display="mailto:jessicagreen@greeneking.co.uk" xr:uid="{2155D755-2D4A-4EDA-AD0A-A2481A2E424F}"/>
    <hyperlink ref="F1039" r:id="rId334" display="mailto:liamhancy@greeneking.co.uk" xr:uid="{34DE6E5E-033F-4EEB-8056-EADAD4C31F2B}"/>
    <hyperlink ref="D1040" r:id="rId335" display="mailto:jessicagreen@greeneking.co.uk" xr:uid="{A7183C25-605A-4B90-8368-A059AE5A3C8E}"/>
    <hyperlink ref="F1040" r:id="rId336" display="mailto:liamhancy@greeneking.co.uk" xr:uid="{993419FD-97A7-487A-9FED-876DCBBF3C03}"/>
    <hyperlink ref="D1041" r:id="rId337" display="mailto:jessicagreen@greeneking.co.uk" xr:uid="{AB2B4535-B9C8-4FF7-B29D-3FAAA0EF6DEE}"/>
    <hyperlink ref="F1041" r:id="rId338" display="mailto:liamhancy@greeneking.co.uk" xr:uid="{8E44DCB2-8070-400A-B56B-8780423A285B}"/>
    <hyperlink ref="D1042" r:id="rId339" display="mailto:jessicagreen@greeneking.co.uk" xr:uid="{62FA807E-B83D-40D2-91BC-0A56A0850B2D}"/>
    <hyperlink ref="F1042" r:id="rId340" display="mailto:liamhancy@greeneking.co.uk" xr:uid="{0ADF5F3A-9AF0-4D1B-ADF2-23F08F25482C}"/>
    <hyperlink ref="D1043" r:id="rId341" display="mailto:jessicagreen@greeneking.co.uk" xr:uid="{6DE3F43B-655C-4845-83E8-6FDF9438EAAE}"/>
    <hyperlink ref="F1043" r:id="rId342" display="mailto:liamhancy@greeneking.co.uk" xr:uid="{E7D4DFAC-871A-4689-BFCF-DEE7464D25C1}"/>
    <hyperlink ref="D1044" r:id="rId343" display="mailto:jessicagreen@greeneking.co.uk" xr:uid="{923DF23B-B33A-4223-B690-5C10EB695064}"/>
    <hyperlink ref="F1044" r:id="rId344" display="mailto:liamhancy@greeneking.co.uk" xr:uid="{59A77034-346F-4F6D-84B5-BEB88F04D9F5}"/>
    <hyperlink ref="D1045" r:id="rId345" display="mailto:jessicagreen@greeneking.co.uk" xr:uid="{CBBF1C00-5070-4C5F-9938-07A6A11198C2}"/>
    <hyperlink ref="F1045" r:id="rId346" display="mailto:liamhancy@greeneking.co.uk" xr:uid="{62C9E9E2-D436-4A05-9C4C-7037B128752C}"/>
    <hyperlink ref="F1046" r:id="rId347" display="mailto:liamhancy@greeneking.co.uk" xr:uid="{A3AB6A5C-BC4C-4497-9BB2-5DC35CBCDC01}"/>
    <hyperlink ref="F1047" r:id="rId348" display="mailto:liamhancy@greeneking.co.uk" xr:uid="{6A4F557D-1053-48B2-B32D-B4B2C80DD01C}"/>
    <hyperlink ref="F1048" r:id="rId349" display="mailto:liamhancy@greeneking.co.uk" xr:uid="{232831AD-4F68-42CD-9160-76950FB9334C}"/>
    <hyperlink ref="F1049" r:id="rId350" display="mailto:liamhancy@greeneking.co.uk" xr:uid="{E3F3C4BB-49C9-4F8E-A53C-7A3B169612B5}"/>
    <hyperlink ref="F1050" r:id="rId351" display="mailto:liamhancy@greeneking.co.uk" xr:uid="{D4377217-6990-44FB-AF42-80304DCEAC84}"/>
    <hyperlink ref="D1069" r:id="rId352" display="mailto:TomBrindley@greeneking.co.uk" xr:uid="{7FD8421B-217C-45E8-A535-8112604EB539}"/>
    <hyperlink ref="F1093" r:id="rId353" display="mailto:liamhancy@greeneking.co.uk" xr:uid="{E3645FF9-3FEE-49C7-82AB-0529EB9C67BD}"/>
    <hyperlink ref="F1094" r:id="rId354" display="mailto:liamhancy@greeneking.co.uk" xr:uid="{F07A40F6-4687-4324-940F-0FB74F237568}"/>
    <hyperlink ref="F1095" r:id="rId355" display="mailto:liamhancy@greeneking.co.uk" xr:uid="{4FFA5BB7-7951-4F16-BEBA-7D27C29DA657}"/>
    <hyperlink ref="F1096" r:id="rId356" display="mailto:liamhancy@greeneking.co.uk" xr:uid="{CAA03413-B905-482E-9846-C4BB7527F034}"/>
    <hyperlink ref="F1097" r:id="rId357" display="mailto:liamhancy@greeneking.co.uk" xr:uid="{29C5B602-3F76-4B73-90AB-778E088F487F}"/>
    <hyperlink ref="F1098" r:id="rId358" display="mailto:liamhancy@greeneking.co.uk" xr:uid="{35F86D74-84E2-4957-BDEE-265C698C946D}"/>
    <hyperlink ref="F1099" r:id="rId359" display="mailto:liamhancy@greeneking.co.uk" xr:uid="{55D7F215-9579-4B93-9ACD-7E0FC53AE29F}"/>
    <hyperlink ref="F1100" r:id="rId360" display="mailto:liamhancy@greeneking.co.uk" xr:uid="{3059F3FF-2AC0-4717-8713-8A32340301B3}"/>
    <hyperlink ref="F1101" r:id="rId361" display="mailto:liamhancy@greeneking.co.uk" xr:uid="{B34C05A5-1447-41D7-A3E2-B3E0B44819C6}"/>
    <hyperlink ref="F1102" r:id="rId362" display="mailto:liamhancy@greeneking.co.uk" xr:uid="{0D1F3995-6639-43A3-8AE5-5EB9B28EE676}"/>
    <hyperlink ref="F1103" r:id="rId363" display="mailto:liamhancy@greeneking.co.uk" xr:uid="{24DC84B1-2693-4630-B127-F0822DDFE1E4}"/>
    <hyperlink ref="F1104" r:id="rId364" display="mailto:liamhancy@greeneking.co.uk" xr:uid="{43DF38B4-EB0E-42C7-8AF3-A470871D0776}"/>
    <hyperlink ref="F1105" r:id="rId365" display="mailto:liamhancy@greeneking.co.uk" xr:uid="{E1A91D53-C78C-4DAE-B424-050C1188FB5D}"/>
    <hyperlink ref="F1106" r:id="rId366" display="mailto:liamhancy@greeneking.co.uk" xr:uid="{BB3BBDBB-CA04-49FB-9794-901C8E800D83}"/>
    <hyperlink ref="F1107" r:id="rId367" display="mailto:liamhancy@greeneking.co.uk" xr:uid="{638A3349-6EFC-46A0-8245-06E7715D4361}"/>
    <hyperlink ref="F1108" r:id="rId368" display="mailto:liamhancy@greeneking.co.uk" xr:uid="{2B678D19-6F53-4C39-88DC-134C8593451A}"/>
    <hyperlink ref="F1109" r:id="rId369" display="mailto:liamhancy@greeneking.co.uk" xr:uid="{63A9A5BB-2B73-4CDA-9EE7-B42EED754EF8}"/>
    <hyperlink ref="F1110" r:id="rId370" display="mailto:liamhancy@greeneking.co.uk" xr:uid="{336D6AFB-4B90-421F-B4F6-67E7BB3AB90F}"/>
    <hyperlink ref="F1111" r:id="rId371" display="mailto:liamhancy@greeneking.co.uk" xr:uid="{FE206BF5-3229-4307-BCEC-0658574FDC5A}"/>
    <hyperlink ref="F1112" r:id="rId372" display="mailto:liamhancy@greeneking.co.uk" xr:uid="{01BD0908-85C6-4D46-ADE5-D74C63633AE0}"/>
    <hyperlink ref="D1113" r:id="rId373" display="mailto:jessicagreen@greeneking.co.uk" xr:uid="{B6177475-A316-44B4-A6AD-DD8D1A239772}"/>
    <hyperlink ref="F1113" r:id="rId374" display="mailto:liamhancy@greeneking.co.uk" xr:uid="{8BD6C594-8016-4B48-B2AC-838569945D4C}"/>
    <hyperlink ref="D1114" r:id="rId375" display="mailto:jessicagreen@greeneking.co.uk" xr:uid="{ED0E5BFC-73D0-4DBC-92CB-5BB72499D856}"/>
    <hyperlink ref="F1114" r:id="rId376" display="mailto:liamhancy@greeneking.co.uk" xr:uid="{96D74A00-F4C8-4200-9828-5CE6FBF3D0E3}"/>
    <hyperlink ref="D1115" r:id="rId377" display="mailto:jessicagreen@greeneking.co.uk" xr:uid="{940FE3F2-3B9D-46A7-8320-091971B80550}"/>
    <hyperlink ref="F1115" r:id="rId378" display="mailto:liamhancy@greeneking.co.uk" xr:uid="{B89EFAA3-4466-4D13-89CF-D1BA5117C619}"/>
    <hyperlink ref="D1116" r:id="rId379" display="mailto:jessicagreen@greeneking.co.uk" xr:uid="{35C2CD94-F3D7-4956-97EE-9927EAF5914C}"/>
    <hyperlink ref="F1116" r:id="rId380" display="mailto:liamhancy@greeneking.co.uk" xr:uid="{13CDBFEB-EE1A-4F17-A8A3-1B834FCDFEF5}"/>
    <hyperlink ref="D1117" r:id="rId381" display="mailto:jessicagreen@greeneking.co.uk" xr:uid="{C8C865CC-297D-443C-AAC4-7F963FF883A7}"/>
    <hyperlink ref="F1117" r:id="rId382" display="mailto:liamhancy@greeneking.co.uk" xr:uid="{CE787F14-EFC6-404A-BE55-E714D3E4DBA7}"/>
    <hyperlink ref="D1118" r:id="rId383" display="mailto:jessicagreen@greeneking.co.uk" xr:uid="{7AB299CA-6988-4BA5-883F-2BFC04FE09C0}"/>
    <hyperlink ref="F1118" r:id="rId384" display="mailto:liamhancy@greeneking.co.uk" xr:uid="{5C50E09C-D769-4CC4-8059-6DC5B49EF7F0}"/>
    <hyperlink ref="D1119" r:id="rId385" display="mailto:jessicagreen@greeneking.co.uk" xr:uid="{185D74B9-148F-4BC7-A4E9-D1BCF7F437E4}"/>
    <hyperlink ref="F1119" r:id="rId386" display="mailto:liamhancy@greeneking.co.uk" xr:uid="{0B4F49D7-4711-4E50-8033-D4F3680783A1}"/>
    <hyperlink ref="F1140" r:id="rId387" display="mailto:tombrown@greeneking.co.uk" xr:uid="{511B5BE5-8D92-4B3C-80B2-634813FF5582}"/>
    <hyperlink ref="F1141" r:id="rId388" display="mailto:tombrown@greeneking.co.uk" xr:uid="{C484BFD9-A297-4697-9A7E-396FC99015B0}"/>
    <hyperlink ref="F1142" r:id="rId389" display="mailto:tombrown@greeneking.co.uk" xr:uid="{8F55BB11-5F0F-45B3-A0E9-4281F7406733}"/>
    <hyperlink ref="F1143" r:id="rId390" display="mailto:tombrown@greeneking.co.uk" xr:uid="{F3C0F0F8-4907-4DAA-887C-C1355378CDD6}"/>
    <hyperlink ref="F1144" r:id="rId391" display="mailto:tombrown@greeneking.co.uk" xr:uid="{2A9703BD-53D5-425C-8760-9B21E0E7F08A}"/>
    <hyperlink ref="F1145" r:id="rId392" display="mailto:tombrown@greeneking.co.uk" xr:uid="{68403843-E53D-45A9-B2C6-1011BF81324E}"/>
    <hyperlink ref="F1146" r:id="rId393" display="mailto:tombrown@greeneking.co.uk" xr:uid="{E453D3D0-041F-46AB-9480-B3DED0BBBDAB}"/>
    <hyperlink ref="F1147" r:id="rId394" display="mailto:tombrown@greeneking.co.uk" xr:uid="{090B474B-4851-4BA6-87B5-3E66FBC1AB2D}"/>
    <hyperlink ref="F1148" r:id="rId395" display="mailto:tombrown@greeneking.co.uk" xr:uid="{EDB5812C-307C-4DA2-9D29-D99C4C289CFF}"/>
    <hyperlink ref="F1149" r:id="rId396" display="mailto:tombrown@greeneking.co.uk" xr:uid="{9CE1BA7A-99ED-4852-899D-A75A6942E666}"/>
    <hyperlink ref="F1150" r:id="rId397" display="mailto:tombrown@greeneking.co.uk" xr:uid="{C9071FF5-906A-45C5-BE40-68151E4FA99C}"/>
    <hyperlink ref="F1151" r:id="rId398" display="mailto:tombrown@greeneking.co.uk" xr:uid="{1960CE6A-C274-4031-9D25-B59703AE46FE}"/>
    <hyperlink ref="F1152" r:id="rId399" display="mailto:tombrown@greeneking.co.uk" xr:uid="{C4CFE75D-36E7-4D40-93E3-EB16968F74C4}"/>
    <hyperlink ref="F1153" r:id="rId400" display="mailto:tombrown@greeneking.co.uk" xr:uid="{32C10EF4-ED2C-4582-9293-34117AAE08C8}"/>
    <hyperlink ref="F1154" r:id="rId401" display="mailto:tombrown@greeneking.co.uk" xr:uid="{56145166-966C-4A75-B5DA-4BD4BAD592D5}"/>
    <hyperlink ref="F1155" r:id="rId402" display="mailto:tombrown@greeneking.co.uk" xr:uid="{B0C6242E-8055-460E-9B68-35ADE2FFADF6}"/>
    <hyperlink ref="D1156" r:id="rId403" display="mailto:Adamreditt@greeneking.co.uk" xr:uid="{E13D7A9A-2CB9-4E1D-B9EA-841B6BED8244}"/>
    <hyperlink ref="F1156" r:id="rId404" display="mailto:tombrown@greeneking.co.uk" xr:uid="{89904371-C819-47B2-BF94-E9CE21396424}"/>
    <hyperlink ref="D1157" r:id="rId405" display="mailto:Adamreditt@greeneking.co.uk" xr:uid="{DD27CA3D-2448-45B1-B462-02331E42F2E2}"/>
    <hyperlink ref="F1157" r:id="rId406" display="mailto:tombrown@greeneking.co.uk" xr:uid="{344D953D-CA2C-48E8-9F1D-B5820B2A0F6B}"/>
    <hyperlink ref="F1158" r:id="rId407" display="mailto:tombrown@greeneking.co.uk" xr:uid="{4A290679-BC9A-4424-B5C1-4CCADF3A738A}"/>
    <hyperlink ref="F1159" r:id="rId408" display="mailto:tombrown@greeneking.co.uk" xr:uid="{008017D0-BEFA-4D5F-B5DB-BE44ED27AEF2}"/>
    <hyperlink ref="F1160" r:id="rId409" display="mailto:tombrown@greeneking.co.uk" xr:uid="{0FA39178-F7BA-4180-A481-B06C0845C198}"/>
    <hyperlink ref="F1161" r:id="rId410" display="mailto:tombrown@greeneking.co.uk" xr:uid="{EF5B9F6C-8CAC-4A58-9EE9-86228B92D17B}"/>
    <hyperlink ref="F1162" r:id="rId411" display="mailto:tombrown@greeneking.co.uk" xr:uid="{4E55E7B2-808D-4474-A007-8D98B651AE59}"/>
    <hyperlink ref="F1163" r:id="rId412" display="mailto:tombrown@greeneking.co.uk" xr:uid="{3493EB63-E2B8-46B1-B755-22CCB889FEE0}"/>
    <hyperlink ref="F1164" r:id="rId413" display="mailto:tombrown@greeneking.co.uk" xr:uid="{316E0F74-676E-4A04-BCDF-B66D7F6767CE}"/>
    <hyperlink ref="F1165" r:id="rId414" display="mailto:tombrown@greeneking.co.uk" xr:uid="{9E256622-D829-40AE-8BC0-E824019D31F1}"/>
    <hyperlink ref="F1166" r:id="rId415" display="mailto:tombrown@greeneking.co.uk" xr:uid="{BA000A99-94EE-4DF4-AA49-E855D4AA211D}"/>
    <hyperlink ref="F1167" r:id="rId416" display="mailto:tombrown@greeneking.co.uk" xr:uid="{95D03728-A7F9-4EFB-987A-AB82A0BEF313}"/>
    <hyperlink ref="F1168" r:id="rId417" display="mailto:tombrown@greeneking.co.uk" xr:uid="{F4327E6A-6937-49CA-B480-9FA3A7200C60}"/>
    <hyperlink ref="F1169" r:id="rId418" display="mailto:tombrown@greeneking.co.uk" xr:uid="{F2C7BCBB-AADE-43B3-8390-87FF2D470550}"/>
    <hyperlink ref="F1170" r:id="rId419" display="mailto:tombrown@greeneking.co.uk" xr:uid="{EFD6E044-B027-4464-BAF5-1ABB99BF59CE}"/>
    <hyperlink ref="F1171" r:id="rId420" display="mailto:tombrown@greeneking.co.uk" xr:uid="{02C6AF3B-AFDD-4535-9C63-90F39942696F}"/>
    <hyperlink ref="F1172" r:id="rId421" display="mailto:tombrown@greeneking.co.uk" xr:uid="{56277E7D-59A0-4242-8119-84D87DFDFCD8}"/>
    <hyperlink ref="D1312" r:id="rId422" display="mailto:jessicagreen@greeneking.co.uk" xr:uid="{6FC9184E-657B-4123-970E-724A5F5D0781}"/>
    <hyperlink ref="F1312" r:id="rId423" display="mailto:liamhancy@greeneking.co.uk" xr:uid="{9D1A0916-8580-4043-ABE4-9F69C0094EAB}"/>
    <hyperlink ref="D1313" r:id="rId424" display="mailto:jessicagreen@greeneking.co.uk" xr:uid="{4E19DD9B-6C86-4F5F-9D5E-3859B6E68BC9}"/>
    <hyperlink ref="F1313" r:id="rId425" display="mailto:liamhancy@greeneking.co.uk" xr:uid="{BFA461C3-937A-4DD9-981E-CAF960FD35A1}"/>
    <hyperlink ref="D1314" r:id="rId426" display="mailto:jessicagreen@greeneking.co.uk" xr:uid="{8F35B2B4-0389-4B1B-AC72-1142275D6293}"/>
    <hyperlink ref="F1314" r:id="rId427" display="mailto:liamhancy@greeneking.co.uk" xr:uid="{08CFC5FF-6273-4FDF-8489-ADF2EC33CA4C}"/>
    <hyperlink ref="D1315" r:id="rId428" display="mailto:jessicagreen@greeneking.co.uk" xr:uid="{DB6AD39D-F1B8-4928-A7D4-F0126EE6E582}"/>
    <hyperlink ref="F1315" r:id="rId429" display="mailto:liamhancy@greeneking.co.uk" xr:uid="{1CC8F488-0CD5-469E-9988-952778F2301E}"/>
    <hyperlink ref="D1316" r:id="rId430" display="mailto:jessicagreen@greeneking.co.uk" xr:uid="{B47004BD-7EED-43D4-891B-ADB35BA87502}"/>
    <hyperlink ref="F1316" r:id="rId431" display="mailto:liamhancy@greeneking.co.uk" xr:uid="{B8AFA787-DF74-4332-9EBF-EE3E46ECB922}"/>
    <hyperlink ref="D1317" r:id="rId432" display="mailto:jessicagreen@greeneking.co.uk" xr:uid="{F999DF64-26A0-4659-8924-CB74C77D13FC}"/>
    <hyperlink ref="F1317" r:id="rId433" display="mailto:liamhancy@greeneking.co.uk" xr:uid="{B3558370-89F0-44B5-B792-D8226517BF86}"/>
    <hyperlink ref="D1318" r:id="rId434" display="mailto:jessicagreen@greeneking.co.uk" xr:uid="{FAC7B368-75A9-49D1-9700-92D444B9A6D0}"/>
    <hyperlink ref="F1318" r:id="rId435" display="mailto:liamhancy@greeneking.co.uk" xr:uid="{DA8450EF-923C-499F-86A1-3A8065910E8F}"/>
    <hyperlink ref="D1319" r:id="rId436" display="mailto:jessicagreen@greeneking.co.uk" xr:uid="{73C8CEDF-7218-4535-AA58-A42D1E35025E}"/>
    <hyperlink ref="F1319" r:id="rId437" display="mailto:liamhancy@greeneking.co.uk" xr:uid="{CD0717E6-CB1F-4D3C-8B52-8E5A46B16D4F}"/>
    <hyperlink ref="D1320" r:id="rId438" display="mailto:jessicagreen@greeneking.co.uk" xr:uid="{01B4968A-D9A3-4554-910B-79CE7F9F6894}"/>
    <hyperlink ref="F1320" r:id="rId439" display="mailto:liamhancy@greeneking.co.uk" xr:uid="{7B36CAE5-032B-4B0F-81C3-1EBA8C05F9F0}"/>
    <hyperlink ref="D1321" r:id="rId440" display="mailto:jessicagreen@greeneking.co.uk" xr:uid="{10796673-A52A-44E0-92FF-DA9639166D1D}"/>
    <hyperlink ref="F1321" r:id="rId441" display="mailto:liamhancy@greeneking.co.uk" xr:uid="{5E41AEE1-9DBC-42CE-B3BD-F2733709ED45}"/>
    <hyperlink ref="D1322" r:id="rId442" display="mailto:jessicagreen@greeneking.co.uk" xr:uid="{21A3C402-D083-4D19-B496-752725377929}"/>
    <hyperlink ref="F1322" r:id="rId443" display="mailto:liamhancy@greeneking.co.uk" xr:uid="{12133942-B416-46A5-8945-372FA511DE04}"/>
    <hyperlink ref="D1323" r:id="rId444" display="mailto:jessicagreen@greeneking.co.uk" xr:uid="{189823B5-26CF-46F8-8E69-0B49B6DE3E97}"/>
    <hyperlink ref="F1323" r:id="rId445" display="mailto:liamhancy@greeneking.co.uk" xr:uid="{E7E5D13B-CC7C-4EAC-BE9A-4DBBC1CA0CA7}"/>
    <hyperlink ref="D1324" r:id="rId446" display="mailto:jessicagreen@greeneking.co.uk" xr:uid="{BDBA9A21-1EDE-49AB-B378-529097568AA5}"/>
    <hyperlink ref="F1324" r:id="rId447" display="mailto:liamhancy@greeneking.co.uk" xr:uid="{AB2F8909-8262-4520-BABB-4CCC4146D4CF}"/>
    <hyperlink ref="D1325" r:id="rId448" display="mailto:jessicagreen@greeneking.co.uk" xr:uid="{1F61C153-FD79-4270-B2A0-7BA1F1F3EFCD}"/>
    <hyperlink ref="F1325" r:id="rId449" display="mailto:liamhancy@greeneking.co.uk" xr:uid="{DBBCB050-E3C8-4A06-A017-7ACFD3A3B94C}"/>
    <hyperlink ref="D1326" r:id="rId450" display="mailto:jessicagreen@greeneking.co.uk" xr:uid="{E16B1452-F2E2-45C2-99C0-E195F775F49B}"/>
    <hyperlink ref="F1326" r:id="rId451" display="mailto:liamhancy@greeneking.co.uk" xr:uid="{4221F9A3-61CE-4273-87B4-0890126C2CB5}"/>
    <hyperlink ref="D1327" r:id="rId452" display="mailto:jessicagreen@greeneking.co.uk" xr:uid="{B40A7006-79ED-407E-914D-8F0F13EFA983}"/>
    <hyperlink ref="F1327" r:id="rId453" display="mailto:liamhancy@greeneking.co.uk" xr:uid="{2D7C19FF-4FFF-4C90-A726-2102CF2FCA9E}"/>
    <hyperlink ref="D1328" r:id="rId454" display="mailto:jessicagreen@greeneking.co.uk" xr:uid="{4E715A92-AE4E-4D3D-9899-D76150D8394C}"/>
    <hyperlink ref="F1328" r:id="rId455" display="mailto:liamhancy@greeneking.co.uk" xr:uid="{571D01FE-AE66-48CC-BDD5-5C29FD0A57F7}"/>
    <hyperlink ref="D1329" r:id="rId456" display="mailto:jessicagreen@greeneking.co.uk" xr:uid="{88367A3D-E02A-4586-997C-477CAEEA6A99}"/>
    <hyperlink ref="F1329" r:id="rId457" display="mailto:liamhancy@greeneking.co.uk" xr:uid="{7D47365F-AA5E-499B-84C9-C93AB9824FF6}"/>
    <hyperlink ref="D1330" r:id="rId458" display="mailto:jessicagreen@greeneking.co.uk" xr:uid="{871F4D5E-C359-483E-AA13-64FB5170F758}"/>
    <hyperlink ref="F1330" r:id="rId459" display="mailto:liamhancy@greeneking.co.uk" xr:uid="{8A074087-ABD9-44F1-A144-91AD3BDD2F47}"/>
    <hyperlink ref="D1331" r:id="rId460" display="mailto:jessicagreen@greeneking.co.uk" xr:uid="{3C3DA5F9-013F-4A2C-988C-C76A978F15FB}"/>
    <hyperlink ref="F1331" r:id="rId461" display="mailto:liamhancy@greeneking.co.uk" xr:uid="{DCE5F9CF-03BD-42BF-9C0D-814E3AE59DFA}"/>
    <hyperlink ref="D1332" r:id="rId462" display="mailto:jessicagreen@greeneking.co.uk" xr:uid="{3F130F46-B588-4C28-96C8-BC44A01F5E68}"/>
    <hyperlink ref="F1332" r:id="rId463" display="mailto:liamhancy@greeneking.co.uk" xr:uid="{17210860-E011-4573-A5C4-F3B6D4C98050}"/>
    <hyperlink ref="D1333" r:id="rId464" display="mailto:jessicagreen@greeneking.co.uk" xr:uid="{61057BD3-551E-4E0B-BFAE-8327B2C62178}"/>
    <hyperlink ref="F1333" r:id="rId465" display="mailto:liamhancy@greeneking.co.uk" xr:uid="{CCE0FE9F-CDC3-487E-8845-BF16BFBF52EB}"/>
    <hyperlink ref="D1334" r:id="rId466" display="mailto:jessicagreen@greeneking.co.uk" xr:uid="{5C3CF908-716A-424D-85C2-5F6524B4F39A}"/>
    <hyperlink ref="F1334" r:id="rId467" display="mailto:liamhancy@greeneking.co.uk" xr:uid="{94EEE18D-4323-48BF-926A-320DDD6B8DF4}"/>
    <hyperlink ref="D1335" r:id="rId468" display="mailto:jessicagreen@greeneking.co.uk" xr:uid="{E15918FB-8AAC-4A07-B97E-CD38DC2EEB3D}"/>
    <hyperlink ref="F1335" r:id="rId469" display="mailto:liamhancy@greeneking.co.uk" xr:uid="{2EE7E81E-4C63-4010-BDAC-A01082696D64}"/>
    <hyperlink ref="D1336" r:id="rId470" display="mailto:jessicagreen@greeneking.co.uk" xr:uid="{6873DEBE-23E8-4E05-9233-0CFF00E75F69}"/>
    <hyperlink ref="F1336" r:id="rId471" display="mailto:liamhancy@greeneking.co.uk" xr:uid="{E65E3DFD-4D6D-4F43-B3E2-18FFE48C72EF}"/>
    <hyperlink ref="D1337" r:id="rId472" display="mailto:jessicagreen@greeneking.co.uk" xr:uid="{696141B9-5188-4293-8B5D-9ADCA092DC0F}"/>
    <hyperlink ref="F1337" r:id="rId473" display="mailto:liamhancy@greeneking.co.uk" xr:uid="{9E29AED3-1829-41AC-A0DD-C6449C347595}"/>
    <hyperlink ref="D1338" r:id="rId474" display="mailto:jessicagreen@greeneking.co.uk" xr:uid="{64C7B5BD-0B40-4A27-AADF-592F3FA2B28D}"/>
    <hyperlink ref="F1338" r:id="rId475" display="mailto:liamhancy@greeneking.co.uk" xr:uid="{DA441971-75E2-4F9B-8C0D-33676D2E660E}"/>
    <hyperlink ref="D1339" r:id="rId476" display="mailto:jessicagreen@greeneking.co.uk" xr:uid="{458BAC1F-A7BA-43AD-A64B-28D410D83058}"/>
    <hyperlink ref="F1339" r:id="rId477" display="mailto:liamhancy@greeneking.co.uk" xr:uid="{55E6D4CF-22FC-4942-A023-FC8893F928EF}"/>
    <hyperlink ref="D1340" r:id="rId478" display="mailto:jessicagreen@greeneking.co.uk" xr:uid="{51E73FE7-035E-43A3-BF6E-C10DEE7A6119}"/>
    <hyperlink ref="F1340" r:id="rId479" display="mailto:liamhancy@greeneking.co.uk" xr:uid="{ABAB859E-BB6F-4164-8152-C00B6D45BD5C}"/>
    <hyperlink ref="D1341" r:id="rId480" display="mailto:jessicagreen@greeneking.co.uk" xr:uid="{8B04F2E3-3067-4907-B867-303896DEE7FD}"/>
    <hyperlink ref="F1341" r:id="rId481" display="mailto:liamhancy@greeneking.co.uk" xr:uid="{E999A300-D789-4862-B979-BCFBA7605EEA}"/>
    <hyperlink ref="D1342" r:id="rId482" display="mailto:jessicagreen@greeneking.co.uk" xr:uid="{D69E12B9-A6FF-4F8A-A42B-FA9B1BC5B4CF}"/>
    <hyperlink ref="F1342" r:id="rId483" display="mailto:liamhancy@greeneking.co.uk" xr:uid="{7A8AEBE5-1EA2-4BF5-81B8-74C7987F436A}"/>
    <hyperlink ref="D1343" r:id="rId484" display="mailto:jessicagreen@greeneking.co.uk" xr:uid="{4FD5C64F-E5A8-4939-84CA-601B98968F34}"/>
    <hyperlink ref="F1343" r:id="rId485" display="mailto:liamhancy@greeneking.co.uk" xr:uid="{E472B392-C2FB-490F-9FB2-758E19B83E14}"/>
    <hyperlink ref="D1344" r:id="rId486" display="mailto:jessicagreen@greeneking.co.uk" xr:uid="{5CF43318-1C8D-4E72-9D92-C01EEAA382C2}"/>
    <hyperlink ref="F1344" r:id="rId487" display="mailto:liamhancy@greeneking.co.uk" xr:uid="{89904E41-874C-4D2A-9115-017835B93BBC}"/>
    <hyperlink ref="D1345" r:id="rId488" display="mailto:jessicagreen@greeneking.co.uk" xr:uid="{D5CE6278-779B-438C-801C-03E917263E59}"/>
    <hyperlink ref="F1345" r:id="rId489" display="mailto:liamhancy@greeneking.co.uk" xr:uid="{C65CA0E3-419D-4418-9866-F6A863D13027}"/>
    <hyperlink ref="D1346" r:id="rId490" display="mailto:jessicagreen@greeneking.co.uk" xr:uid="{A76F93DB-0CD3-4DBA-80F1-FFC2E98BC55D}"/>
    <hyperlink ref="F1346" r:id="rId491" display="mailto:liamhancy@greeneking.co.uk" xr:uid="{196BB97A-ADA7-4719-BA78-22F03F8BD7FE}"/>
    <hyperlink ref="D1347" r:id="rId492" display="mailto:jessicagreen@greeneking.co.uk" xr:uid="{ECB15C9A-D758-4BAC-91E8-CFA68AF3AA0D}"/>
    <hyperlink ref="F1347" r:id="rId493" display="mailto:liamhancy@greeneking.co.uk" xr:uid="{3F9D3D28-047F-44D7-AFDC-1E734AFB69B0}"/>
    <hyperlink ref="D1348" r:id="rId494" display="mailto:jessicagreen@greeneking.co.uk" xr:uid="{198F1DE7-616E-424D-B353-5D09D1254279}"/>
    <hyperlink ref="F1348" r:id="rId495" display="mailto:liamhancy@greeneking.co.uk" xr:uid="{5A752136-5B8B-4AB0-BD0E-6321062B3515}"/>
    <hyperlink ref="D1349" r:id="rId496" display="mailto:jessicagreen@greeneking.co.uk" xr:uid="{74DDBB1D-CB1C-4F7C-B55F-E9F47E643AAB}"/>
    <hyperlink ref="F1349" r:id="rId497" display="mailto:liamhancy@greeneking.co.uk" xr:uid="{0633C863-31FD-4D57-A318-8FF1FE2D364A}"/>
    <hyperlink ref="D1350" r:id="rId498" display="mailto:jessicagreen@greeneking.co.uk" xr:uid="{1DBFAFCB-DE0F-4188-9832-8205288E96B0}"/>
    <hyperlink ref="F1350" r:id="rId499" display="mailto:liamhancy@greeneking.co.uk" xr:uid="{A15CF0AC-661A-42D6-A65F-1DAC76DA855E}"/>
    <hyperlink ref="D1351" r:id="rId500" display="mailto:jessicagreen@greeneking.co.uk" xr:uid="{D49F884B-DC45-49F1-8D49-4735409CBCBF}"/>
    <hyperlink ref="F1351" r:id="rId501" display="mailto:liamhancy@greeneking.co.uk" xr:uid="{4A11AB10-D09F-4759-B8A1-94E37C7B7536}"/>
    <hyperlink ref="F1387" r:id="rId502" display="mailto:liamhancy@greeneking.co.uk" xr:uid="{2498F0A1-447F-4C2C-9673-BC6E353E6C1D}"/>
    <hyperlink ref="F1388" r:id="rId503" display="mailto:liamhancy@greeneking.co.uk" xr:uid="{46D7FC36-EDA4-4DB6-861E-F65AD9B0A865}"/>
    <hyperlink ref="F1389" r:id="rId504" display="mailto:liamhancy@greeneking.co.uk" xr:uid="{AB8EBD50-08B4-4010-BCB8-50B5FBA452A1}"/>
    <hyperlink ref="F1390" r:id="rId505" display="mailto:liamhancy@greeneking.co.uk" xr:uid="{D9B84FD3-55E8-48D2-88DA-903C973392A6}"/>
    <hyperlink ref="F1391" r:id="rId506" display="mailto:liamhancy@greeneking.co.uk" xr:uid="{9E0C41AF-E34B-4822-B739-BAA39DDCFE79}"/>
    <hyperlink ref="F1392" r:id="rId507" display="mailto:liamhancy@greeneking.co.uk" xr:uid="{35C7A777-C291-4FF2-A6E5-90C0B72B9F70}"/>
    <hyperlink ref="F1403" r:id="rId508" display="mailto:liamhancy@greeneking.co.uk" xr:uid="{CA6179DB-D65A-4F93-BED4-8C637571BB44}"/>
    <hyperlink ref="D1406" r:id="rId509" display="mailto:jessicagreen@greeneking.co.uk" xr:uid="{35053F63-5821-4E21-B1DC-C1B471BA93A3}"/>
    <hyperlink ref="F1406" r:id="rId510" display="mailto:liamhancy@greeneking.co.uk" xr:uid="{BCA94D76-599B-49AD-A1E9-B798BE5FC23A}"/>
    <hyperlink ref="D1407" r:id="rId511" display="mailto:jessicagreen@greeneking.co.uk" xr:uid="{922A0A7E-78A9-4C74-BE14-F02606025254}"/>
    <hyperlink ref="F1407" r:id="rId512" display="mailto:liamhancy@greeneking.co.uk" xr:uid="{8A6FB21E-C8CE-4C37-AF3A-8FA78378681E}"/>
    <hyperlink ref="D1408" r:id="rId513" display="mailto:jessicagreen@greeneking.co.uk" xr:uid="{7AD6464C-8A3A-4E92-BE9D-2FFF3933B1E6}"/>
    <hyperlink ref="F1408" r:id="rId514" display="mailto:liamhancy@greeneking.co.uk" xr:uid="{3342DA75-25AC-4134-9CF2-DDF125249960}"/>
    <hyperlink ref="D1409" r:id="rId515" display="mailto:jessicagreen@greeneking.co.uk" xr:uid="{F5BA1E53-ECE2-4359-A097-F2B5C86796BF}"/>
    <hyperlink ref="F1409" r:id="rId516" display="mailto:liamhancy@greeneking.co.uk" xr:uid="{0F92A2FB-10DF-41DF-A225-2DF6B26A1B3B}"/>
    <hyperlink ref="D1410" r:id="rId517" display="mailto:jessicagreen@greeneking.co.uk" xr:uid="{E749DD0E-B83B-440D-A195-54EF2E6619F9}"/>
    <hyperlink ref="F1410" r:id="rId518" display="mailto:liamhancy@greeneking.co.uk" xr:uid="{EAECA597-2818-4021-ABC6-89C7A7FC1AB5}"/>
    <hyperlink ref="D1411" r:id="rId519" display="mailto:jessicagreen@greeneking.co.uk" xr:uid="{BA4F4F19-49F8-4F3D-88D8-4046CD89186E}"/>
    <hyperlink ref="F1411" r:id="rId520" display="mailto:liamhancy@greeneking.co.uk" xr:uid="{3E5F7FD0-3875-41E6-B773-AD3F9FFCAC9D}"/>
    <hyperlink ref="D1412" r:id="rId521" display="mailto:jessicagreen@greeneking.co.uk" xr:uid="{6713DAB2-226B-4E4B-8BCE-7FFB344560B9}"/>
    <hyperlink ref="F1412" r:id="rId522" display="mailto:liamhancy@greeneking.co.uk" xr:uid="{64ADA905-E601-4143-B5DF-1DD055A49E94}"/>
    <hyperlink ref="D1413" r:id="rId523" display="mailto:jessicagreen@greeneking.co.uk" xr:uid="{D69BB7F1-DE6E-4759-96AC-1273A227E273}"/>
    <hyperlink ref="F1413" r:id="rId524" display="mailto:liamhancy@greeneking.co.uk" xr:uid="{17588470-5CF3-4957-8236-BC6571AA3B94}"/>
    <hyperlink ref="D1414" r:id="rId525" display="mailto:jessicagreen@greeneking.co.uk" xr:uid="{F7B5BE22-9273-4685-A35D-A40068E6EF68}"/>
    <hyperlink ref="F1414" r:id="rId526" display="mailto:liamhancy@greeneking.co.uk" xr:uid="{953F9CAE-0F82-4842-BC3A-6233E1D4CC11}"/>
    <hyperlink ref="D1415" r:id="rId527" display="mailto:jessicagreen@greeneking.co.uk" xr:uid="{B13B02A8-6A02-4201-A54D-5D5ECF568F02}"/>
    <hyperlink ref="F1415" r:id="rId528" display="mailto:liamhancy@greeneking.co.uk" xr:uid="{F3C3425E-2561-436C-9A40-C5EC02E92348}"/>
    <hyperlink ref="D1416" r:id="rId529" display="mailto:jessicagreen@greeneking.co.uk" xr:uid="{0765BF94-6BC5-42B3-A1C6-79813B7606B9}"/>
    <hyperlink ref="F1416" r:id="rId530" display="mailto:liamhancy@greeneking.co.uk" xr:uid="{086C7A08-1C2C-480A-AC51-2077EF872A09}"/>
    <hyperlink ref="D1417" r:id="rId531" display="mailto:jessicagreen@greeneking.co.uk" xr:uid="{D6A3C48F-9E76-49A0-AE91-8C6FED097CCC}"/>
    <hyperlink ref="F1417" r:id="rId532" display="mailto:liamhancy@greeneking.co.uk" xr:uid="{6CFF8F11-3EAC-4577-B837-0A480C1D9E19}"/>
    <hyperlink ref="D1418" r:id="rId533" display="mailto:jessicagreen@greeneking.co.uk" xr:uid="{63A29247-2792-44A8-A405-AEC3602E7F1B}"/>
    <hyperlink ref="F1418" r:id="rId534" display="mailto:liamhancy@greeneking.co.uk" xr:uid="{228FF3C2-6928-4ED1-B355-8190DA0251D7}"/>
    <hyperlink ref="D1419" r:id="rId535" display="mailto:jessicagreen@greeneking.co.uk" xr:uid="{27B16F99-E410-4F0F-A5AE-B1629798854D}"/>
    <hyperlink ref="F1419" r:id="rId536" display="mailto:liamhancy@greeneking.co.uk" xr:uid="{845416F0-7E9F-45EA-89C1-466DE5BA0AFC}"/>
    <hyperlink ref="D1420" r:id="rId537" display="mailto:jessicagreen@greeneking.co.uk" xr:uid="{409EA6DF-AE1A-4633-BE56-00FE5A7AE69E}"/>
    <hyperlink ref="F1420" r:id="rId538" display="mailto:liamhancy@greeneking.co.uk" xr:uid="{71AE3C2E-1687-4642-B596-141EEF762843}"/>
    <hyperlink ref="D1421" r:id="rId539" display="mailto:jessicagreen@greeneking.co.uk" xr:uid="{A711D235-05D2-4025-A796-8AF63222DAD3}"/>
    <hyperlink ref="F1421" r:id="rId540" display="mailto:liamhancy@greeneking.co.uk" xr:uid="{90C4C677-8426-4F5B-8DBC-D81B83D8708F}"/>
    <hyperlink ref="D1422" r:id="rId541" display="mailto:jessicagreen@greeneking.co.uk" xr:uid="{17A6BBAB-9264-45F1-9E74-D8463064FC21}"/>
    <hyperlink ref="F1422" r:id="rId542" display="mailto:liamhancy@greeneking.co.uk" xr:uid="{DF5AB804-54AF-4706-B89E-AB5699F6B9FB}"/>
    <hyperlink ref="D1423" r:id="rId543" display="mailto:jessicagreen@greeneking.co.uk" xr:uid="{C2918A75-EDF7-4B16-8163-C9F621840824}"/>
    <hyperlink ref="F1423" r:id="rId544" display="mailto:liamhancy@greeneking.co.uk" xr:uid="{13F485ED-83FF-4695-B3B2-6EE871BAEC06}"/>
    <hyperlink ref="D1424" r:id="rId545" display="mailto:jessicagreen@greeneking.co.uk" xr:uid="{177D9E0D-6ACF-4008-A664-D0A0B0311586}"/>
    <hyperlink ref="F1424" r:id="rId546" display="mailto:liamhancy@greeneking.co.uk" xr:uid="{DFCABF43-D255-4787-9FE2-9A1BD91C965D}"/>
    <hyperlink ref="D1425" r:id="rId547" display="mailto:jessicagreen@greeneking.co.uk" xr:uid="{835F8C0A-9C01-4E68-A365-E62DC8CD4734}"/>
    <hyperlink ref="F1425" r:id="rId548" display="mailto:liamhancy@greeneking.co.uk" xr:uid="{F966D870-CD6A-4DF7-AE75-37F29F7ECE1B}"/>
    <hyperlink ref="D1426" r:id="rId549" display="mailto:jessicagreen@greeneking.co.uk" xr:uid="{E9CACA00-2416-4670-B2F6-2A530FFF74D3}"/>
    <hyperlink ref="F1426" r:id="rId550" display="mailto:liamhancy@greeneking.co.uk" xr:uid="{EACC3206-CC93-46FF-BBAC-8D1C80AEC513}"/>
    <hyperlink ref="D1427" r:id="rId551" display="mailto:jessicagreen@greeneking.co.uk" xr:uid="{C0C94B6E-26E5-4EB8-9AC9-684B5976EBC6}"/>
    <hyperlink ref="F1427" r:id="rId552" display="mailto:liamhancy@greeneking.co.uk" xr:uid="{EE8C19AF-E1BA-4F86-8024-9AA54BD9730D}"/>
    <hyperlink ref="D1428" r:id="rId553" display="mailto:jessicagreen@greeneking.co.uk" xr:uid="{61E2A1E2-BA3B-4F67-B095-E0613C2CB0DD}"/>
    <hyperlink ref="F1428" r:id="rId554" display="mailto:liamhancy@greeneking.co.uk" xr:uid="{40EB2E81-6622-41EE-A164-EA59AAE502AA}"/>
    <hyperlink ref="D1429" r:id="rId555" display="mailto:jessicagreen@greeneking.co.uk" xr:uid="{13030446-53F1-4DDB-83F7-F7EC28E07BBE}"/>
    <hyperlink ref="F1429" r:id="rId556" display="mailto:liamhancy@greeneking.co.uk" xr:uid="{C71E414C-6B20-43AB-8E76-848F304B4DF0}"/>
    <hyperlink ref="D1430" r:id="rId557" display="mailto:jessicagreen@greeneking.co.uk" xr:uid="{595155BF-272E-4F92-82A7-CB61F6E4ECDF}"/>
    <hyperlink ref="F1430" r:id="rId558" display="mailto:liamhancy@greeneking.co.uk" xr:uid="{6155C38D-6464-473C-B8D2-8FFFFE374A20}"/>
    <hyperlink ref="D1431" r:id="rId559" display="mailto:jessicagreen@greeneking.co.uk" xr:uid="{EC524486-832D-47BC-BFD0-0DDFCA4A13CC}"/>
    <hyperlink ref="F1431" r:id="rId560" display="mailto:liamhancy@greeneking.co.uk" xr:uid="{55918BE1-0326-4802-A1FF-FF21A1DDB766}"/>
    <hyperlink ref="D1432" r:id="rId561" display="mailto:jessicagreen@greeneking.co.uk" xr:uid="{59CAF2B8-1D29-4A7D-976A-7A615C2D63E3}"/>
    <hyperlink ref="F1432" r:id="rId562" display="mailto:liamhancy@greeneking.co.uk" xr:uid="{8F85E3F2-B295-4C51-8703-B40F4306265B}"/>
    <hyperlink ref="D1433" r:id="rId563" display="mailto:jessicagreen@greeneking.co.uk" xr:uid="{F62B2D79-B63C-49BC-9129-46DADB61F278}"/>
    <hyperlink ref="F1433" r:id="rId564" display="mailto:liamhancy@greeneking.co.uk" xr:uid="{E135A4E8-363C-4854-B426-647E0CF2FB8B}"/>
    <hyperlink ref="D1434" r:id="rId565" display="mailto:jessicagreen@greeneking.co.uk" xr:uid="{03ADF94F-1A27-40D5-B08C-FF0DBA2F6D52}"/>
    <hyperlink ref="F1434" r:id="rId566" display="mailto:liamhancy@greeneking.co.uk" xr:uid="{803089A0-22A8-4AB2-BA28-8799BFEBAFC1}"/>
    <hyperlink ref="D1435" r:id="rId567" display="mailto:jessicagreen@greeneking.co.uk" xr:uid="{72DDE9BD-DB40-4DE7-AA86-C60E1778A510}"/>
    <hyperlink ref="F1435" r:id="rId568" display="mailto:liamhancy@greeneking.co.uk" xr:uid="{D5BFE14D-B709-4531-A736-0079339FB6CF}"/>
    <hyperlink ref="D1436" r:id="rId569" display="mailto:jessicagreen@greeneking.co.uk" xr:uid="{BD33B2AF-573E-475B-A5CC-5D160479BBF3}"/>
    <hyperlink ref="F1436" r:id="rId570" display="mailto:liamhancy@greeneking.co.uk" xr:uid="{A6A3A57A-1586-4E93-AF60-FD0761043EC6}"/>
    <hyperlink ref="D1437" r:id="rId571" display="mailto:jessicagreen@greeneking.co.uk" xr:uid="{76693307-3485-4A1E-91F0-27E44C864520}"/>
    <hyperlink ref="F1437" r:id="rId572" display="mailto:liamhancy@greeneking.co.uk" xr:uid="{17A4F4AB-5CC3-405E-9758-81C5B1EDD84B}"/>
    <hyperlink ref="D1438" r:id="rId573" display="mailto:jessicagreen@greeneking.co.uk" xr:uid="{45B7A1D1-1E6A-4270-A9A4-DDB150F7D91D}"/>
    <hyperlink ref="F1438" r:id="rId574" display="mailto:liamhancy@greeneking.co.uk" xr:uid="{502ACF38-A0E8-47AB-81CB-2CC615530C7E}"/>
    <hyperlink ref="D1439" r:id="rId575" display="mailto:jessicagreen@greeneking.co.uk" xr:uid="{E0A1D048-9D5A-4EEC-ADF3-48D8A30F16CF}"/>
    <hyperlink ref="F1439" r:id="rId576" display="mailto:liamhancy@greeneking.co.uk" xr:uid="{B4CE19FB-AC8B-4D4D-8947-011A638F451F}"/>
    <hyperlink ref="D1440" r:id="rId577" display="mailto:jessicagreen@greeneking.co.uk" xr:uid="{CA303FB2-41E7-43DC-B3C7-8CCBE53A9A5E}"/>
    <hyperlink ref="F1440" r:id="rId578" display="mailto:liamhancy@greeneking.co.uk" xr:uid="{61B4994B-53B1-48C2-99E6-10802D1A8F5F}"/>
    <hyperlink ref="D1441" r:id="rId579" display="mailto:jessicagreen@greeneking.co.uk" xr:uid="{3303D770-9AB7-4882-BCD2-1D49D6C6B9F5}"/>
    <hyperlink ref="F1441" r:id="rId580" display="mailto:liamhancy@greeneking.co.uk" xr:uid="{476CC4EB-E882-4FF7-969A-E6197C23AF24}"/>
    <hyperlink ref="D1442" r:id="rId581" display="mailto:jessicagreen@greeneking.co.uk" xr:uid="{E56C2A2A-F0FF-42D5-B258-2FA6A79BB960}"/>
    <hyperlink ref="F1442" r:id="rId582" display="mailto:liamhancy@greeneking.co.uk" xr:uid="{399C2E07-CFE6-4DFD-8EA6-F5F1D718D762}"/>
    <hyperlink ref="D1443" r:id="rId583" display="mailto:jessicagreen@greeneking.co.uk" xr:uid="{18160A44-C57C-4101-B1F4-F560AD9EA38B}"/>
    <hyperlink ref="F1443" r:id="rId584" display="mailto:liamhancy@greeneking.co.uk" xr:uid="{506577C7-2E5E-4A6E-B3EB-7DAE584E5CD5}"/>
    <hyperlink ref="D1444" r:id="rId585" display="mailto:jessicagreen@greeneking.co.uk" xr:uid="{04952310-4477-482C-A9ED-AEB916359732}"/>
    <hyperlink ref="F1444" r:id="rId586" display="mailto:liamhancy@greeneking.co.uk" xr:uid="{A00470F6-E1FB-47E3-AEB7-4575CD6B3EAC}"/>
    <hyperlink ref="D1445" r:id="rId587" display="mailto:jessicagreen@greeneking.co.uk" xr:uid="{88307043-285E-4BB4-B8BF-1895C7E680D2}"/>
    <hyperlink ref="F1445" r:id="rId588" display="mailto:liamhancy@greeneking.co.uk" xr:uid="{29550F65-31B8-4E4B-872C-9EB615E96410}"/>
    <hyperlink ref="D1446" r:id="rId589" display="mailto:jessicagreen@greeneking.co.uk" xr:uid="{E676CDF2-143F-4275-AAE7-F3A5A19B61CB}"/>
    <hyperlink ref="F1446" r:id="rId590" display="mailto:liamhancy@greeneking.co.uk" xr:uid="{18DBB75E-65E9-4E0A-81FE-B7F1902732A2}"/>
    <hyperlink ref="D1447" r:id="rId591" display="mailto:jessicagreen@greeneking.co.uk" xr:uid="{89F4F26D-8B93-4CEC-A91D-5CE4D91EC1AB}"/>
    <hyperlink ref="F1447" r:id="rId592" display="mailto:liamhancy@greeneking.co.uk" xr:uid="{60EE1D94-C92B-40ED-8588-0E6F848F7050}"/>
    <hyperlink ref="D1448" r:id="rId593" display="mailto:jessicagreen@greeneking.co.uk" xr:uid="{241970F5-D083-42A6-88EF-F06EBCFAA81F}"/>
    <hyperlink ref="F1448" r:id="rId594" display="mailto:liamhancy@greeneking.co.uk" xr:uid="{C123EB93-4EEC-4361-8EC1-85009F74460C}"/>
    <hyperlink ref="D1449" r:id="rId595" display="mailto:jessicagreen@greeneking.co.uk" xr:uid="{67226D09-F9FF-4B4A-83D3-F8FF982583C9}"/>
    <hyperlink ref="F1449" r:id="rId596" display="mailto:liamhancy@greeneking.co.uk" xr:uid="{6644B69A-EC3B-42AB-A23B-D31633BC0DCD}"/>
    <hyperlink ref="D1450" r:id="rId597" display="mailto:jessicagreen@greeneking.co.uk" xr:uid="{9BDEBCEC-CB9D-4277-9098-D6257A5C0392}"/>
    <hyperlink ref="F1450" r:id="rId598" display="mailto:liamhancy@greeneking.co.uk" xr:uid="{812EACD8-70BC-4309-9F67-A6A3DEE6BCC0}"/>
    <hyperlink ref="D1451" r:id="rId599" display="mailto:jessicagreen@greeneking.co.uk" xr:uid="{EDC6F409-4FA7-4451-A6DB-A3529AAD1E91}"/>
    <hyperlink ref="F1451" r:id="rId600" display="mailto:liamhancy@greeneking.co.uk" xr:uid="{47B3173E-4F06-4776-9B71-6EDAAC166BFE}"/>
    <hyperlink ref="D1452" r:id="rId601" display="mailto:jessicagreen@greeneking.co.uk" xr:uid="{4FC33858-31A0-4061-86A7-E65AA9BDB573}"/>
    <hyperlink ref="F1452" r:id="rId602" display="mailto:liamhancy@greeneking.co.uk" xr:uid="{A825C478-6420-494C-BE5A-7E1D955C6549}"/>
    <hyperlink ref="D1453" r:id="rId603" display="mailto:jessicagreen@greeneking.co.uk" xr:uid="{60C40C0A-4ED6-448A-BD14-F5A4AF2880F6}"/>
    <hyperlink ref="F1453" r:id="rId604" display="mailto:liamhancy@greeneking.co.uk" xr:uid="{BB69CA1F-9122-449A-B1A4-028CB6A23F78}"/>
    <hyperlink ref="D1454" r:id="rId605" display="mailto:jessicagreen@greeneking.co.uk" xr:uid="{83964B7B-8639-4EF7-A03B-0D8577FF4174}"/>
    <hyperlink ref="F1454" r:id="rId606" display="mailto:liamhancy@greeneking.co.uk" xr:uid="{CD9DE497-8A04-4663-9E80-E17C3A1EC7CC}"/>
    <hyperlink ref="D1455" r:id="rId607" display="mailto:jessicagreen@greeneking.co.uk" xr:uid="{84B3C28B-54E1-4D97-9979-97291118D432}"/>
    <hyperlink ref="F1455" r:id="rId608" display="mailto:liamhancy@greeneking.co.uk" xr:uid="{115A2393-B3AA-4AB1-BE76-9995AE333127}"/>
    <hyperlink ref="D1456" r:id="rId609" display="mailto:jessicagreen@greeneking.co.uk" xr:uid="{5DECA96A-68BA-45BE-823E-13A32FD5FCEE}"/>
    <hyperlink ref="F1456" r:id="rId610" display="mailto:liamhancy@greeneking.co.uk" xr:uid="{617F8039-E1F6-4C9E-8621-8C5797824B95}"/>
    <hyperlink ref="D1457" r:id="rId611" display="mailto:jessicagreen@greeneking.co.uk" xr:uid="{D44FA3FC-3A3F-47B8-B1D4-7F1434602814}"/>
    <hyperlink ref="F1457" r:id="rId612" display="mailto:liamhancy@greeneking.co.uk" xr:uid="{E9A68832-CCEA-4D37-B484-B55A19D23DA8}"/>
    <hyperlink ref="D1458" r:id="rId613" display="mailto:jessicagreen@greeneking.co.uk" xr:uid="{6BEE0973-7EB5-4EF6-8FD6-D7CFFD94AFF7}"/>
    <hyperlink ref="F1458" r:id="rId614" display="mailto:liamhancy@greeneking.co.uk" xr:uid="{78031783-E9EE-46D1-B731-BE2869C5B5D0}"/>
    <hyperlink ref="D1459" r:id="rId615" display="mailto:jessicagreen@greeneking.co.uk" xr:uid="{4064408C-85B8-4577-B3EC-0F904A4404A0}"/>
    <hyperlink ref="F1459" r:id="rId616" display="mailto:liamhancy@greeneking.co.uk" xr:uid="{AFAA2BC4-6D39-42D2-8A06-2F9175CDB989}"/>
    <hyperlink ref="D1460" r:id="rId617" display="mailto:jessicagreen@greeneking.co.uk" xr:uid="{D2B2BC42-9B66-4A10-A68C-7BEA4F3FE573}"/>
    <hyperlink ref="F1460" r:id="rId618" display="mailto:liamhancy@greeneking.co.uk" xr:uid="{79BE5840-535D-406A-B6EA-0093284FEE3C}"/>
    <hyperlink ref="D1461" r:id="rId619" display="mailto:jessicagreen@greeneking.co.uk" xr:uid="{00EC7FE7-5FBA-4DFD-9E5D-CB193993C56D}"/>
    <hyperlink ref="F1461" r:id="rId620" display="mailto:liamhancy@greeneking.co.uk" xr:uid="{409A3EFC-A962-46A0-9D45-46B131198774}"/>
    <hyperlink ref="D1462" r:id="rId621" display="mailto:jessicagreen@greeneking.co.uk" xr:uid="{D5BAF781-73E9-40D4-94B7-D6FF2DD1203D}"/>
    <hyperlink ref="F1462" r:id="rId622" display="mailto:liamhancy@greeneking.co.uk" xr:uid="{321E1317-ED3E-4B8E-BA73-2242CB9F6096}"/>
    <hyperlink ref="D1463" r:id="rId623" display="mailto:jessicagreen@greeneking.co.uk" xr:uid="{9A999C77-5B1C-4B47-B4A3-9F0652D42B2B}"/>
    <hyperlink ref="F1463" r:id="rId624" display="mailto:liamhancy@greeneking.co.uk" xr:uid="{2EF1F77F-1DE8-4C3B-8655-D6C955742CB6}"/>
    <hyperlink ref="D1464" r:id="rId625" display="mailto:jessicagreen@greeneking.co.uk" xr:uid="{E7F3EBCD-19C6-4F65-B2CF-B029DFCB7300}"/>
    <hyperlink ref="F1464" r:id="rId626" display="mailto:liamhancy@greeneking.co.uk" xr:uid="{74A39C06-F428-4F39-97D2-1623C763E7C7}"/>
    <hyperlink ref="D1465" r:id="rId627" display="mailto:jessicagreen@greeneking.co.uk" xr:uid="{DD3E56B8-91A1-406A-88B5-0DAD3658C957}"/>
    <hyperlink ref="F1465" r:id="rId628" display="mailto:liamhancy@greeneking.co.uk" xr:uid="{E85ABDD0-AD76-4357-9DFB-D6D6CF190416}"/>
    <hyperlink ref="D1466" r:id="rId629" display="mailto:jessicagreen@greeneking.co.uk" xr:uid="{26D7B493-681C-45CC-873D-6DE5045ADA9A}"/>
    <hyperlink ref="F1466" r:id="rId630" display="mailto:liamhancy@greeneking.co.uk" xr:uid="{CC20849B-24F4-4F89-8257-3CCD7AC1FAC6}"/>
    <hyperlink ref="D1467" r:id="rId631" display="mailto:jessicagreen@greeneking.co.uk" xr:uid="{AE5639A5-5C4A-4FD1-9388-55C3E517B55E}"/>
    <hyperlink ref="F1467" r:id="rId632" display="mailto:liamhancy@greeneking.co.uk" xr:uid="{0116396E-A267-4637-89F0-CAAEB376DED4}"/>
    <hyperlink ref="D1468" r:id="rId633" display="mailto:jessicagreen@greeneking.co.uk" xr:uid="{AD8FF575-E53B-4EF2-9F71-769836519772}"/>
    <hyperlink ref="F1468" r:id="rId634" display="mailto:liamhancy@greeneking.co.uk" xr:uid="{EBC84566-86C2-47D9-AA27-AB52530AA6C3}"/>
    <hyperlink ref="D1469" r:id="rId635" display="mailto:jessicagreen@greeneking.co.uk" xr:uid="{8B70114D-01C9-4E10-828E-9B551B99EB34}"/>
    <hyperlink ref="F1469" r:id="rId636" display="mailto:liamhancy@greeneking.co.uk" xr:uid="{35B38B55-19CB-4DB1-8E25-D0FEE7CFF798}"/>
    <hyperlink ref="D1470" r:id="rId637" display="mailto:jessicagreen@greeneking.co.uk" xr:uid="{B820EBE9-1539-47FC-BCAE-A85139F41EA7}"/>
    <hyperlink ref="F1470" r:id="rId638" display="mailto:liamhancy@greeneking.co.uk" xr:uid="{B0E18906-A378-48DA-9EE1-9627C9458A03}"/>
    <hyperlink ref="D1471" r:id="rId639" display="mailto:jessicagreen@greeneking.co.uk" xr:uid="{26615FCF-D5BB-435D-AFB2-008238C0E10B}"/>
    <hyperlink ref="F1471" r:id="rId640" display="mailto:liamhancy@greeneking.co.uk" xr:uid="{44898D40-AECC-45A1-BEC4-445C0D8E6876}"/>
    <hyperlink ref="D1472" r:id="rId641" display="mailto:jessicagreen@greeneking.co.uk" xr:uid="{CA6ACD12-4948-49AB-B27A-435C6E3CD29F}"/>
    <hyperlink ref="F1472" r:id="rId642" display="mailto:liamhancy@greeneking.co.uk" xr:uid="{C3CDFAFD-90F0-41DD-A0BA-7031CAA44623}"/>
    <hyperlink ref="F1473" r:id="rId643" display="mailto:liamhancy@greeneking.co.uk" xr:uid="{4C1CDB29-C7EE-4E0C-9D7F-B27EB6A44DFF}"/>
    <hyperlink ref="F1474" r:id="rId644" display="mailto:liamhancy@greeneking.co.uk" xr:uid="{4F446F0D-F0E4-4440-A974-17FE3675A904}"/>
    <hyperlink ref="F1475" r:id="rId645" display="mailto:liamhancy@greeneking.co.uk" xr:uid="{17BDDA5C-D0F6-4AB0-9246-D88674760710}"/>
    <hyperlink ref="F1476" r:id="rId646" display="mailto:liamhancy@greeneking.co.uk" xr:uid="{22E614F7-41D8-4BEC-B7D5-4EC603FCB08C}"/>
    <hyperlink ref="F1477" r:id="rId647" display="mailto:liamhancy@greeneking.co.uk" xr:uid="{86874089-645E-470F-BE75-6F27D4572862}"/>
    <hyperlink ref="F1478" r:id="rId648" display="mailto:liamhancy@greeneking.co.uk" xr:uid="{022FC785-AA70-47F5-942A-A6D0CA02CFE0}"/>
    <hyperlink ref="F1479" r:id="rId649" display="mailto:liamhancy@greeneking.co.uk" xr:uid="{3D609EEA-6CD8-4E89-9080-F543D23DC5A8}"/>
    <hyperlink ref="F1480" r:id="rId650" display="mailto:liamhancy@greeneking.co.uk" xr:uid="{387BCC5C-B754-4BB2-9ABE-B7D0156CF97C}"/>
    <hyperlink ref="F1481" r:id="rId651" display="mailto:liamhancy@greeneking.co.uk" xr:uid="{330DEEEA-144E-4A27-B640-7571F0C5EE4B}"/>
    <hyperlink ref="F1482" r:id="rId652" display="mailto:liamhancy@greeneking.co.uk" xr:uid="{DB380A4A-53B6-4399-8920-4727A323D10A}"/>
    <hyperlink ref="F1483" r:id="rId653" display="mailto:liamhancy@greeneking.co.uk" xr:uid="{D5C43F70-A186-4C89-8B90-B860ED5E3088}"/>
    <hyperlink ref="F1484" r:id="rId654" display="mailto:liamhancy@greeneking.co.uk" xr:uid="{71F49B8C-6F2D-4439-A940-41169F003A2E}"/>
    <hyperlink ref="F1485" r:id="rId655" display="mailto:liamhancy@greeneking.co.uk" xr:uid="{BC3BCF3B-614B-45B2-BE62-DE9DD534D79F}"/>
    <hyperlink ref="F1486" r:id="rId656" display="mailto:liamhancy@greeneking.co.uk" xr:uid="{DDDB8760-AB98-442C-B7BA-3F08799FB5E6}"/>
    <hyperlink ref="F1487" r:id="rId657" display="mailto:liamhancy@greeneking.co.uk" xr:uid="{782BF37B-F21B-4DBA-BF65-A530058F879B}"/>
    <hyperlink ref="F1488" r:id="rId658" display="mailto:liamhancy@greeneking.co.uk" xr:uid="{451994C0-FCE7-4D26-8EA9-2BC8656AA7B2}"/>
    <hyperlink ref="F1489" r:id="rId659" display="mailto:liamhancy@greeneking.co.uk" xr:uid="{80EB2842-B050-4FEF-8090-040A4B26032F}"/>
    <hyperlink ref="F1490" r:id="rId660" display="mailto:liamhancy@greeneking.co.uk" xr:uid="{24183BE4-15F8-4C26-983A-50B085B3D1D7}"/>
    <hyperlink ref="F1491" r:id="rId661" display="mailto:liamhancy@greeneking.co.uk" xr:uid="{A5CE907D-E039-4C17-A316-126FD4F4C622}"/>
    <hyperlink ref="F1492" r:id="rId662" display="mailto:liamhancy@greeneking.co.uk" xr:uid="{5AA9565E-43FF-4633-9360-891B67CE7AD9}"/>
    <hyperlink ref="F1493" r:id="rId663" display="mailto:liamhancy@greeneking.co.uk" xr:uid="{F2441F29-7DC3-468F-BCA9-4A6F7B07E22B}"/>
    <hyperlink ref="F1494" r:id="rId664" display="mailto:liamhancy@greeneking.co.uk" xr:uid="{981AB832-28A0-4D4B-B89A-29185698E9F6}"/>
    <hyperlink ref="F1495" r:id="rId665" display="mailto:liamhancy@greeneking.co.uk" xr:uid="{70A40284-F274-4624-824D-C8C3D42536DE}"/>
    <hyperlink ref="F1496" r:id="rId666" display="mailto:liamhancy@greeneking.co.uk" xr:uid="{80ABF2C4-7E17-4725-8D78-023B317F4308}"/>
    <hyperlink ref="F1497" r:id="rId667" display="mailto:liamhancy@greeneking.co.uk" xr:uid="{2F0D92FF-16FC-41D2-8B68-FB00512781C5}"/>
    <hyperlink ref="F1498" r:id="rId668" display="mailto:liamhancy@greeneking.co.uk" xr:uid="{FD63185F-7825-4FDC-8A63-491F44799BF0}"/>
    <hyperlink ref="F1499" r:id="rId669" display="mailto:liamhancy@greeneking.co.uk" xr:uid="{15B4EE23-9357-4C42-B6CF-1696BF2CA9F7}"/>
    <hyperlink ref="F1500" r:id="rId670" display="mailto:liamhancy@greeneking.co.uk" xr:uid="{482B2D49-EE45-4F0E-923A-226BFC69021B}"/>
    <hyperlink ref="F1501" r:id="rId671" display="mailto:liamhancy@greeneking.co.uk" xr:uid="{7022B4F6-3B1D-4751-AE59-71F7F6365BB8}"/>
    <hyperlink ref="F1502" r:id="rId672" display="mailto:liamhancy@greeneking.co.uk" xr:uid="{FEBB9BAD-DF51-428C-A417-F0952ED6FB46}"/>
    <hyperlink ref="F1503" r:id="rId673" display="mailto:liamhancy@greeneking.co.uk" xr:uid="{EDB5DA50-E73E-449C-BCB3-CF7EF26BFBCB}"/>
    <hyperlink ref="F1504" r:id="rId674" display="mailto:liamhancy@greeneking.co.uk" xr:uid="{748C2BCC-ABE3-47D1-995D-837F5C852502}"/>
    <hyperlink ref="F1505" r:id="rId675" display="mailto:liamhancy@greeneking.co.uk" xr:uid="{BB427706-EF8F-4193-88A5-141D950CF296}"/>
    <hyperlink ref="F1506" r:id="rId676" display="mailto:liamhancy@greeneking.co.uk" xr:uid="{4DE9E986-FF0F-43B9-BFCF-FB5BE57CAAA6}"/>
    <hyperlink ref="F1507" r:id="rId677" display="mailto:liamhancy@greeneking.co.uk" xr:uid="{14E596C4-5EF6-43AD-AF45-12C7928A5AB0}"/>
    <hyperlink ref="F1508" r:id="rId678" display="mailto:liamhancy@greeneking.co.uk" xr:uid="{F72B11F4-0FDE-4FA1-A75E-32A358737006}"/>
    <hyperlink ref="F1509" r:id="rId679" display="mailto:liamhancy@greeneking.co.uk" xr:uid="{0D33B54D-FD4E-4DB7-801A-50CF0B9C04D7}"/>
    <hyperlink ref="F1510" r:id="rId680" display="mailto:liamhancy@greeneking.co.uk" xr:uid="{3344D7E4-EF4E-4CC1-9953-CB2FEF83D03B}"/>
    <hyperlink ref="F1511" r:id="rId681" display="mailto:liamhancy@greeneking.co.uk" xr:uid="{B3BA9297-DBA1-4520-B941-AFF002F0D96A}"/>
    <hyperlink ref="F1512" r:id="rId682" display="mailto:liamhancy@greeneking.co.uk" xr:uid="{A876F631-1688-4301-9A66-D0ADFD7DD8AA}"/>
    <hyperlink ref="F1513" r:id="rId683" display="mailto:liamhancy@greeneking.co.uk" xr:uid="{EDE5EF82-2740-4FBA-8681-0A1880537B40}"/>
    <hyperlink ref="F1514" r:id="rId684" display="mailto:liamhancy@greeneking.co.uk" xr:uid="{A46E797B-35E7-4831-89A1-AB0AE4BE428B}"/>
    <hyperlink ref="D1522" r:id="rId685" display="mailto:jessicagreen@greeneking.co.uk" xr:uid="{64D80ECB-E256-4BC5-B21A-2F4633E9702D}"/>
    <hyperlink ref="F1522" r:id="rId686" display="mailto:liamhancy@greeneking.co.uk" xr:uid="{AE1C49A6-DF50-46CA-ABE0-BFA69D0C6121}"/>
    <hyperlink ref="D1523" r:id="rId687" display="mailto:jessicagreen@greeneking.co.uk" xr:uid="{60167C38-1E39-4B2B-B957-4E0039B871CC}"/>
    <hyperlink ref="F1523" r:id="rId688" display="mailto:liamhancy@greeneking.co.uk" xr:uid="{CFC74FDB-EE5B-44CE-B4E4-E9CEB49C8B1F}"/>
    <hyperlink ref="D1524" r:id="rId689" display="mailto:jessicagreen@greeneking.co.uk" xr:uid="{2EECC2FB-BBDB-4C48-B7C2-49A1E9EB08CB}"/>
    <hyperlink ref="F1524" r:id="rId690" display="mailto:liamhancy@greeneking.co.uk" xr:uid="{19C0CEF6-D708-4FE2-9FF8-32EE8C554649}"/>
    <hyperlink ref="D1525" r:id="rId691" display="mailto:jessicagreen@greeneking.co.uk" xr:uid="{6E1B01DF-4E57-4789-9477-188856F4295F}"/>
    <hyperlink ref="F1525" r:id="rId692" display="mailto:liamhancy@greeneking.co.uk" xr:uid="{9846CE65-99C9-4390-81E1-D88EAEB071BD}"/>
    <hyperlink ref="D1526" r:id="rId693" display="mailto:jessicagreen@greeneking.co.uk" xr:uid="{3DDBA43F-C4EF-41F2-92F1-9570B874FAF2}"/>
    <hyperlink ref="F1526" r:id="rId694" display="mailto:liamhancy@greeneking.co.uk" xr:uid="{84601A19-F45B-4267-83A0-1326BC6FF116}"/>
    <hyperlink ref="D1527" r:id="rId695" display="mailto:jessicagreen@greeneking.co.uk" xr:uid="{0F99F2C0-06B7-4B75-BB8F-149E20CFEAA8}"/>
    <hyperlink ref="F1527" r:id="rId696" display="mailto:liamhancy@greeneking.co.uk" xr:uid="{3FC9758F-5104-44E8-AAD9-CB76F56D5518}"/>
    <hyperlink ref="D1528" r:id="rId697" display="mailto:jessicagreen@greeneking.co.uk" xr:uid="{5B2983B1-2B0C-4215-8A84-662679A2DA57}"/>
    <hyperlink ref="F1528" r:id="rId698" display="mailto:liamhancy@greeneking.co.uk" xr:uid="{6B4822FF-F2C7-4210-B0F5-EEDB29D7C622}"/>
    <hyperlink ref="D1529" r:id="rId699" display="mailto:jessicagreen@greeneking.co.uk" xr:uid="{B31926F4-C64B-4EAA-BC64-5607C319658B}"/>
    <hyperlink ref="F1529" r:id="rId700" display="mailto:liamhancy@greeneking.co.uk" xr:uid="{FE4FE0BF-18AA-4277-88C9-1CDCD7440A76}"/>
    <hyperlink ref="D1530" r:id="rId701" display="mailto:jessicagreen@greeneking.co.uk" xr:uid="{3ACE252A-7CBD-457C-A4EC-F35DEBF0D506}"/>
    <hyperlink ref="F1530" r:id="rId702" display="mailto:liamhancy@greeneking.co.uk" xr:uid="{C2DCE563-0CC5-4C63-94DC-AB00D63DE344}"/>
    <hyperlink ref="D1531" r:id="rId703" display="mailto:jessicagreen@greeneking.co.uk" xr:uid="{FBD41C51-4A57-4C8D-A92B-268C94F34FBA}"/>
    <hyperlink ref="F1531" r:id="rId704" display="mailto:liamhancy@greeneking.co.uk" xr:uid="{AF13F3A8-B99C-4031-86A2-0FAB96267352}"/>
    <hyperlink ref="F1532" r:id="rId705" display="mailto:liamhancy@greeneking.co.uk" xr:uid="{CAF6DF98-08E3-457D-BB29-20B07EFC0BED}"/>
    <hyperlink ref="F1533" r:id="rId706" display="mailto:liamhancy@greeneking.co.uk" xr:uid="{C6E38A66-E358-4BFA-A108-33B1EFAE84BA}"/>
    <hyperlink ref="F1534" r:id="rId707" display="mailto:liamhancy@greeneking.co.uk" xr:uid="{8FF46B8D-CCBD-4583-A4DE-7522B948D765}"/>
    <hyperlink ref="F1535" r:id="rId708" display="mailto:liamhancy@greeneking.co.uk" xr:uid="{DD5EAA3F-F511-4E6D-A55A-439E876EBAC2}"/>
    <hyperlink ref="F1536" r:id="rId709" display="mailto:liamhancy@greeneking.co.uk" xr:uid="{37022B77-BC70-43E1-8B52-E0F9AEC7D1A2}"/>
    <hyperlink ref="F1537" r:id="rId710" display="mailto:liamhancy@greeneking.co.uk" xr:uid="{282D8EF5-D4C8-477A-A1F4-84621B8F28EA}"/>
    <hyperlink ref="F1538" r:id="rId711" display="mailto:liamhancy@greeneking.co.uk" xr:uid="{A59F47AD-5FF6-4280-8CF0-2C746DCAB8DD}"/>
    <hyperlink ref="F1539" r:id="rId712" display="mailto:liamhancy@greeneking.co.uk" xr:uid="{A6ED67E7-BD72-498C-AE0F-6607292DA884}"/>
    <hyperlink ref="F1540" r:id="rId713" display="mailto:liamhancy@greeneking.co.uk" xr:uid="{63D3EA18-5950-498C-A9B8-EE909AE8F790}"/>
    <hyperlink ref="F1541" r:id="rId714" display="mailto:liamhancy@greeneking.co.uk" xr:uid="{32BE6393-1537-472C-BE2E-0EFF8C146997}"/>
    <hyperlink ref="F1542" r:id="rId715" display="mailto:liamhancy@greeneking.co.uk" xr:uid="{74E44A1C-AD76-41D5-96F7-F86585CDF15C}"/>
    <hyperlink ref="F1543" r:id="rId716" display="mailto:liamhancy@greeneking.co.uk" xr:uid="{CA048C07-5962-452B-8982-8F35230259C0}"/>
    <hyperlink ref="F1544" r:id="rId717" display="mailto:liamhancy@greeneking.co.uk" xr:uid="{9D9B1153-FB84-4349-AD15-9B08FB81F7E9}"/>
    <hyperlink ref="F1545" r:id="rId718" display="mailto:liamhancy@greeneking.co.uk" xr:uid="{0805E135-1C66-40F6-9F18-1CDBF7E96C9A}"/>
    <hyperlink ref="F1546" r:id="rId719" display="mailto:liamhancy@greeneking.co.uk" xr:uid="{74A3CCD4-902C-40E1-A253-A2650C5F6216}"/>
    <hyperlink ref="F1547" r:id="rId720" display="mailto:liamhancy@greeneking.co.uk" xr:uid="{E2039BAF-67B9-4763-9AFE-3A5CDC6B5B8B}"/>
    <hyperlink ref="F1548" r:id="rId721" display="mailto:liamhancy@greeneking.co.uk" xr:uid="{5B80FFDA-405A-4C30-BFA6-28340F1035BF}"/>
    <hyperlink ref="F1549" r:id="rId722" display="mailto:liamhancy@greeneking.co.uk" xr:uid="{C098B3F0-7104-47BF-95F0-D5D3AF5A9FDC}"/>
    <hyperlink ref="F1550" r:id="rId723" display="mailto:liamhancy@greeneking.co.uk" xr:uid="{59A78065-1A10-4D8B-8334-188A573EC2DE}"/>
    <hyperlink ref="F1551" r:id="rId724" display="mailto:liamhancy@greeneking.co.uk" xr:uid="{FFD59EBF-3E24-4A13-BD2C-4FB46FBCD144}"/>
    <hyperlink ref="F1552" r:id="rId725" display="mailto:liamhancy@greeneking.co.uk" xr:uid="{C96F65C5-37F6-4884-8126-E9808F7D5349}"/>
    <hyperlink ref="F1553" r:id="rId726" display="mailto:liamhancy@greeneking.co.uk" xr:uid="{746A9850-9E08-43A1-BE4A-5A35BF3827B2}"/>
    <hyperlink ref="F1554" r:id="rId727" display="mailto:liamhancy@greeneking.co.uk" xr:uid="{8F077BD3-9FBF-4A32-86A3-B6E3A69F5879}"/>
    <hyperlink ref="F1555" r:id="rId728" display="mailto:liamhancy@greeneking.co.uk" xr:uid="{B2E77A8A-1415-46DA-9B36-1F1648A60CEA}"/>
    <hyperlink ref="F1556" r:id="rId729" display="mailto:liamhancy@greeneking.co.uk" xr:uid="{F889885F-3BC4-4093-81AD-262132DC5E0D}"/>
    <hyperlink ref="F1557" r:id="rId730" display="mailto:liamhancy@greeneking.co.uk" xr:uid="{3116C23B-9AD9-4DC5-AD58-918ADD84548B}"/>
    <hyperlink ref="F1558" r:id="rId731" display="mailto:liamhancy@greeneking.co.uk" xr:uid="{25D83A7E-92E1-4846-8C51-6DA33D123764}"/>
    <hyperlink ref="F1559" r:id="rId732" display="mailto:liamhancy@greeneking.co.uk" xr:uid="{876A1159-251A-476F-B754-9350E93A9856}"/>
    <hyperlink ref="F1560" r:id="rId733" display="mailto:liamhancy@greeneking.co.uk" xr:uid="{24B210B9-FB33-4A50-BF07-C3F587127C16}"/>
    <hyperlink ref="F1561" r:id="rId734" display="mailto:liamhancy@greeneking.co.uk" xr:uid="{2C1BF72A-3288-4055-B079-B9BEC4F7752E}"/>
    <hyperlink ref="F1562" r:id="rId735" display="mailto:liamhancy@greeneking.co.uk" xr:uid="{97AA05FE-DB87-4148-A0F2-5C5AE1EA55E5}"/>
    <hyperlink ref="F1563" r:id="rId736" display="mailto:liamhancy@greeneking.co.uk" xr:uid="{55D65FFF-5571-4065-92D1-089CBD1F8FA8}"/>
    <hyperlink ref="F1564" r:id="rId737" display="mailto:liamhancy@greeneking.co.uk" xr:uid="{06FE7FED-A885-421C-BA0A-3F9E4C22F58E}"/>
    <hyperlink ref="F1565" r:id="rId738" display="mailto:liamhancy@greeneking.co.uk" xr:uid="{88B1AEF5-D778-4567-AADC-58A707F0EFBB}"/>
    <hyperlink ref="D1612" r:id="rId739" display="mailto:benfrater@greeneking.co.uk" xr:uid="{356005FE-00E1-40D7-AAED-A0F96DF11F15}"/>
    <hyperlink ref="F1612" r:id="rId740" display="mailto:kevin.grierson@belhaven.co.uk" xr:uid="{4ED26B97-74C4-433F-B070-835EF43BE4F1}"/>
    <hyperlink ref="D1613" r:id="rId741" display="mailto:benfrater@greeneking.co.uk" xr:uid="{70279642-F405-44AC-AC5B-9A9829B130D1}"/>
    <hyperlink ref="F1613" r:id="rId742" display="mailto:kevin.grierson@belhaven.co.uk" xr:uid="{1919DC68-A974-43F2-9143-21F2AE6D93A6}"/>
    <hyperlink ref="D1617" r:id="rId743" display="mailto:benfrater@greeneking.co.uk" xr:uid="{24CA2129-AC54-4332-BD2E-7E5A5DD4EAB9}"/>
    <hyperlink ref="F1617" r:id="rId744" display="mailto:kevin.grierson@belhaven.co.uk" xr:uid="{CB8129FD-2AB6-4BD0-8CFD-8441F62D3E2B}"/>
    <hyperlink ref="D1618" r:id="rId745" display="mailto:benfrater@greeneking.co.uk" xr:uid="{167893BD-EB8A-4873-B172-78090243B87E}"/>
    <hyperlink ref="F1618" r:id="rId746" display="mailto:kevin.grierson@belhaven.co.uk" xr:uid="{4EE8B38D-6903-4073-89F4-A58A914B73F4}"/>
    <hyperlink ref="D1619" r:id="rId747" display="mailto:benfrater@greeneking.co.uk" xr:uid="{813C38D9-8A50-445C-860F-DF3AF47B9FDF}"/>
    <hyperlink ref="F1619" r:id="rId748" display="mailto:kevin.grierson@belhaven.co.uk" xr:uid="{80BE1BAE-703D-474B-9B65-96515C17CC30}"/>
    <hyperlink ref="F1647" r:id="rId749" display="mailto:liamhancy@greeneking.co.uk" xr:uid="{EF4228AA-5B30-4549-A532-E70E690D50AB}"/>
    <hyperlink ref="F1648" r:id="rId750" display="mailto:liamhancy@greeneking.co.uk" xr:uid="{FE0AAB27-AC9A-4541-9468-722997C5A4CC}"/>
    <hyperlink ref="F1649" r:id="rId751" display="mailto:liamhancy@greeneking.co.uk" xr:uid="{8B11EB74-B0E1-4ACD-A2B0-2E94362AE328}"/>
    <hyperlink ref="F1650" r:id="rId752" display="mailto:liamhancy@greeneking.co.uk" xr:uid="{5A027E7F-4D1D-41E8-9E2D-A84A3EA67DA7}"/>
    <hyperlink ref="F1651" r:id="rId753" display="mailto:liamhancy@greeneking.co.uk" xr:uid="{3B3111D9-8557-4E5A-ADE3-5D7350012713}"/>
    <hyperlink ref="F1652" r:id="rId754" display="mailto:liamhancy@greeneking.co.uk" xr:uid="{64747A90-0C39-43E0-A3F9-FA2CDE6D9457}"/>
    <hyperlink ref="F1653" r:id="rId755" display="mailto:liamhancy@greeneking.co.uk" xr:uid="{3AD2E564-A59D-466D-A98F-88AED66DD7CF}"/>
    <hyperlink ref="F1654" r:id="rId756" display="mailto:liamhancy@greeneking.co.uk" xr:uid="{D392B2E0-9CF8-4F0A-8360-B0E4BFB3369C}"/>
    <hyperlink ref="F1655" r:id="rId757" display="mailto:liamhancy@greeneking.co.uk" xr:uid="{94BC8E4B-DE39-43F2-BAEB-A1D2EB15EE27}"/>
    <hyperlink ref="F1657" r:id="rId758" display="mailto:liamhancy@greeneking.co.uk" xr:uid="{9CDE539E-A357-4934-AC8A-6358D97DE0BF}"/>
    <hyperlink ref="F1658" r:id="rId759" display="mailto:liamhancy@greeneking.co.uk" xr:uid="{F8AAF9DA-1E2E-49B4-80DB-B0CB49DEFA03}"/>
    <hyperlink ref="F1659" r:id="rId760" display="mailto:liamhancy@greeneking.co.uk" xr:uid="{FDCC8FA7-520B-4E96-8939-C32C9A042AFC}"/>
    <hyperlink ref="F1660" r:id="rId761" display="mailto:liamhancy@greeneking.co.uk" xr:uid="{4521A330-3B45-4E2E-AE4A-9B92561346BB}"/>
    <hyperlink ref="F1661" r:id="rId762" display="mailto:liamhancy@greeneking.co.uk" xr:uid="{496FFA65-01AE-4884-B88B-B0E3ADDD4C03}"/>
    <hyperlink ref="F1662" r:id="rId763" display="mailto:liamhancy@greeneking.co.uk" xr:uid="{02ECD4D2-73D6-4B00-971F-5141EE188073}"/>
    <hyperlink ref="F1663" r:id="rId764" display="mailto:liamhancy@greeneking.co.uk" xr:uid="{6B479E90-DE3A-432F-A20F-C8A621E283F7}"/>
    <hyperlink ref="F1664" r:id="rId765" display="mailto:liamhancy@greeneking.co.uk" xr:uid="{F6296590-E557-4FC4-89E6-F3746B96718A}"/>
    <hyperlink ref="F1665" r:id="rId766" display="mailto:liamhancy@greeneking.co.uk" xr:uid="{667A40AD-D7E5-4CD9-AEAC-FFA03EED2A97}"/>
    <hyperlink ref="F1666" r:id="rId767" display="mailto:liamhancy@greeneking.co.uk" xr:uid="{67DF3FAE-50C5-492B-A8A5-DF9F5DF396A7}"/>
    <hyperlink ref="F1667" r:id="rId768" display="mailto:liamhancy@greeneking.co.uk" xr:uid="{AF9C49EF-0ECC-4434-A150-A56AC6E63B30}"/>
    <hyperlink ref="F1668" r:id="rId769" display="mailto:liamhancy@greeneking.co.uk" xr:uid="{A35833CB-B866-47DD-A880-A05629EE1782}"/>
    <hyperlink ref="F1669" r:id="rId770" display="mailto:liamhancy@greeneking.co.uk" xr:uid="{6E529BAC-D126-40F5-B6BD-8DFB5EA476FB}"/>
    <hyperlink ref="F1670" r:id="rId771" display="mailto:liamhancy@greeneking.co.uk" xr:uid="{3AFE6B01-45D7-4449-9430-8E7269AB45CB}"/>
    <hyperlink ref="F1671" r:id="rId772" display="mailto:liamhancy@greeneking.co.uk" xr:uid="{74ABCA3F-0F5D-4814-AAEC-E0AD011DF691}"/>
    <hyperlink ref="F1672" r:id="rId773" display="mailto:liamhancy@greeneking.co.uk" xr:uid="{C5326B48-00A3-419F-B695-9E65E7F4BDE3}"/>
    <hyperlink ref="F1673" r:id="rId774" display="mailto:liamhancy@greeneking.co.uk" xr:uid="{0456EBC2-5E80-410F-8F1D-06FB018C50E3}"/>
    <hyperlink ref="F1674" r:id="rId775" display="mailto:liamhancy@greeneking.co.uk" xr:uid="{CEF56617-480A-4919-98AE-0B0C0675E2B7}"/>
    <hyperlink ref="F1675" r:id="rId776" display="mailto:liamhancy@greeneking.co.uk" xr:uid="{7D9CC2F2-4268-43CC-BA3C-6F92BC1BE0DB}"/>
    <hyperlink ref="F1676" r:id="rId777" display="mailto:liamhancy@greeneking.co.uk" xr:uid="{2A84E48A-A30D-4559-AC13-C175018B686F}"/>
    <hyperlink ref="F1677" r:id="rId778" display="mailto:liamhancy@greeneking.co.uk" xr:uid="{CD0115EC-6A2D-4978-AA16-196AFE82AC91}"/>
    <hyperlink ref="F1678" r:id="rId779" display="mailto:liamhancy@greeneking.co.uk" xr:uid="{06E2FAF6-EFD3-432E-B0BD-7F15E63F23C7}"/>
    <hyperlink ref="F1679" r:id="rId780" display="mailto:liamhancy@greeneking.co.uk" xr:uid="{7F66A5B6-751A-4BDF-8240-997F9397C437}"/>
    <hyperlink ref="F1680" r:id="rId781" display="mailto:liamhancy@greeneking.co.uk" xr:uid="{B251A37F-FA83-436F-9920-2E3533BFDE34}"/>
    <hyperlink ref="F1681" r:id="rId782" display="mailto:liamhancy@greeneking.co.uk" xr:uid="{7B69887F-EB3C-4DD2-B22D-86C47FE01234}"/>
    <hyperlink ref="F1682" r:id="rId783" display="mailto:liamhancy@greeneking.co.uk" xr:uid="{A0DD3FC7-BBCA-4226-89F8-ABCCBA8CFB31}"/>
    <hyperlink ref="F1683" r:id="rId784" display="mailto:liamhancy@greeneking.co.uk" xr:uid="{77E93619-C797-404D-91B9-94A2E65F733F}"/>
    <hyperlink ref="F1684" r:id="rId785" display="mailto:liamhancy@greeneking.co.uk" xr:uid="{3D084967-727C-4455-B92D-824EFA49F169}"/>
    <hyperlink ref="F1685" r:id="rId786" display="mailto:liamhancy@greeneking.co.uk" xr:uid="{BC612C0E-9956-444D-9622-D918788BD8CD}"/>
    <hyperlink ref="F1686" r:id="rId787" display="mailto:liamhancy@greeneking.co.uk" xr:uid="{08E11738-82BD-4137-836B-79BC83B4EF6F}"/>
    <hyperlink ref="F1687" r:id="rId788" display="mailto:liamhancy@greeneking.co.uk" xr:uid="{A3786962-506F-4672-A6D2-AEE292D89879}"/>
    <hyperlink ref="F1688" r:id="rId789" display="mailto:liamhancy@greeneking.co.uk" xr:uid="{C3C3E301-E78B-4BD9-83C0-CF4A41B90CFA}"/>
    <hyperlink ref="F1689" r:id="rId790" display="mailto:liamhancy@greeneking.co.uk" xr:uid="{C14FCF68-29C0-47E6-A9FF-CCC8735DBD23}"/>
    <hyperlink ref="F1690" r:id="rId791" display="mailto:liamhancy@greeneking.co.uk" xr:uid="{36F1F416-6263-4025-86DB-54C7B99C5F0B}"/>
    <hyperlink ref="F1691" r:id="rId792" display="mailto:liamhancy@greeneking.co.uk" xr:uid="{CDDD7BB6-5C91-48B3-BA83-CEC37FFEA598}"/>
    <hyperlink ref="F1692" r:id="rId793" display="mailto:liamhancy@greeneking.co.uk" xr:uid="{B70D6758-2856-4F52-BEFA-DA207520624F}"/>
    <hyperlink ref="F1693" r:id="rId794" display="mailto:liamhancy@greeneking.co.uk" xr:uid="{185D6C00-58DA-44E7-B11E-4AFA7DC6AA27}"/>
    <hyperlink ref="F1694" r:id="rId795" display="mailto:liamhancy@greeneking.co.uk" xr:uid="{AEC26144-F71A-4ACB-8632-1A53CF8D0C7D}"/>
    <hyperlink ref="F1695" r:id="rId796" display="mailto:liamhancy@greeneking.co.uk" xr:uid="{95CD8226-CBBD-4D75-80A0-E6F6437650BA}"/>
    <hyperlink ref="F1696" r:id="rId797" display="mailto:liamhancy@greeneking.co.uk" xr:uid="{B0AE26A1-6C7C-4CC5-A67C-3516F22EF0F2}"/>
    <hyperlink ref="F1697" r:id="rId798" display="mailto:liamhancy@greeneking.co.uk" xr:uid="{D5F0C535-3F47-4783-B56A-A05672DAD785}"/>
    <hyperlink ref="F1698" r:id="rId799" display="mailto:liamhancy@greeneking.co.uk" xr:uid="{965EE1AF-0269-4B9B-AABC-D07045B38C2A}"/>
    <hyperlink ref="F1699" r:id="rId800" display="mailto:liamhancy@greeneking.co.uk" xr:uid="{05BD167E-E9D9-4B21-8763-C975313F704D}"/>
    <hyperlink ref="F1700" r:id="rId801" display="mailto:liamhancy@greeneking.co.uk" xr:uid="{C5D19D36-01A0-4A8D-A36A-684BA04A94AE}"/>
    <hyperlink ref="F1701" r:id="rId802" display="mailto:liamhancy@greeneking.co.uk" xr:uid="{CAD525B3-5E49-4753-A142-14094E318A4B}"/>
    <hyperlink ref="F1702" r:id="rId803" display="mailto:liamhancy@greeneking.co.uk" xr:uid="{8B55E654-259C-4A6B-91D8-03D4D3FBA543}"/>
    <hyperlink ref="F1703" r:id="rId804" display="mailto:liamhancy@greeneking.co.uk" xr:uid="{D42BB7F8-E6C4-4159-B537-DA8ECE780446}"/>
    <hyperlink ref="F1704" r:id="rId805" display="mailto:liamhancy@greeneking.co.uk" xr:uid="{3960FFEB-95A5-4219-AE3F-5D0EB4539BA8}"/>
    <hyperlink ref="F1705" r:id="rId806" display="mailto:liamhancy@greeneking.co.uk" xr:uid="{1BBA8B28-AC1E-45C7-8CB6-0EFDF868A35A}"/>
    <hyperlink ref="F1706" r:id="rId807" display="mailto:liamhancy@greeneking.co.uk" xr:uid="{E0636D7A-2B0E-475E-A5DF-EAD4E02C4F91}"/>
    <hyperlink ref="F1707" r:id="rId808" display="mailto:liamhancy@greeneking.co.uk" xr:uid="{FFC98DD9-F63E-409E-B306-B9E1DF8B54C1}"/>
    <hyperlink ref="F1708" r:id="rId809" display="mailto:liamhancy@greeneking.co.uk" xr:uid="{F7E88BDC-902F-4A64-837C-A3B06BD1DE79}"/>
    <hyperlink ref="F1709" r:id="rId810" display="mailto:liamhancy@greeneking.co.uk" xr:uid="{7096E43A-E788-428A-B245-8105E1640AEB}"/>
    <hyperlink ref="F1710" r:id="rId811" display="mailto:liamhancy@greeneking.co.uk" xr:uid="{D48318AD-3E33-42C2-83D2-E87B14D238A5}"/>
    <hyperlink ref="F1711" r:id="rId812" display="mailto:liamhancy@greeneking.co.uk" xr:uid="{2A44D540-977C-4A7A-BEB5-D57CB9961E7F}"/>
    <hyperlink ref="F1712" r:id="rId813" display="mailto:liamhancy@greeneking.co.uk" xr:uid="{24C2F004-8E91-47E0-A998-DA6203931C0E}"/>
    <hyperlink ref="F1713" r:id="rId814" display="mailto:liamhancy@greeneking.co.uk" xr:uid="{9A19CC72-0F51-46FA-89CF-1A98C8B4515C}"/>
    <hyperlink ref="F1714" r:id="rId815" display="mailto:liamhancy@greeneking.co.uk" xr:uid="{23EF55A8-EF39-4023-9296-1913311ADB37}"/>
    <hyperlink ref="F1715" r:id="rId816" display="mailto:liamhancy@greeneking.co.uk" xr:uid="{A3918500-22B6-4E00-8088-D06A4F5CB1EA}"/>
    <hyperlink ref="F1716" r:id="rId817" display="mailto:liamhancy@greeneking.co.uk" xr:uid="{9817F153-1C15-423F-BE66-9224B0FC5C98}"/>
    <hyperlink ref="F1717" r:id="rId818" display="mailto:liamhancy@greeneking.co.uk" xr:uid="{03D3BD61-0C16-45B5-9B06-71EDA4F6F103}"/>
    <hyperlink ref="F1718" r:id="rId819" display="mailto:liamhancy@greeneking.co.uk" xr:uid="{291B6815-68F4-4EC8-BB5F-EA01D05B7CA1}"/>
    <hyperlink ref="F1719" r:id="rId820" display="mailto:liamhancy@greeneking.co.uk" xr:uid="{D1464CDD-B4E0-45F2-AEBF-A16EA57EED24}"/>
    <hyperlink ref="F1720" r:id="rId821" display="mailto:liamhancy@greeneking.co.uk" xr:uid="{81BD8AB5-E042-48B8-8846-8CE869342C5C}"/>
    <hyperlink ref="F1721" r:id="rId822" display="mailto:liamhancy@greeneking.co.uk" xr:uid="{D7DF39C7-476C-46AB-A6B9-A9C3700DFB31}"/>
    <hyperlink ref="F1722" r:id="rId823" display="mailto:liamhancy@greeneking.co.uk" xr:uid="{7377A5DE-5D7D-40EB-9EBC-478C7207CFEF}"/>
    <hyperlink ref="F1723" r:id="rId824" display="mailto:liamhancy@greeneking.co.uk" xr:uid="{1DD49EAE-01D9-4F49-9442-5E32DEFCC99E}"/>
    <hyperlink ref="F1724" r:id="rId825" display="mailto:liamhancy@greeneking.co.uk" xr:uid="{A7D59DB4-58E0-42AB-8C50-3DFCE5F58BE9}"/>
    <hyperlink ref="F1725" r:id="rId826" display="mailto:liamhancy@greeneking.co.uk" xr:uid="{2666B064-0595-4490-B0AB-80FC590E7FEB}"/>
    <hyperlink ref="F1726" r:id="rId827" display="mailto:liamhancy@greeneking.co.uk" xr:uid="{33DD8A34-E44C-47D7-A60D-AA371C2ABB9B}"/>
    <hyperlink ref="F1727" r:id="rId828" display="mailto:liamhancy@greeneking.co.uk" xr:uid="{A0733981-CCBA-4773-83CA-1DE436E32FBF}"/>
    <hyperlink ref="F1728" r:id="rId829" display="mailto:liamhancy@greeneking.co.uk" xr:uid="{BCFBC6CD-337D-4B80-B7BA-19DFE461B0E3}"/>
    <hyperlink ref="F1729" r:id="rId830" display="mailto:liamhancy@greeneking.co.uk" xr:uid="{10CB7CF9-7DD8-4E79-8CB3-41B0EEDF48C1}"/>
    <hyperlink ref="F1730" r:id="rId831" display="mailto:liamhancy@greeneking.co.uk" xr:uid="{4435B1A2-71FA-43D7-9B16-548804F6735D}"/>
    <hyperlink ref="F1731" r:id="rId832" display="mailto:liamhancy@greeneking.co.uk" xr:uid="{5480B1F8-3DB8-48B8-AFFF-E6A20D365A2D}"/>
    <hyperlink ref="F1732" r:id="rId833" display="mailto:liamhancy@greeneking.co.uk" xr:uid="{57171D39-63D0-41F7-A289-E0C290AA2B01}"/>
    <hyperlink ref="F1733" r:id="rId834" display="mailto:liamhancy@greeneking.co.uk" xr:uid="{376788BE-22A8-4183-8387-1CDCBE75C333}"/>
    <hyperlink ref="F1734" r:id="rId835" display="mailto:liamhancy@greeneking.co.uk" xr:uid="{5C64EB02-4295-41D7-8638-9C4F53BE2920}"/>
    <hyperlink ref="F1735" r:id="rId836" display="mailto:liamhancy@greeneking.co.uk" xr:uid="{EA0C1BFC-E3BD-46EB-94D0-82B1A4F030E2}"/>
    <hyperlink ref="F1736" r:id="rId837" display="mailto:liamhancy@greeneking.co.uk" xr:uid="{3C6E2B01-96A7-4645-A969-B5228B8F1695}"/>
    <hyperlink ref="F1745" r:id="rId838" display="mailto:liamhancy@greeneking.co.uk" xr:uid="{83E14F2E-9CE3-4EA7-825F-1D7925197EE9}"/>
    <hyperlink ref="F1746" r:id="rId839" display="mailto:liamhancy@greeneking.co.uk" xr:uid="{C4352D1F-6CC9-490E-929C-F76446C53379}"/>
    <hyperlink ref="F1774" r:id="rId840" display="mailto:tombrown@greeneking.co.uk" xr:uid="{678C93E5-4E30-4A9A-B89D-64BFB8FF809E}"/>
    <hyperlink ref="F1775" r:id="rId841" display="mailto:tombrown@greeneking.co.uk" xr:uid="{EAD05F04-A2D0-49EB-A4B8-4D4580D75D39}"/>
    <hyperlink ref="F1776" r:id="rId842" display="mailto:tombrown@greeneking.co.uk" xr:uid="{251AF3A8-F092-4210-8F90-8A91D70E24BF}"/>
    <hyperlink ref="F1777" r:id="rId843" display="mailto:tombrown@greeneking.co.uk" xr:uid="{97A1728C-0047-4C28-9386-463B83192CA0}"/>
    <hyperlink ref="D1778" r:id="rId844" display="mailto:Adamreditt@greeneking.co.uk" xr:uid="{5E08217D-C2EB-4C8A-842A-AE49DEC76832}"/>
    <hyperlink ref="F1778" r:id="rId845" display="mailto:tombrown@greeneking.co.uk" xr:uid="{C820AEF9-D771-4744-97DD-EB8F6C727670}"/>
    <hyperlink ref="D1779" r:id="rId846" display="mailto:Adamreditt@greeneking.co.uk" xr:uid="{D8B20E0D-0CFF-40CA-A99B-0988CDFE962E}"/>
    <hyperlink ref="F1779" r:id="rId847" display="mailto:tombrown@greeneking.co.uk" xr:uid="{0FE3361B-EB6F-49CA-8956-8D89AC794313}"/>
    <hyperlink ref="D1780" r:id="rId848" display="mailto:Adamreditt@greeneking.co.uk" xr:uid="{1357A283-52B8-42E5-8192-5F25B6074FC5}"/>
    <hyperlink ref="F1780" r:id="rId849" display="mailto:tombrown@greeneking.co.uk" xr:uid="{0C2455D5-11FC-495B-9ABE-C58B49BD3015}"/>
    <hyperlink ref="D1781" r:id="rId850" display="mailto:Adamreditt@greeneking.co.uk" xr:uid="{3DF93389-846C-4FB9-B3CE-A681BECC1FBA}"/>
    <hyperlink ref="F1781" r:id="rId851" display="mailto:tombrown@greeneking.co.uk" xr:uid="{AD3F8419-F15C-4F4F-9D32-ECA767C68B8F}"/>
    <hyperlink ref="D1782" r:id="rId852" display="mailto:Adamreditt@greeneking.co.uk" xr:uid="{57FBE9EA-B5B4-4089-8272-47E3EE371A5F}"/>
    <hyperlink ref="F1782" r:id="rId853" display="mailto:tombrown@greeneking.co.uk" xr:uid="{F50BC780-4FA4-48A4-AA0D-EDA1E1B165F8}"/>
    <hyperlink ref="D1783" r:id="rId854" display="mailto:Adamreditt@greeneking.co.uk" xr:uid="{C1A61E9A-046B-456A-90CC-9CD9663FE9A5}"/>
    <hyperlink ref="F1783" r:id="rId855" display="mailto:tombrown@greeneking.co.uk" xr:uid="{2206CEC9-8F0D-4456-8E4E-F49CC692B176}"/>
    <hyperlink ref="D1784" r:id="rId856" display="mailto:Adamreditt@greeneking.co.uk" xr:uid="{C9A51F0C-216F-4C90-8496-44DB0C07587A}"/>
    <hyperlink ref="F1784" r:id="rId857" display="mailto:tombrown@greeneking.co.uk" xr:uid="{1CFEA826-B8C7-4A40-B3ED-FDE595A074FB}"/>
    <hyperlink ref="D1785" r:id="rId858" display="mailto:Adamreditt@greeneking.co.uk" xr:uid="{35870A93-4AFE-4B35-BDDC-D54C846CBA2D}"/>
    <hyperlink ref="F1785" r:id="rId859" display="mailto:tombrown@greeneking.co.uk" xr:uid="{A26CD672-3518-4370-A382-5CB8DCA9F442}"/>
    <hyperlink ref="D1786" r:id="rId860" display="mailto:Adamreditt@greeneking.co.uk" xr:uid="{A26F2230-053C-4248-AA10-F88CBD947D71}"/>
    <hyperlink ref="F1786" r:id="rId861" display="mailto:tombrown@greeneking.co.uk" xr:uid="{B51047BF-B11F-47A3-87E6-B12187EDAFCE}"/>
    <hyperlink ref="F1787" r:id="rId862" display="mailto:tombrown@greeneking.co.uk" xr:uid="{C8233E16-EC72-4A26-B6F0-EF6901E97ABF}"/>
    <hyperlink ref="F1788" r:id="rId863" display="mailto:tombrown@greeneking.co.uk" xr:uid="{CCA805A6-10E3-41E8-954F-50708FF57E04}"/>
    <hyperlink ref="F1789" r:id="rId864" display="mailto:tombrown@greeneking.co.uk" xr:uid="{99739023-A6B2-4D19-A9E8-E2A67AD81DAA}"/>
    <hyperlink ref="F1790" r:id="rId865" display="mailto:tombrown@greeneking.co.uk" xr:uid="{8BD940B7-8C12-4C8F-911E-A651AF20FEFF}"/>
    <hyperlink ref="F1791" r:id="rId866" display="mailto:tombrown@greeneking.co.uk" xr:uid="{4E104365-BC93-469C-B558-7AE9418202C5}"/>
    <hyperlink ref="F1792" r:id="rId867" display="mailto:tombrown@greeneking.co.uk" xr:uid="{B5CF803A-15E0-4778-823B-7B7DD94FD5C0}"/>
    <hyperlink ref="F1793" r:id="rId868" display="mailto:tombrown@greeneking.co.uk" xr:uid="{6F3AF280-1F0B-42B5-B8DD-47A5CCA289CD}"/>
    <hyperlink ref="F1794" r:id="rId869" display="mailto:tombrown@greeneking.co.uk" xr:uid="{4EC842FD-3F76-4927-A4C1-09997FFF0784}"/>
    <hyperlink ref="F1795" r:id="rId870" display="mailto:tombrown@greeneking.co.uk" xr:uid="{D6FAAC8C-58FE-4A50-8518-C49C41DD6F2A}"/>
    <hyperlink ref="F1796" r:id="rId871" display="mailto:tombrown@greeneking.co.uk" xr:uid="{91FBADD2-C171-48AC-BF4B-03B2374B769A}"/>
    <hyperlink ref="F1797" r:id="rId872" display="mailto:tombrown@greeneking.co.uk" xr:uid="{9CA8326F-9D49-4AE6-8F26-32D6F877520A}"/>
    <hyperlink ref="F1798" r:id="rId873" display="mailto:tombrown@greeneking.co.uk" xr:uid="{C960C0BA-52D4-46C2-AF98-D3B8510A4168}"/>
    <hyperlink ref="F1799" r:id="rId874" display="mailto:tombrown@greeneking.co.uk" xr:uid="{B648272F-CE8C-42C9-843E-6DDC41A64099}"/>
    <hyperlink ref="F1800" r:id="rId875" display="mailto:tombrown@greeneking.co.uk" xr:uid="{354225CD-D980-4520-A127-AB3C28D72A01}"/>
    <hyperlink ref="F1801" r:id="rId876" display="mailto:tombrown@greeneking.co.uk" xr:uid="{E9528D44-4C5D-4413-8D1D-216B2793BE2F}"/>
    <hyperlink ref="F1802" r:id="rId877" display="mailto:tombrown@greeneking.co.uk" xr:uid="{BE748BBF-297D-445A-AB75-DFB1EAE4FA85}"/>
    <hyperlink ref="F1803" r:id="rId878" display="mailto:tombrown@greeneking.co.uk" xr:uid="{418F3F5C-39FE-4BEB-BE7F-531BEE421658}"/>
    <hyperlink ref="F1804" r:id="rId879" display="mailto:tombrown@greeneking.co.uk" xr:uid="{6F386C88-6653-4DE5-A2C0-E7C06FF69754}"/>
    <hyperlink ref="F1805" r:id="rId880" display="mailto:tombrown@greeneking.co.uk" xr:uid="{E2509224-CB2A-4641-91DF-C409D9FABBBC}"/>
    <hyperlink ref="F1806" r:id="rId881" display="mailto:tombrown@greeneking.co.uk" xr:uid="{90AFB3C2-36B4-4D12-8D33-5C7B6B1298E5}"/>
    <hyperlink ref="F1807" r:id="rId882" display="mailto:tombrown@greeneking.co.uk" xr:uid="{98B0FF6B-B36F-422F-97EA-6BC3FFE9A29D}"/>
    <hyperlink ref="D1808" r:id="rId883" display="mailto:Adamreditt@greeneking.co.uk" xr:uid="{A9CE8C0B-42EC-4331-8AF8-EBE9E2FDA26E}"/>
    <hyperlink ref="F1808" r:id="rId884" display="mailto:tombrown@greeneking.co.uk" xr:uid="{782DC246-A0CD-4B78-9B3B-4C1EEDF54369}"/>
    <hyperlink ref="F1820" r:id="rId885" display="mailto:liamhancy@greeneking.co.uk" xr:uid="{4B3BF185-CA57-491E-AE56-8C4E43EEAD19}"/>
    <hyperlink ref="F1821" r:id="rId886" display="mailto:liamhancy@greeneking.co.uk" xr:uid="{1AE2D905-3EED-4AEF-9268-DD32EE9C5F36}"/>
    <hyperlink ref="F1822" r:id="rId887" display="mailto:liamhancy@greeneking.co.uk" xr:uid="{1D3430EB-B341-4183-9E76-BA90759A2232}"/>
    <hyperlink ref="F1823" r:id="rId888" display="mailto:liamhancy@greeneking.co.uk" xr:uid="{2ACFB98E-9DF2-4CDC-BBB4-F039F3CB3291}"/>
    <hyperlink ref="F1824" r:id="rId889" display="mailto:liamhancy@greeneking.co.uk" xr:uid="{21ECEC82-EB59-426F-85D0-4A7EB3D6E07F}"/>
    <hyperlink ref="F1825" r:id="rId890" display="mailto:liamhancy@greeneking.co.uk" xr:uid="{24458066-6A89-42BA-A589-CC4D790DF70A}"/>
    <hyperlink ref="F1826" r:id="rId891" display="mailto:liamhancy@greeneking.co.uk" xr:uid="{27BE2B69-8458-4333-84E3-0F2CAA812C90}"/>
    <hyperlink ref="F1827" r:id="rId892" display="mailto:liamhancy@greeneking.co.uk" xr:uid="{4EFB5E9D-EE88-4D01-8BEE-C41070C8FC1D}"/>
    <hyperlink ref="F1828" r:id="rId893" display="mailto:liamhancy@greeneking.co.uk" xr:uid="{B242E44D-7594-421D-938D-99DFD2AAD9C5}"/>
    <hyperlink ref="F1829" r:id="rId894" display="mailto:liamhancy@greeneking.co.uk" xr:uid="{1E022768-FA61-44B6-A951-94FCB445D5AE}"/>
    <hyperlink ref="F1830" r:id="rId895" display="mailto:liamhancy@greeneking.co.uk" xr:uid="{ED087772-F059-44DE-A711-B3A77DB54D4E}"/>
    <hyperlink ref="F1831" r:id="rId896" display="mailto:liamhancy@greeneking.co.uk" xr:uid="{1F427938-87BE-4546-A454-A0EB8F1B82D9}"/>
    <hyperlink ref="F1832" r:id="rId897" display="mailto:liamhancy@greeneking.co.uk" xr:uid="{7E0B361F-A2E9-418A-AEF9-29DCC6423794}"/>
    <hyperlink ref="F1833" r:id="rId898" display="mailto:liamhancy@greeneking.co.uk" xr:uid="{B4FF4324-60C3-482D-9FB5-B5A175FFDD23}"/>
    <hyperlink ref="F1834" r:id="rId899" display="mailto:liamhancy@greeneking.co.uk" xr:uid="{01551509-A18D-4351-8DCB-FB211F1D92AB}"/>
    <hyperlink ref="F1835" r:id="rId900" display="mailto:liamhancy@greeneking.co.uk" xr:uid="{3D249471-0F4B-4AB2-9814-60380602C4FD}"/>
    <hyperlink ref="F1929" r:id="rId901" display="mailto:tombrown@greeneking.co.uk" xr:uid="{4EE008D6-9B9F-42DC-AC42-1592DBF0D5D3}"/>
    <hyperlink ref="F1930" r:id="rId902" display="mailto:liamhancy@greeneking.co.uk" xr:uid="{F25C75E9-BD0D-4E9C-8DCC-C7C326BB4C9A}"/>
    <hyperlink ref="F1931" r:id="rId903" display="mailto:liamhancy@greeneking.co.uk" xr:uid="{CD6AD634-3420-44CE-8DB8-AAF33E13F99D}"/>
    <hyperlink ref="F1932" r:id="rId904" display="mailto:tombrown@greeneking.co.uk" xr:uid="{6114BB95-F5DB-4F44-9489-9DCDDEE59006}"/>
    <hyperlink ref="F1933" r:id="rId905" display="mailto:tombrown@greeneking.co.uk" xr:uid="{5F9A207A-D41D-421A-895C-BFECA382D051}"/>
    <hyperlink ref="F1934" r:id="rId906" display="mailto:tombrown@greeneking.co.uk" xr:uid="{B246100D-E06C-458E-8434-BBA8C39643CC}"/>
    <hyperlink ref="F1935" r:id="rId907" display="mailto:tombrown@greeneking.co.uk" xr:uid="{F8F61863-55C1-45D4-8CA3-E33D17311B3B}"/>
    <hyperlink ref="F1936" r:id="rId908" display="mailto:tombrown@greeneking.co.uk" xr:uid="{7B8849D8-F666-4ADA-A322-A8C1E2F7A2BC}"/>
    <hyperlink ref="F1937" r:id="rId909" display="mailto:tombrown@greeneking.co.uk" xr:uid="{F142571D-B487-4A35-8F24-C0C0F1646D81}"/>
    <hyperlink ref="F1938" r:id="rId910" display="mailto:tombrown@greeneking.co.uk" xr:uid="{57994EC8-E9FF-4F5E-9766-CBDB9A77BA7B}"/>
    <hyperlink ref="F1939" r:id="rId911" display="mailto:liamhancy@greeneking.co.uk" xr:uid="{18DC8C2B-F45F-4312-A539-4C73FB0A20AF}"/>
    <hyperlink ref="F1940" r:id="rId912" display="mailto:liamhancy@greeneking.co.uk" xr:uid="{43342FB6-AAD9-4A38-854B-8F4A1EA79781}"/>
    <hyperlink ref="F1941" r:id="rId913" display="mailto:liamhancy@greeneking.co.uk" xr:uid="{47D86FB8-3E71-4884-BA6A-052D88C38DBA}"/>
    <hyperlink ref="F1942" r:id="rId914" display="mailto:liamhancy@greeneking.co.uk" xr:uid="{F15FB69F-DE5E-4AA6-BF88-2C059AD1E495}"/>
    <hyperlink ref="F1943" r:id="rId915" display="mailto:liamhancy@greeneking.co.uk" xr:uid="{1FD1D227-66E2-4F06-B84B-00C0DCC97694}"/>
    <hyperlink ref="F1944" r:id="rId916" display="mailto:liamhancy@greeneking.co.uk" xr:uid="{BD1EF42E-0AE6-488C-A449-FB41852286BF}"/>
    <hyperlink ref="F1945" r:id="rId917" display="mailto:tombrown@greeneking.co.uk" xr:uid="{DAFC8176-ABF6-4548-8FA5-D96DC62F419A}"/>
    <hyperlink ref="F1946" r:id="rId918" display="mailto:tombrown@greeneking.co.uk" xr:uid="{A8CD7503-87F1-4975-BD84-E7ED5D603F9D}"/>
    <hyperlink ref="F1947" r:id="rId919" display="mailto:tombrown@greeneking.co.uk" xr:uid="{756D15D8-A654-4C17-AA9F-2E8C3A48A0B1}"/>
    <hyperlink ref="F1948" r:id="rId920" display="mailto:tombrown@greeneking.co.uk" xr:uid="{0B160123-D71A-43BE-8169-EEE29873DBA4}"/>
    <hyperlink ref="F1949" r:id="rId921" display="mailto:tombrown@greeneking.co.uk" xr:uid="{0C681E3C-7C3A-4A3E-BE48-4AFED3D8D4B0}"/>
    <hyperlink ref="F1950" r:id="rId922" display="mailto:tombrown@greeneking.co.uk" xr:uid="{0BA2EA41-74D7-433B-8EC1-63E227EA943F}"/>
    <hyperlink ref="F1951" r:id="rId923" display="mailto:tombrown@greeneking.co.uk" xr:uid="{621C2068-222B-469A-B09D-5C3E538D1E06}"/>
    <hyperlink ref="D1952" r:id="rId924" display="mailto:Adamreditt@greeneking.co.uk" xr:uid="{0634CAE8-3F03-4107-9362-C1C2A2679245}"/>
    <hyperlink ref="F1952" r:id="rId925" display="mailto:tombrown@greeneking.co.uk" xr:uid="{8FA238E3-3BAD-40B4-BDB4-DEB2095D3531}"/>
    <hyperlink ref="D1953" r:id="rId926" display="mailto:Adamreditt@greeneking.co.uk" xr:uid="{23E3FC91-DE61-4E47-B106-92EC60AC8B06}"/>
    <hyperlink ref="F1953" r:id="rId927" display="mailto:tombrown@greeneking.co.uk" xr:uid="{44BB448F-0BB8-4E6E-8DE7-0B25199F918F}"/>
    <hyperlink ref="F1954" r:id="rId928" display="mailto:tombrown@greeneking.co.uk" xr:uid="{9D4E755A-DDBA-4D60-9717-81D2837B06CD}"/>
    <hyperlink ref="F1955" r:id="rId929" display="mailto:tombrown@greeneking.co.uk" xr:uid="{DD7FAB47-8E79-4CFF-9C8B-C58196C16077}"/>
    <hyperlink ref="F1956" r:id="rId930" display="mailto:tombrown@greeneking.co.uk" xr:uid="{BED447EC-7DFF-49C6-91CC-20EEF47FD6C9}"/>
    <hyperlink ref="D1957" r:id="rId931" display="mailto:Adamreditt@greeneking.co.uk" xr:uid="{234D929B-659F-4D25-A7E2-BFE344F3EA81}"/>
    <hyperlink ref="F1957" r:id="rId932" display="mailto:tombrown@greeneking.co.uk" xr:uid="{EAD489DC-ECED-4126-9C46-DE520921DADC}"/>
    <hyperlink ref="F1958" r:id="rId933" display="mailto:tombrown@greeneking.co.uk" xr:uid="{3AF1F478-B550-43E8-AF9D-5BC66CD20E4F}"/>
    <hyperlink ref="F1959" r:id="rId934" display="mailto:tombrown@greeneking.co.uk" xr:uid="{D37D8DC2-1A9E-4888-939D-E3B7FA2A91E5}"/>
    <hyperlink ref="F1960" r:id="rId935" display="mailto:tombrown@greeneking.co.uk" xr:uid="{9AB622F7-DA2C-4AA6-8A40-8F779D017377}"/>
    <hyperlink ref="F1961" r:id="rId936" display="mailto:tombrown@greeneking.co.uk" xr:uid="{AFD374EF-CD9A-48AF-80C7-E9DD60F6BDEE}"/>
    <hyperlink ref="F1962" r:id="rId937" display="mailto:tombrown@greeneking.co.uk" xr:uid="{0CB51D31-1A12-4797-A5BD-0265BA96DEB2}"/>
    <hyperlink ref="F1963" r:id="rId938" display="mailto:tombrown@greeneking.co.uk" xr:uid="{AAEA0CE7-900C-4FC1-9AE3-6A786B27B3FD}"/>
    <hyperlink ref="F1964" r:id="rId939" display="mailto:liamhancy@greeneking.co.uk" xr:uid="{E42AA3CA-9FFC-4D1B-9C85-F075C8D5D9A4}"/>
    <hyperlink ref="F2077" r:id="rId940" display="mailto:liamhancy@greeneking.co.uk" xr:uid="{1A2D7ACF-5A18-42C0-A9FB-9FB06EE3A802}"/>
    <hyperlink ref="F2078" r:id="rId941" display="mailto:liamhancy@greeneking.co.uk" xr:uid="{67849982-0AF5-4470-A8B1-8FA7C2103380}"/>
    <hyperlink ref="F2079" r:id="rId942" display="mailto:liamhancy@greeneking.co.uk" xr:uid="{DCA77420-61B9-4599-8C84-51D137FE63EB}"/>
    <hyperlink ref="F2080" r:id="rId943" display="mailto:liamhancy@greeneking.co.uk" xr:uid="{28F17649-0378-4072-85EA-6D21508AA106}"/>
    <hyperlink ref="F2081" r:id="rId944" display="mailto:liamhancy@greeneking.co.uk" xr:uid="{4C04A36B-E78F-4669-A973-2398035FF5E5}"/>
    <hyperlink ref="F2082" r:id="rId945" display="mailto:liamhancy@greeneking.co.uk" xr:uid="{2734A8F3-EA81-4992-8870-FD38A123DF91}"/>
    <hyperlink ref="F2083" r:id="rId946" display="mailto:liamhancy@greeneking.co.uk" xr:uid="{10104B57-01B8-4A71-9EF0-86F9C74CC2DD}"/>
    <hyperlink ref="F2084" r:id="rId947" display="mailto:liamhancy@greeneking.co.uk" xr:uid="{BCC0D453-3592-4894-8716-5B18659AF0B1}"/>
    <hyperlink ref="F2085" r:id="rId948" display="mailto:liamhancy@greeneking.co.uk" xr:uid="{279BAA86-31FC-4A99-A45F-DD34F5400554}"/>
    <hyperlink ref="F2086" r:id="rId949" display="mailto:liamhancy@greeneking.co.uk" xr:uid="{E88CC41B-BB34-416D-B84C-5B4D9F7B4E4A}"/>
    <hyperlink ref="F2087" r:id="rId950" display="mailto:liamhancy@greeneking.co.uk" xr:uid="{56F22F1C-A3BA-450A-9478-6C5F2203738F}"/>
    <hyperlink ref="F2158" r:id="rId951" display="mailto:liamhancy@greeneking.co.uk" xr:uid="{579CCBB2-749D-4CBD-9128-47DD04C45110}"/>
    <hyperlink ref="F2159" r:id="rId952" display="mailto:liamhancy@greeneking.co.uk" xr:uid="{316BDD02-A5BA-4DFD-8A6F-5366224E0F16}"/>
    <hyperlink ref="F2160" r:id="rId953" display="mailto:liamhancy@greeneking.co.uk" xr:uid="{03DB8AB2-0F22-4B5A-A482-D1E326905338}"/>
    <hyperlink ref="F2161" r:id="rId954" display="mailto:liamhancy@greeneking.co.uk" xr:uid="{600AD055-92F7-491C-97DE-C591FBD78767}"/>
    <hyperlink ref="F2162" r:id="rId955" display="mailto:liamhancy@greeneking.co.uk" xr:uid="{28D94536-E08B-4943-9F4E-B5C5FD34E60E}"/>
    <hyperlink ref="F2163" r:id="rId956" display="mailto:liamhancy@greeneking.co.uk" xr:uid="{2B52D60D-6B26-4360-9A82-0A1C43540474}"/>
    <hyperlink ref="F2164" r:id="rId957" display="mailto:liamhancy@greeneking.co.uk" xr:uid="{DFAFECD4-4C80-4408-BE26-725046CF8B59}"/>
    <hyperlink ref="F2165" r:id="rId958" display="mailto:liamhancy@greeneking.co.uk" xr:uid="{3AD630EE-ED3A-41A4-A993-DD269DF713D7}"/>
    <hyperlink ref="F2166" r:id="rId959" display="mailto:liamhancy@greeneking.co.uk" xr:uid="{85F99804-4BEC-46C3-8AAC-BC7CFFDD6536}"/>
    <hyperlink ref="F2167" r:id="rId960" display="mailto:liamhancy@greeneking.co.uk" xr:uid="{5B86511D-7AC9-49FC-A241-F5F02DF315EB}"/>
    <hyperlink ref="F2168" r:id="rId961" display="mailto:liamhancy@greeneking.co.uk" xr:uid="{D5A71559-0F43-4545-A948-025A4D5A6748}"/>
    <hyperlink ref="F2169" r:id="rId962" display="mailto:liamhancy@greeneking.co.uk" xr:uid="{34C75BE0-D870-4365-AB6C-4D1D74AE9794}"/>
    <hyperlink ref="F2170" r:id="rId963" display="mailto:liamhancy@greeneking.co.uk" xr:uid="{5BFFA798-B717-43BA-8D45-87A73E29EF02}"/>
    <hyperlink ref="F2171" r:id="rId964" display="mailto:liamhancy@greeneking.co.uk" xr:uid="{ED80FD48-E71B-475C-9906-16B71052C344}"/>
    <hyperlink ref="F2172" r:id="rId965" display="mailto:liamhancy@greeneking.co.uk" xr:uid="{3C55BE93-078A-4DED-AD58-F62E00E5B797}"/>
    <hyperlink ref="F2173" r:id="rId966" display="mailto:liamhancy@greeneking.co.uk" xr:uid="{792A060F-5940-44C3-AC01-14D091728E2F}"/>
    <hyperlink ref="F2174" r:id="rId967" display="mailto:liamhancy@greeneking.co.uk" xr:uid="{EACF3F10-7F56-44B9-86F5-8754FE37B56F}"/>
    <hyperlink ref="F2175" r:id="rId968" display="mailto:liamhancy@greeneking.co.uk" xr:uid="{71E5E84F-B1D6-4A84-9A20-D87ECC22FD1A}"/>
    <hyperlink ref="F2176" r:id="rId969" display="mailto:liamhancy@greeneking.co.uk" xr:uid="{D63A2CF1-E8E9-44B6-8E51-646B7314D017}"/>
    <hyperlink ref="F2177" r:id="rId970" display="mailto:liamhancy@greeneking.co.uk" xr:uid="{D671A5AC-77B1-4EAA-96EE-8EFF8D635807}"/>
    <hyperlink ref="F2178" r:id="rId971" display="mailto:liamhancy@greeneking.co.uk" xr:uid="{35840510-3948-4D90-96FE-78D4383B09E1}"/>
    <hyperlink ref="F2179" r:id="rId972" display="mailto:liamhancy@greeneking.co.uk" xr:uid="{D4F1958F-0772-47D7-8EFF-30768D262AA0}"/>
    <hyperlink ref="F2180" r:id="rId973" display="mailto:liamhancy@greeneking.co.uk" xr:uid="{E64E360A-7BEF-4359-BBCA-D7432ACE6AB3}"/>
    <hyperlink ref="F2181" r:id="rId974" display="mailto:liamhancy@greeneking.co.uk" xr:uid="{FCCB9342-8571-4EB9-B2BA-50EBA143B13F}"/>
    <hyperlink ref="F2182" r:id="rId975" display="mailto:liamhancy@greeneking.co.uk" xr:uid="{DF816B45-C9B7-4098-8D91-89C6FA03E348}"/>
    <hyperlink ref="F2183" r:id="rId976" display="mailto:liamhancy@greeneking.co.uk" xr:uid="{F2E370E8-7B3E-467A-8B0F-FBE1D5D8C8A5}"/>
    <hyperlink ref="F2184" r:id="rId977" display="mailto:liamhancy@greeneking.co.uk" xr:uid="{319D7504-2D57-461F-892E-A03050F4C7C4}"/>
    <hyperlink ref="F2185" r:id="rId978" display="mailto:liamhancy@greeneking.co.uk" xr:uid="{461AB590-591C-4888-AF14-496DA81D5AD5}"/>
    <hyperlink ref="F2186" r:id="rId979" display="mailto:liamhancy@greeneking.co.uk" xr:uid="{C1E364C1-139F-4664-A2FA-330E3B37559A}"/>
    <hyperlink ref="F2187" r:id="rId980" display="mailto:liamhancy@greeneking.co.uk" xr:uid="{9508F343-6671-4977-B64A-07D49BD4BA28}"/>
    <hyperlink ref="F2188" r:id="rId981" display="mailto:liamhancy@greeneking.co.uk" xr:uid="{2F12CFCC-0890-47B2-B49D-3DE87B68959F}"/>
    <hyperlink ref="F2189" r:id="rId982" display="mailto:liamhancy@greeneking.co.uk" xr:uid="{15AEAC35-2E40-4BCE-A2ED-5A5DA20FE134}"/>
    <hyperlink ref="F2190" r:id="rId983" display="mailto:liamhancy@greeneking.co.uk" xr:uid="{1EE17294-7DDD-42D0-96AC-EFAA9E14631C}"/>
    <hyperlink ref="F2191" r:id="rId984" display="mailto:liamhancy@greeneking.co.uk" xr:uid="{010DBD0B-94A1-4AB1-93DC-982051E7A01A}"/>
    <hyperlink ref="F2192" r:id="rId985" display="mailto:liamhancy@greeneking.co.uk" xr:uid="{C3AE00C6-3C25-42AF-9685-96F99AF6BC4F}"/>
    <hyperlink ref="F2193" r:id="rId986" display="mailto:liamhancy@greeneking.co.uk" xr:uid="{AF33CFA3-8DEE-47FA-B784-E41E8EE6F248}"/>
    <hyperlink ref="F2194" r:id="rId987" display="mailto:liamhancy@greeneking.co.uk" xr:uid="{879032B6-2A70-4443-B8E7-7540A1DE2526}"/>
    <hyperlink ref="F2195" r:id="rId988" display="mailto:liamhancy@greeneking.co.uk" xr:uid="{98C681AC-8CDE-40F9-96F2-C7A821752F4D}"/>
    <hyperlink ref="F2196" r:id="rId989" display="mailto:liamhancy@greeneking.co.uk" xr:uid="{3AE6ED81-4BF7-436F-AA72-CFABD6860ABF}"/>
    <hyperlink ref="F2197" r:id="rId990" display="mailto:liamhancy@greeneking.co.uk" xr:uid="{CC5D3C94-3840-4619-9CB9-74EECAF0C9C8}"/>
    <hyperlink ref="F2198" r:id="rId991" display="mailto:liamhancy@greeneking.co.uk" xr:uid="{69852187-19EB-4E4C-811F-038092322CD9}"/>
    <hyperlink ref="F2199" r:id="rId992" display="mailto:liamhancy@greeneking.co.uk" xr:uid="{3AB1E95C-17CF-4FCB-8CAE-D60F0B8307E6}"/>
    <hyperlink ref="F2200" r:id="rId993" display="mailto:liamhancy@greeneking.co.uk" xr:uid="{2376981A-83FF-4E17-BD36-A5C2A88CF51F}"/>
    <hyperlink ref="F2201" r:id="rId994" display="mailto:liamhancy@greeneking.co.uk" xr:uid="{83DA75B1-3CF5-4C43-8485-8D892C352795}"/>
    <hyperlink ref="F2202" r:id="rId995" display="mailto:liamhancy@greeneking.co.uk" xr:uid="{4EB69F5A-B682-4F3D-B631-ACE02CB512FD}"/>
    <hyperlink ref="F2301" r:id="rId996" display="mailto:liamhancy@greeneking.co.uk" xr:uid="{537AF157-8B48-4FC9-8C29-B90F6007E9BB}"/>
    <hyperlink ref="F2302" r:id="rId997" display="mailto:liamhancy@greeneking.co.uk" xr:uid="{659E955C-65B4-41F0-B02D-F167DCA15213}"/>
    <hyperlink ref="F2303" r:id="rId998" display="mailto:liamhancy@greeneking.co.uk" xr:uid="{00FF84BA-3FF8-45B1-832C-AA47007534F3}"/>
    <hyperlink ref="F2304" r:id="rId999" display="mailto:liamhancy@greeneking.co.uk" xr:uid="{AFBB0EA8-B451-46B5-958F-ED32371EA6D9}"/>
    <hyperlink ref="F2305" r:id="rId1000" display="mailto:liamhancy@greeneking.co.uk" xr:uid="{80548E93-5C9A-4AD0-807D-5B1268640A56}"/>
    <hyperlink ref="F2306" r:id="rId1001" display="mailto:liamhancy@greeneking.co.uk" xr:uid="{2F6D79C7-B2D8-4DB7-9782-9FCD58955BE3}"/>
    <hyperlink ref="F2307" r:id="rId1002" display="mailto:liamhancy@greeneking.co.uk" xr:uid="{7CFF69D0-6659-455F-9285-F561CADDFFB9}"/>
    <hyperlink ref="F2308" r:id="rId1003" display="mailto:liamhancy@greeneking.co.uk" xr:uid="{B7145DA6-533E-4265-94B3-52BEA082AB22}"/>
    <hyperlink ref="F2309" r:id="rId1004" display="mailto:liamhancy@greeneking.co.uk" xr:uid="{E6F2F7EE-912C-4B4D-8689-B4282FB343AA}"/>
    <hyperlink ref="F2310" r:id="rId1005" display="mailto:liamhancy@greeneking.co.uk" xr:uid="{9DB7F4AA-306B-4DFC-A6C9-9810AD3B44B4}"/>
    <hyperlink ref="F2311" r:id="rId1006" display="mailto:liamhancy@greeneking.co.uk" xr:uid="{AA168753-2A85-47E3-BE9F-A50BC8898662}"/>
    <hyperlink ref="F2312" r:id="rId1007" display="mailto:liamhancy@greeneking.co.uk" xr:uid="{22392530-9EDF-455E-A842-EB786E2F0C9E}"/>
    <hyperlink ref="F2313" r:id="rId1008" display="mailto:liamhancy@greeneking.co.uk" xr:uid="{F9889E12-D464-4EFF-817E-BBD36E57EF7F}"/>
    <hyperlink ref="F2314" r:id="rId1009" display="mailto:liamhancy@greeneking.co.uk" xr:uid="{FE521170-2412-4AD5-9E59-78FF5D45ED23}"/>
    <hyperlink ref="F2315" r:id="rId1010" display="mailto:liamhancy@greeneking.co.uk" xr:uid="{178D4DBB-DA25-4993-9310-D2B2B1F0E5C5}"/>
    <hyperlink ref="F2316" r:id="rId1011" display="mailto:liamhancy@greeneking.co.uk" xr:uid="{2189FB9A-12EC-4249-81C3-216040FC063B}"/>
    <hyperlink ref="F2317" r:id="rId1012" display="mailto:liamhancy@greeneking.co.uk" xr:uid="{C4F88154-853E-4630-A8C1-AAA48FA021E5}"/>
    <hyperlink ref="F2318" r:id="rId1013" display="mailto:liamhancy@greeneking.co.uk" xr:uid="{55E82EF6-3F31-4097-AD6A-1A8AE7CCF905}"/>
    <hyperlink ref="F2319" r:id="rId1014" display="mailto:liamhancy@greeneking.co.uk" xr:uid="{39469590-4F49-45E1-9DCF-D8022AAC1D63}"/>
    <hyperlink ref="F2389" r:id="rId1015" display="mailto:liamhancy@greeneking.co.uk" xr:uid="{5630EA4D-2FA7-46D1-B913-6C79822A59F6}"/>
    <hyperlink ref="F2390" r:id="rId1016" display="mailto:liamhancy@greeneking.co.uk" xr:uid="{5A1D174F-B9A3-4756-9DD9-A5B32CA1F0F7}"/>
    <hyperlink ref="F2391" r:id="rId1017" display="mailto:liamhancy@greeneking.co.uk" xr:uid="{99F8304E-CE9A-469F-8DEF-10B77BF8B160}"/>
    <hyperlink ref="F2392" r:id="rId1018" display="mailto:liamhancy@greeneking.co.uk" xr:uid="{680C89F8-FB43-466D-8B5D-87DB22B83B8F}"/>
    <hyperlink ref="F2393" r:id="rId1019" display="mailto:liamhancy@greeneking.co.uk" xr:uid="{54B623FD-0CF6-4E98-BBC0-5F2CD70CEB86}"/>
    <hyperlink ref="F2394" r:id="rId1020" display="mailto:liamhancy@greeneking.co.uk" xr:uid="{71AB3F9F-55B4-4924-AA92-BEA3F9392651}"/>
    <hyperlink ref="F2395" r:id="rId1021" display="mailto:liamhancy@greeneking.co.uk" xr:uid="{F29CDD8C-93CF-4E8A-933B-96461BE51369}"/>
    <hyperlink ref="F2396" r:id="rId1022" display="mailto:liamhancy@greeneking.co.uk" xr:uid="{4FF70100-FBDE-4B37-8831-CDA54972F172}"/>
    <hyperlink ref="F2415" r:id="rId1023" display="mailto:liamhancy@greeneking.co.uk" xr:uid="{C04FD755-3136-4F4C-B9E2-82948B787132}"/>
    <hyperlink ref="F2416" r:id="rId1024" display="mailto:liamhancy@greeneking.co.uk" xr:uid="{135DE2A9-DC48-44C6-8AAF-740709F969B2}"/>
    <hyperlink ref="F2417" r:id="rId1025" display="mailto:liamhancy@greeneking.co.uk" xr:uid="{ACA03EBB-E331-4AE9-9842-79BA5A6A2D4C}"/>
    <hyperlink ref="F2418" r:id="rId1026" display="mailto:liamhancy@greeneking.co.uk" xr:uid="{5280C718-C62C-47C7-B5A8-1470E06BC3B7}"/>
    <hyperlink ref="F2419" r:id="rId1027" display="mailto:liamhancy@greeneking.co.uk" xr:uid="{A5F79067-1D2D-4047-BAF0-38EAB1D47BF9}"/>
    <hyperlink ref="F2420" r:id="rId1028" display="mailto:liamhancy@greeneking.co.uk" xr:uid="{1F0488B1-5A2E-4929-89A1-C62675947D0E}"/>
    <hyperlink ref="F2421" r:id="rId1029" display="mailto:liamhancy@greeneking.co.uk" xr:uid="{C43EF1C1-A0BA-49B5-B143-6251C64E1301}"/>
    <hyperlink ref="F2422" r:id="rId1030" display="mailto:liamhancy@greeneking.co.uk" xr:uid="{0E488233-521E-4F26-B402-AFFF4A990736}"/>
    <hyperlink ref="F2433" r:id="rId1031" display="mailto:liamhancy@greeneking.co.uk" xr:uid="{E841A69B-FD34-4547-B9A2-B15A9899DC16}"/>
    <hyperlink ref="F2434" r:id="rId1032" display="mailto:liamhancy@greeneking.co.uk" xr:uid="{447ADA61-74B8-4CE1-9134-6BEE78673CDC}"/>
    <hyperlink ref="F2620" r:id="rId1033" display="mailto:liamhancy@greeneking.co.uk" xr:uid="{1FA8221A-A6CC-4AB9-AA72-DA5D893D2148}"/>
    <hyperlink ref="F2621" r:id="rId1034" display="mailto:liamhancy@greeneking.co.uk" xr:uid="{F9BC07A4-BA0C-49E5-B3D8-3C12A3F03A67}"/>
    <hyperlink ref="F2622" r:id="rId1035" display="mailto:liamhancy@greeneking.co.uk" xr:uid="{3382DBAA-8966-43BB-B766-D532861B84A6}"/>
    <hyperlink ref="F2623" r:id="rId1036" display="mailto:liamhancy@greeneking.co.uk" xr:uid="{46D7156E-C951-44C8-95A4-F3E4BBE58801}"/>
    <hyperlink ref="F2624" r:id="rId1037" display="mailto:liamhancy@greeneking.co.uk" xr:uid="{6E1C0AFB-95E7-4009-A58F-F4218F2C8D13}"/>
    <hyperlink ref="F2625" r:id="rId1038" display="mailto:liamhancy@greeneking.co.uk" xr:uid="{54EA4BE8-EDC1-45F2-90F3-17EDDD025A6C}"/>
    <hyperlink ref="F2626" r:id="rId1039" display="mailto:liamhancy@greeneking.co.uk" xr:uid="{12604F74-71ED-4BE9-AFD6-D56E00746623}"/>
    <hyperlink ref="F2627" r:id="rId1040" display="mailto:liamhancy@greeneking.co.uk" xr:uid="{37D0FB1C-670B-4D6D-8628-353E230691E1}"/>
    <hyperlink ref="F2628" r:id="rId1041" display="mailto:liamhancy@greeneking.co.uk" xr:uid="{D2F7EBAC-CCFB-4D42-AAAD-523E1CE6ACAA}"/>
    <hyperlink ref="F2629" r:id="rId1042" display="mailto:liamhancy@greeneking.co.uk" xr:uid="{1C98323B-3A8D-4897-AD28-D985776392C4}"/>
    <hyperlink ref="F2630" r:id="rId1043" display="mailto:liamhancy@greeneking.co.uk" xr:uid="{08CC8BB2-458E-43B8-917F-8AA3B8A50A6C}"/>
    <hyperlink ref="F2631" r:id="rId1044" display="mailto:liamhancy@greeneking.co.uk" xr:uid="{C9D0C09A-B8EA-4FA7-9563-0854B73A9AD0}"/>
    <hyperlink ref="F2632" r:id="rId1045" display="mailto:liamhancy@greeneking.co.uk" xr:uid="{AD932FAB-CB23-4588-999E-BA55E91B9C2D}"/>
    <hyperlink ref="F2633" r:id="rId1046" display="mailto:liamhancy@greeneking.co.uk" xr:uid="{DA31BAB5-3352-4E5C-864C-C085BC9C045A}"/>
    <hyperlink ref="F2634" r:id="rId1047" display="mailto:liamhancy@greeneking.co.uk" xr:uid="{F0144D31-682C-449B-8FFF-8551613FAA1B}"/>
    <hyperlink ref="F2635" r:id="rId1048" display="mailto:liamhancy@greeneking.co.uk" xr:uid="{9DE3005A-1466-4993-92AF-270B8CE9C733}"/>
    <hyperlink ref="F2636" r:id="rId1049" display="mailto:liamhancy@greeneking.co.uk" xr:uid="{DC86B732-A249-4C37-8428-7CABF61F63D6}"/>
    <hyperlink ref="F2637" r:id="rId1050" display="mailto:liamhancy@greeneking.co.uk" xr:uid="{218685A2-7D75-4DE8-A7CA-632CDDC68134}"/>
    <hyperlink ref="F2638" r:id="rId1051" display="mailto:liamhancy@greeneking.co.uk" xr:uid="{F4AC88DC-C5A3-44C8-B978-41C92FBB583F}"/>
    <hyperlink ref="F2639" r:id="rId1052" display="mailto:liamhancy@greeneking.co.uk" xr:uid="{F440A7B6-B1F0-4EEE-977E-73A1C3CCD352}"/>
    <hyperlink ref="F2640" r:id="rId1053" display="mailto:liamhancy@greeneking.co.uk" xr:uid="{3BFD4AF6-642A-40E4-99D6-EC82F77736E8}"/>
    <hyperlink ref="F2641" r:id="rId1054" display="mailto:liamhancy@greeneking.co.uk" xr:uid="{2CDD0172-9E90-4974-81E1-A8D44CF16ADD}"/>
    <hyperlink ref="F2642" r:id="rId1055" display="mailto:liamhancy@greeneking.co.uk" xr:uid="{24A9E16F-E33A-4818-81A6-2C79CD6788FE}"/>
    <hyperlink ref="F2643" r:id="rId1056" display="mailto:liamhancy@greeneking.co.uk" xr:uid="{0DCD1C90-F416-4EB6-BF9E-7B4DCC9E0FDF}"/>
    <hyperlink ref="F2644" r:id="rId1057" display="mailto:liamhancy@greeneking.co.uk" xr:uid="{6533881C-8B97-4472-8B64-737B843E4496}"/>
    <hyperlink ref="F2645" r:id="rId1058" display="mailto:liamhancy@greeneking.co.uk" xr:uid="{65F64679-749E-4C56-99FC-0E6476712777}"/>
    <hyperlink ref="F2646" r:id="rId1059" display="mailto:liamhancy@greeneking.co.uk" xr:uid="{FABDB520-CDC7-49FF-B03D-CE81BAA35C8D}"/>
    <hyperlink ref="F2647" r:id="rId1060" display="mailto:liamhancy@greeneking.co.uk" xr:uid="{6CAECDD4-A72B-44F7-B07F-3E8E57C55F5D}"/>
    <hyperlink ref="F2648" r:id="rId1061" display="mailto:liamhancy@greeneking.co.uk" xr:uid="{55C997E9-6514-4E84-879E-9E84E143ED85}"/>
    <hyperlink ref="F2706" r:id="rId1062" display="mailto:liamhancy@greeneking.co.uk" xr:uid="{A2565D30-094F-4C49-A944-8F8021EC713C}"/>
    <hyperlink ref="F2707" r:id="rId1063" display="mailto:liamhancy@greeneking.co.uk" xr:uid="{B8F58662-8FC7-46E0-ACB6-F127EF65E7AE}"/>
    <hyperlink ref="F2708" r:id="rId1064" display="mailto:liamhancy@greeneking.co.uk" xr:uid="{7192E5D1-554D-46AD-A277-7FBE3ACDED57}"/>
    <hyperlink ref="F2709" r:id="rId1065" display="mailto:liamhancy@greeneking.co.uk" xr:uid="{179022FE-F99D-412C-9D87-76B607682B28}"/>
    <hyperlink ref="F2710" r:id="rId1066" display="mailto:liamhancy@greeneking.co.uk" xr:uid="{6560F320-68D2-4D5C-A50F-0F75B9340727}"/>
    <hyperlink ref="F2711" r:id="rId1067" display="mailto:liamhancy@greeneking.co.uk" xr:uid="{836B84E2-64E6-4F1E-8B6B-82876DF7A11A}"/>
    <hyperlink ref="F2712" r:id="rId1068" display="mailto:liamhancy@greeneking.co.uk" xr:uid="{FEE792B0-1593-458B-91BA-F507C9D3A7A0}"/>
    <hyperlink ref="F2713" r:id="rId1069" display="mailto:liamhancy@greeneking.co.uk" xr:uid="{E4A778AB-F61A-4CD5-9F62-D52A987846A7}"/>
    <hyperlink ref="F2714" r:id="rId1070" display="mailto:liamhancy@greeneking.co.uk" xr:uid="{082D008B-FE8B-431A-A999-32637B25EC08}"/>
    <hyperlink ref="F2715" r:id="rId1071" display="mailto:liamhancy@greeneking.co.uk" xr:uid="{31934F14-4387-4EEE-B067-DF41FF4546A7}"/>
    <hyperlink ref="F2716" r:id="rId1072" display="mailto:liamhancy@greeneking.co.uk" xr:uid="{5B7684FD-1E3D-41A4-B581-F29CD8EBAB5A}"/>
    <hyperlink ref="F2717" r:id="rId1073" display="mailto:liamhancy@greeneking.co.uk" xr:uid="{5D968358-1D53-4863-9E10-49A23EF6F1F6}"/>
    <hyperlink ref="F2718" r:id="rId1074" display="mailto:liamhancy@greeneking.co.uk" xr:uid="{C60970B6-92FB-4F15-B9C2-11B642114966}"/>
    <hyperlink ref="F2719" r:id="rId1075" display="mailto:liamhancy@greeneking.co.uk" xr:uid="{A6F16CB7-065B-4587-B1EF-6FD4B1AE366A}"/>
    <hyperlink ref="D2720" r:id="rId1076" display="mailto:jessicagreen@greeneking.co.uk" xr:uid="{4748486A-A749-44E7-A2AF-51E54BF439D4}"/>
    <hyperlink ref="F2720" r:id="rId1077" display="mailto:liamhancy@greeneking.co.uk" xr:uid="{B1FCCEA2-196D-49BD-9186-5AAC398A7794}"/>
    <hyperlink ref="F2721" r:id="rId1078" display="mailto:liamhancy@greeneking.co.uk" xr:uid="{8FFC6E0B-9C1B-41C8-8B27-928699BFCB4D}"/>
    <hyperlink ref="F2747" r:id="rId1079" display="mailto:liamhancy@greeneking.co.uk" xr:uid="{C9DAAB5B-7922-4AEE-AD6A-21A3FC941C58}"/>
    <hyperlink ref="F2748" r:id="rId1080" display="mailto:liamhancy@greeneking.co.uk" xr:uid="{BAF1D686-2920-4CF4-BEDA-35BB8C5F8BCB}"/>
    <hyperlink ref="F2749" r:id="rId1081" display="mailto:liamhancy@greeneking.co.uk" xr:uid="{2D3FEFC6-F00E-404E-8FCA-D709CC8334FB}"/>
    <hyperlink ref="F2750" r:id="rId1082" display="mailto:liamhancy@greeneking.co.uk" xr:uid="{B67E3471-CEBA-47D3-829C-09CB368A6961}"/>
    <hyperlink ref="F2751" r:id="rId1083" display="mailto:liamhancy@greeneking.co.uk" xr:uid="{EF106E0E-A1EA-43AF-A6FC-B373C063C97A}"/>
    <hyperlink ref="F2752" r:id="rId1084" display="mailto:liamhancy@greeneking.co.uk" xr:uid="{6E3B0BD0-B944-4671-82AA-AFED9D2315F7}"/>
    <hyperlink ref="F2753" r:id="rId1085" display="mailto:liamhancy@greeneking.co.uk" xr:uid="{FCE481B9-84C6-4BC7-BE60-06B5ECD98B8B}"/>
    <hyperlink ref="F2754" r:id="rId1086" display="mailto:liamhancy@greeneking.co.uk" xr:uid="{829A19C5-250A-4D2D-B737-6D81E6AD9ED1}"/>
    <hyperlink ref="F2755" r:id="rId1087" display="mailto:liamhancy@greeneking.co.uk" xr:uid="{9D0B6BD0-9B56-4DC3-A715-EB3E3FAC91F2}"/>
    <hyperlink ref="F2756" r:id="rId1088" display="mailto:liamhancy@greeneking.co.uk" xr:uid="{18C33B24-04D4-4061-B597-FA33F466E5DA}"/>
    <hyperlink ref="F2757" r:id="rId1089" display="mailto:liamhancy@greeneking.co.uk" xr:uid="{912FC526-1679-4B1C-A719-FD48DEBEFE67}"/>
    <hyperlink ref="F2758" r:id="rId1090" display="mailto:liamhancy@greeneking.co.uk" xr:uid="{19EABCD9-3674-4ACC-97DB-140B5DE7D3A6}"/>
    <hyperlink ref="F2759" r:id="rId1091" display="mailto:liamhancy@greeneking.co.uk" xr:uid="{1882D6F9-534F-4846-B9B4-11C2EB0B84BF}"/>
    <hyperlink ref="F2760" r:id="rId1092" display="mailto:liamhancy@greeneking.co.uk" xr:uid="{36AE5C44-7DAE-4211-B6F7-983938D8F546}"/>
    <hyperlink ref="F2761" r:id="rId1093" display="mailto:liamhancy@greeneking.co.uk" xr:uid="{A28D1F24-B889-4704-9601-C7A4A92B0568}"/>
    <hyperlink ref="F2762" r:id="rId1094" display="mailto:liamhancy@greeneking.co.uk" xr:uid="{218EE217-0C05-4793-BEC8-9CDF5D1FDA30}"/>
    <hyperlink ref="F2763" r:id="rId1095" display="mailto:liamhancy@greeneking.co.uk" xr:uid="{7C3BC3E1-9626-4747-AC97-AC642AD2378F}"/>
    <hyperlink ref="F2764" r:id="rId1096" display="mailto:liamhancy@greeneking.co.uk" xr:uid="{655AD3DF-CCBB-4504-9056-67D893DC6A07}"/>
    <hyperlink ref="F2765" r:id="rId1097" display="mailto:liamhancy@greeneking.co.uk" xr:uid="{3C036A41-EC97-4AE4-A9ED-7D0571B9544C}"/>
    <hyperlink ref="F2766" r:id="rId1098" display="mailto:liamhancy@greeneking.co.uk" xr:uid="{43F21E1D-DEBE-4EE2-9751-9E9AB9E2C4EE}"/>
    <hyperlink ref="F2767" r:id="rId1099" display="mailto:liamhancy@greeneking.co.uk" xr:uid="{ADE249F8-3826-4C4A-96EC-98D3C385B072}"/>
    <hyperlink ref="F2768" r:id="rId1100" display="mailto:liamhancy@greeneking.co.uk" xr:uid="{708445C0-7708-43E9-95F5-C0E337076621}"/>
    <hyperlink ref="F2769" r:id="rId1101" display="mailto:liamhancy@greeneking.co.uk" xr:uid="{91B6E9E9-9D57-46C9-9177-EE2AB9068627}"/>
    <hyperlink ref="F2770" r:id="rId1102" display="mailto:liamhancy@greeneking.co.uk" xr:uid="{CA978F3F-8FD6-47DF-BFA3-0FD337D85F30}"/>
    <hyperlink ref="F2771" r:id="rId1103" display="mailto:liamhancy@greeneking.co.uk" xr:uid="{E8AE28CE-FBBA-48BE-AEE4-1F7562E84561}"/>
    <hyperlink ref="F2818" r:id="rId1104" display="mailto:liamhancy@greeneking.co.uk" xr:uid="{61110100-1D1C-47DD-AC51-A2115450B432}"/>
    <hyperlink ref="F2819" r:id="rId1105" display="mailto:liamhancy@greeneking.co.uk" xr:uid="{A5B790D9-EA84-449C-8B45-A31629054955}"/>
    <hyperlink ref="F2820" r:id="rId1106" display="mailto:liamhancy@greeneking.co.uk" xr:uid="{73EC16B5-675D-4BA4-9C26-F0E85ACE7DCD}"/>
    <hyperlink ref="F2821" r:id="rId1107" display="mailto:liamhancy@greeneking.co.uk" xr:uid="{DDADA9FF-A543-412C-83D9-6C54F82E8BF1}"/>
    <hyperlink ref="F2822" r:id="rId1108" display="mailto:liamhancy@greeneking.co.uk" xr:uid="{B67DAD61-4567-4D23-8754-6CCD23F835D5}"/>
    <hyperlink ref="F2823" r:id="rId1109" display="mailto:liamhancy@greeneking.co.uk" xr:uid="{E14D7A92-E82D-4A45-B1BA-EDCF5676E78F}"/>
    <hyperlink ref="F2824" r:id="rId1110" display="mailto:liamhancy@greeneking.co.uk" xr:uid="{B7A86B3C-C486-4EDC-803E-75B6BB5CEE5C}"/>
    <hyperlink ref="F2825" r:id="rId1111" display="mailto:liamhancy@greeneking.co.uk" xr:uid="{6FA508D2-D2EB-494D-B976-CCA0CFF94FE5}"/>
    <hyperlink ref="F2826" r:id="rId1112" display="mailto:liamhancy@greeneking.co.uk" xr:uid="{1EF87D52-18F5-4F8C-BB59-D7D7ADF75105}"/>
    <hyperlink ref="F2827" r:id="rId1113" display="mailto:liamhancy@greeneking.co.uk" xr:uid="{35E61082-EFB6-4728-B6C7-3961243A8116}"/>
    <hyperlink ref="F2828" r:id="rId1114" display="mailto:liamhancy@greeneking.co.uk" xr:uid="{EB495734-1206-4EB3-8672-450CB81A4C42}"/>
    <hyperlink ref="F2829" r:id="rId1115" display="mailto:liamhancy@greeneking.co.uk" xr:uid="{5D9A3E1E-3583-499E-884F-FF7B40FF6EB9}"/>
    <hyperlink ref="F2830" r:id="rId1116" display="mailto:liamhancy@greeneking.co.uk" xr:uid="{BA4E66BD-94B8-4A44-8DD2-44861CDCBC7A}"/>
    <hyperlink ref="F2831" r:id="rId1117" display="mailto:liamhancy@greeneking.co.uk" xr:uid="{23FF576A-959D-44C5-BA6C-7EDBD754D153}"/>
    <hyperlink ref="F2832" r:id="rId1118" display="mailto:liamhancy@greeneking.co.uk" xr:uid="{CF706687-187F-4C17-AFE5-817388FE698E}"/>
    <hyperlink ref="F2833" r:id="rId1119" display="mailto:liamhancy@greeneking.co.uk" xr:uid="{8ECDC215-7C0B-4BE0-BD9E-B5930A9D2A60}"/>
    <hyperlink ref="F2834" r:id="rId1120" display="mailto:liamhancy@greeneking.co.uk" xr:uid="{9281CC17-4158-48B2-87CF-60FA97C5D43B}"/>
    <hyperlink ref="F2835" r:id="rId1121" display="mailto:liamhancy@greeneking.co.uk" xr:uid="{41B48F16-EFCF-48CD-B475-9969E41A6A46}"/>
    <hyperlink ref="F2836" r:id="rId1122" display="mailto:liamhancy@greeneking.co.uk" xr:uid="{DD583C17-3959-457D-84E9-756A6F8AF3B4}"/>
    <hyperlink ref="F2837" r:id="rId1123" display="mailto:liamhancy@greeneking.co.uk" xr:uid="{D4D328B9-1A6F-497D-BDA7-BF0EDB4B359B}"/>
    <hyperlink ref="F2838" r:id="rId1124" display="mailto:liamhancy@greeneking.co.uk" xr:uid="{CE5BD1EC-0809-4B09-B329-8C1B3278784D}"/>
    <hyperlink ref="F2839" r:id="rId1125" display="mailto:liamhancy@greeneking.co.uk" xr:uid="{93E0762D-C1D2-49C3-B491-932E4327C97A}"/>
    <hyperlink ref="F2840" r:id="rId1126" display="mailto:liamhancy@greeneking.co.uk" xr:uid="{B7F4A473-99BF-4B78-9B6D-F4C47982F4D4}"/>
    <hyperlink ref="F2841" r:id="rId1127" display="mailto:liamhancy@greeneking.co.uk" xr:uid="{68D0CF63-EBB7-4385-9E91-6C90ED370669}"/>
    <hyperlink ref="F2842" r:id="rId1128" display="mailto:liamhancy@greeneking.co.uk" xr:uid="{FF7DF9E2-C764-42A5-98A1-732B7AC98C1C}"/>
    <hyperlink ref="F2843" r:id="rId1129" display="mailto:liamhancy@greeneking.co.uk" xr:uid="{5BF92F61-6BFE-4204-AA88-CA1DF0301E9A}"/>
    <hyperlink ref="F2844" r:id="rId1130" display="mailto:liamhancy@greeneking.co.uk" xr:uid="{FB6DEF83-603D-4AD7-8FFE-8DFA8F58CC73}"/>
    <hyperlink ref="F2845" r:id="rId1131" display="mailto:liamhancy@greeneking.co.uk" xr:uid="{02C694F2-47DD-4B1F-867F-02AA2FBEAA61}"/>
    <hyperlink ref="F2846" r:id="rId1132" display="mailto:liamhancy@greeneking.co.uk" xr:uid="{206F4796-5B04-4168-8309-6120BC6F018E}"/>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348353-85A4-4FDF-82E2-121E270FFBE2}">
  <sheetPr>
    <tabColor rgb="FFFF0000"/>
  </sheetPr>
  <dimension ref="A1"/>
  <sheetViews>
    <sheetView workbookViewId="0">
      <selection activeCell="D44" sqref="D44"/>
    </sheetView>
  </sheetViews>
  <sheetFormatPr defaultRowHeight="15" x14ac:dyDescent="0.25"/>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EB641E-06E5-4AE5-B30B-5E795DD16E7F}">
  <dimension ref="A1:I97"/>
  <sheetViews>
    <sheetView workbookViewId="0">
      <selection activeCell="C8" sqref="C8"/>
    </sheetView>
  </sheetViews>
  <sheetFormatPr defaultRowHeight="15" x14ac:dyDescent="0.25"/>
  <cols>
    <col min="1" max="1" width="19.42578125" style="3" bestFit="1" customWidth="1"/>
    <col min="2" max="2" width="30.85546875" style="3" bestFit="1" customWidth="1"/>
    <col min="3" max="3" width="12.140625" style="3" bestFit="1" customWidth="1"/>
    <col min="4" max="4" width="12.140625" style="3" customWidth="1"/>
    <col min="5" max="5" width="20.140625" style="3" bestFit="1" customWidth="1"/>
    <col min="6" max="6" width="11.5703125" style="3" bestFit="1" customWidth="1"/>
    <col min="7" max="7" width="37.140625" style="3" bestFit="1" customWidth="1"/>
    <col min="8" max="8" width="18" style="3" bestFit="1" customWidth="1"/>
    <col min="9" max="9" width="62.140625" style="4" bestFit="1" customWidth="1"/>
    <col min="10" max="16384" width="9.140625" style="3"/>
  </cols>
  <sheetData>
    <row r="1" spans="1:9" x14ac:dyDescent="0.25">
      <c r="A1" s="7" t="s">
        <v>657</v>
      </c>
      <c r="B1" s="7" t="s">
        <v>658</v>
      </c>
      <c r="C1" s="7" t="s">
        <v>654</v>
      </c>
      <c r="D1" s="7" t="s">
        <v>6232</v>
      </c>
      <c r="E1" s="7" t="s">
        <v>659</v>
      </c>
      <c r="F1" s="7" t="s">
        <v>470</v>
      </c>
      <c r="G1" s="7" t="s">
        <v>660</v>
      </c>
      <c r="H1" s="7" t="s">
        <v>661</v>
      </c>
      <c r="I1" s="8" t="s">
        <v>478</v>
      </c>
    </row>
    <row r="2" spans="1:9" x14ac:dyDescent="0.25">
      <c r="A2" s="9" t="s">
        <v>254</v>
      </c>
      <c r="B2" s="6" t="s">
        <v>662</v>
      </c>
      <c r="C2" s="6" t="s">
        <v>663</v>
      </c>
      <c r="D2" s="6" t="str">
        <f t="shared" ref="D2:D33" si="0">_xlfn.TEXTBEFORE(C2, " ")</f>
        <v>nr13</v>
      </c>
      <c r="E2" s="6"/>
      <c r="F2" s="6"/>
      <c r="G2" s="6"/>
      <c r="H2" s="6"/>
      <c r="I2" s="5" t="s">
        <v>664</v>
      </c>
    </row>
    <row r="3" spans="1:9" x14ac:dyDescent="0.25">
      <c r="A3" s="9" t="s">
        <v>254</v>
      </c>
      <c r="B3" s="10" t="s">
        <v>665</v>
      </c>
      <c r="C3" s="10" t="s">
        <v>666</v>
      </c>
      <c r="D3" s="6" t="str">
        <f t="shared" si="0"/>
        <v>nr33</v>
      </c>
      <c r="E3" s="10"/>
      <c r="F3" s="10"/>
      <c r="G3" s="10"/>
      <c r="H3" s="10"/>
      <c r="I3" s="11" t="s">
        <v>667</v>
      </c>
    </row>
    <row r="4" spans="1:9" x14ac:dyDescent="0.25">
      <c r="A4" s="9" t="s">
        <v>254</v>
      </c>
      <c r="B4" s="6" t="s">
        <v>668</v>
      </c>
      <c r="C4" s="6" t="s">
        <v>669</v>
      </c>
      <c r="D4" s="6" t="str">
        <f t="shared" si="0"/>
        <v>nr2</v>
      </c>
      <c r="E4" s="6"/>
      <c r="F4" s="6"/>
      <c r="G4" s="6"/>
      <c r="H4" s="6"/>
      <c r="I4" s="5" t="s">
        <v>670</v>
      </c>
    </row>
    <row r="5" spans="1:9" x14ac:dyDescent="0.25">
      <c r="A5" s="9" t="s">
        <v>254</v>
      </c>
      <c r="B5" s="6" t="s">
        <v>671</v>
      </c>
      <c r="C5" s="6" t="s">
        <v>672</v>
      </c>
      <c r="D5" s="6" t="str">
        <f t="shared" si="0"/>
        <v>nr2</v>
      </c>
      <c r="E5" s="6"/>
      <c r="F5" s="6"/>
      <c r="G5" s="6"/>
      <c r="H5" s="6"/>
      <c r="I5" s="5" t="s">
        <v>670</v>
      </c>
    </row>
    <row r="6" spans="1:9" ht="17.25" x14ac:dyDescent="0.25">
      <c r="A6" s="9" t="s">
        <v>254</v>
      </c>
      <c r="B6" s="10" t="s">
        <v>673</v>
      </c>
      <c r="C6" s="12" t="s">
        <v>674</v>
      </c>
      <c r="D6" s="6" t="str">
        <f t="shared" si="0"/>
        <v>NR13</v>
      </c>
      <c r="E6" s="10"/>
      <c r="F6" s="12"/>
      <c r="G6" s="12"/>
      <c r="H6" s="12"/>
      <c r="I6" s="11" t="s">
        <v>675</v>
      </c>
    </row>
    <row r="7" spans="1:9" ht="17.25" x14ac:dyDescent="0.25">
      <c r="A7" s="9" t="s">
        <v>254</v>
      </c>
      <c r="B7" s="6" t="s">
        <v>676</v>
      </c>
      <c r="C7" s="13" t="s">
        <v>253</v>
      </c>
      <c r="D7" s="6" t="str">
        <f t="shared" si="0"/>
        <v>NR7</v>
      </c>
      <c r="E7" s="6"/>
      <c r="F7" s="13"/>
      <c r="G7" s="13"/>
      <c r="H7" s="13"/>
      <c r="I7" s="5" t="s">
        <v>677</v>
      </c>
    </row>
    <row r="8" spans="1:9" ht="17.25" x14ac:dyDescent="0.25">
      <c r="A8" s="9" t="s">
        <v>254</v>
      </c>
      <c r="B8" s="6" t="s">
        <v>678</v>
      </c>
      <c r="C8" s="13" t="s">
        <v>679</v>
      </c>
      <c r="D8" s="6" t="str">
        <f t="shared" si="0"/>
        <v>NR13</v>
      </c>
      <c r="E8" s="6"/>
      <c r="F8" s="13"/>
      <c r="G8" s="13"/>
      <c r="H8" s="13"/>
      <c r="I8" s="5" t="s">
        <v>680</v>
      </c>
    </row>
    <row r="9" spans="1:9" x14ac:dyDescent="0.25">
      <c r="A9" s="9" t="s">
        <v>125</v>
      </c>
      <c r="B9" s="10" t="s">
        <v>681</v>
      </c>
      <c r="C9" s="14" t="s">
        <v>682</v>
      </c>
      <c r="D9" s="6" t="str">
        <f t="shared" si="0"/>
        <v>NR34</v>
      </c>
      <c r="E9" s="10"/>
      <c r="F9" s="14" t="s">
        <v>475</v>
      </c>
      <c r="G9" s="14"/>
      <c r="H9" s="14"/>
      <c r="I9" s="11" t="s">
        <v>683</v>
      </c>
    </row>
    <row r="10" spans="1:9" ht="30" x14ac:dyDescent="0.25">
      <c r="A10" s="9" t="s">
        <v>125</v>
      </c>
      <c r="B10" s="6" t="s">
        <v>684</v>
      </c>
      <c r="C10" s="6" t="s">
        <v>685</v>
      </c>
      <c r="D10" s="6" t="str">
        <f t="shared" si="0"/>
        <v>nr34</v>
      </c>
      <c r="E10" s="6" t="s">
        <v>286</v>
      </c>
      <c r="F10" s="15" t="s">
        <v>475</v>
      </c>
      <c r="G10" s="15"/>
      <c r="H10" s="15"/>
      <c r="I10" s="5" t="s">
        <v>686</v>
      </c>
    </row>
    <row r="11" spans="1:9" ht="30" x14ac:dyDescent="0.25">
      <c r="A11" s="9" t="s">
        <v>125</v>
      </c>
      <c r="B11" s="6" t="s">
        <v>687</v>
      </c>
      <c r="C11" s="6" t="s">
        <v>688</v>
      </c>
      <c r="D11" s="6" t="str">
        <f t="shared" si="0"/>
        <v>nr33</v>
      </c>
      <c r="E11" s="6" t="s">
        <v>689</v>
      </c>
      <c r="F11" s="15" t="s">
        <v>475</v>
      </c>
      <c r="G11" s="15"/>
      <c r="H11" s="15"/>
      <c r="I11" s="5" t="s">
        <v>690</v>
      </c>
    </row>
    <row r="12" spans="1:9" x14ac:dyDescent="0.25">
      <c r="A12" s="9" t="s">
        <v>125</v>
      </c>
      <c r="B12" s="6" t="s">
        <v>691</v>
      </c>
      <c r="C12" s="6" t="s">
        <v>692</v>
      </c>
      <c r="D12" s="6" t="str">
        <f t="shared" si="0"/>
        <v>nr33</v>
      </c>
      <c r="E12" s="6"/>
      <c r="F12" s="15" t="s">
        <v>475</v>
      </c>
      <c r="G12" s="15"/>
      <c r="H12" s="15"/>
      <c r="I12" s="5" t="s">
        <v>693</v>
      </c>
    </row>
    <row r="13" spans="1:9" x14ac:dyDescent="0.25">
      <c r="A13" s="9" t="s">
        <v>125</v>
      </c>
      <c r="B13" s="6" t="s">
        <v>694</v>
      </c>
      <c r="C13" s="6" t="s">
        <v>695</v>
      </c>
      <c r="D13" s="6" t="str">
        <f t="shared" si="0"/>
        <v>nr33</v>
      </c>
      <c r="E13" s="6" t="s">
        <v>696</v>
      </c>
      <c r="F13" s="15" t="s">
        <v>475</v>
      </c>
      <c r="G13" s="15"/>
      <c r="H13" s="15"/>
      <c r="I13" s="5" t="s">
        <v>697</v>
      </c>
    </row>
    <row r="14" spans="1:9" x14ac:dyDescent="0.25">
      <c r="A14" s="9" t="s">
        <v>125</v>
      </c>
      <c r="B14" s="6" t="s">
        <v>698</v>
      </c>
      <c r="C14" s="16" t="s">
        <v>269</v>
      </c>
      <c r="D14" s="6" t="str">
        <f t="shared" si="0"/>
        <v>NR33</v>
      </c>
      <c r="E14" s="6" t="s">
        <v>699</v>
      </c>
      <c r="F14" s="15" t="s">
        <v>475</v>
      </c>
      <c r="G14" s="15"/>
      <c r="H14" s="15"/>
      <c r="I14" s="5" t="s">
        <v>700</v>
      </c>
    </row>
    <row r="15" spans="1:9" x14ac:dyDescent="0.25">
      <c r="A15" s="9" t="s">
        <v>125</v>
      </c>
      <c r="B15" s="10" t="s">
        <v>701</v>
      </c>
      <c r="C15" s="14" t="s">
        <v>271</v>
      </c>
      <c r="D15" s="6" t="str">
        <f t="shared" si="0"/>
        <v>NR32</v>
      </c>
      <c r="E15" s="10" t="s">
        <v>702</v>
      </c>
      <c r="F15" s="14" t="s">
        <v>475</v>
      </c>
      <c r="G15" s="14"/>
      <c r="H15" s="14"/>
      <c r="I15" s="11" t="s">
        <v>703</v>
      </c>
    </row>
    <row r="16" spans="1:9" ht="30" x14ac:dyDescent="0.25">
      <c r="A16" s="9" t="s">
        <v>125</v>
      </c>
      <c r="B16" s="6" t="s">
        <v>499</v>
      </c>
      <c r="C16" s="15" t="s">
        <v>294</v>
      </c>
      <c r="D16" s="6" t="str">
        <f t="shared" si="0"/>
        <v>IP13</v>
      </c>
      <c r="E16" s="6" t="s">
        <v>704</v>
      </c>
      <c r="F16" s="15" t="s">
        <v>475</v>
      </c>
      <c r="G16" s="15"/>
      <c r="H16" s="15"/>
      <c r="I16" s="5" t="s">
        <v>705</v>
      </c>
    </row>
    <row r="17" spans="1:9" x14ac:dyDescent="0.25">
      <c r="A17" s="9" t="s">
        <v>125</v>
      </c>
      <c r="B17" s="6" t="s">
        <v>325</v>
      </c>
      <c r="C17" s="15" t="s">
        <v>326</v>
      </c>
      <c r="D17" s="6" t="str">
        <f t="shared" si="0"/>
        <v>NR32</v>
      </c>
      <c r="E17" s="6" t="s">
        <v>706</v>
      </c>
      <c r="F17" s="15" t="s">
        <v>7</v>
      </c>
      <c r="G17" s="15"/>
      <c r="H17" s="15"/>
      <c r="I17" s="5"/>
    </row>
    <row r="18" spans="1:9" ht="30.75" x14ac:dyDescent="0.25">
      <c r="A18" s="17" t="s">
        <v>707</v>
      </c>
      <c r="B18" s="18" t="s">
        <v>708</v>
      </c>
      <c r="C18" s="6" t="s">
        <v>709</v>
      </c>
      <c r="D18" s="6" t="str">
        <f t="shared" si="0"/>
        <v>NR2</v>
      </c>
      <c r="E18" s="19" t="s">
        <v>710</v>
      </c>
      <c r="F18" s="6" t="s">
        <v>646</v>
      </c>
      <c r="G18" s="20" t="s">
        <v>711</v>
      </c>
      <c r="H18" s="21" t="s">
        <v>712</v>
      </c>
      <c r="I18" s="22" t="s">
        <v>713</v>
      </c>
    </row>
    <row r="19" spans="1:9" ht="15.75" x14ac:dyDescent="0.25">
      <c r="A19" s="17" t="s">
        <v>707</v>
      </c>
      <c r="B19" s="18" t="s">
        <v>714</v>
      </c>
      <c r="C19" s="6" t="s">
        <v>715</v>
      </c>
      <c r="D19" s="6" t="str">
        <f t="shared" si="0"/>
        <v>nr2</v>
      </c>
      <c r="E19" s="19" t="s">
        <v>710</v>
      </c>
      <c r="F19" s="6"/>
      <c r="G19" s="20"/>
      <c r="H19" s="23"/>
      <c r="I19" s="22"/>
    </row>
    <row r="20" spans="1:9" ht="15.75" x14ac:dyDescent="0.25">
      <c r="A20" s="17" t="s">
        <v>707</v>
      </c>
      <c r="B20" s="18" t="s">
        <v>716</v>
      </c>
      <c r="C20" s="6" t="s">
        <v>717</v>
      </c>
      <c r="D20" s="6" t="str">
        <f t="shared" si="0"/>
        <v>nr11</v>
      </c>
      <c r="E20" s="19" t="s">
        <v>710</v>
      </c>
      <c r="F20" s="6"/>
      <c r="G20" s="20"/>
      <c r="H20" s="24" t="s">
        <v>718</v>
      </c>
      <c r="I20" s="22"/>
    </row>
    <row r="21" spans="1:9" ht="15.75" x14ac:dyDescent="0.25">
      <c r="A21" s="17" t="s">
        <v>707</v>
      </c>
      <c r="B21" s="18" t="s">
        <v>407</v>
      </c>
      <c r="C21" s="6" t="s">
        <v>719</v>
      </c>
      <c r="D21" s="6" t="str">
        <f t="shared" si="0"/>
        <v>nr7</v>
      </c>
      <c r="E21" s="19" t="s">
        <v>710</v>
      </c>
      <c r="F21" s="6"/>
      <c r="G21" s="172"/>
      <c r="H21" s="169">
        <v>1603426802</v>
      </c>
      <c r="I21" s="22"/>
    </row>
    <row r="22" spans="1:9" ht="15.75" x14ac:dyDescent="0.25">
      <c r="A22" s="17" t="s">
        <v>707</v>
      </c>
      <c r="B22" s="18" t="s">
        <v>720</v>
      </c>
      <c r="C22" s="6" t="s">
        <v>721</v>
      </c>
      <c r="D22" s="6" t="str">
        <f t="shared" si="0"/>
        <v>nr13</v>
      </c>
      <c r="E22" s="19" t="s">
        <v>710</v>
      </c>
      <c r="F22" s="6"/>
      <c r="G22" s="20"/>
      <c r="H22" s="24" t="s">
        <v>722</v>
      </c>
      <c r="I22" s="22"/>
    </row>
    <row r="23" spans="1:9" ht="15.75" x14ac:dyDescent="0.25">
      <c r="A23" s="17" t="s">
        <v>707</v>
      </c>
      <c r="B23" s="18" t="s">
        <v>413</v>
      </c>
      <c r="C23" s="6" t="s">
        <v>723</v>
      </c>
      <c r="D23" s="6" t="str">
        <f t="shared" si="0"/>
        <v>nr29</v>
      </c>
      <c r="E23" s="19" t="s">
        <v>710</v>
      </c>
      <c r="F23" s="6"/>
      <c r="G23" s="20"/>
      <c r="H23" s="24" t="s">
        <v>724</v>
      </c>
      <c r="I23" s="22"/>
    </row>
    <row r="24" spans="1:9" ht="15.75" x14ac:dyDescent="0.25">
      <c r="A24" s="17" t="s">
        <v>707</v>
      </c>
      <c r="B24" s="167" t="s">
        <v>257</v>
      </c>
      <c r="C24" s="6" t="s">
        <v>725</v>
      </c>
      <c r="D24" s="6" t="str">
        <f t="shared" si="0"/>
        <v>nr1</v>
      </c>
      <c r="E24" s="170" t="s">
        <v>710</v>
      </c>
      <c r="F24" s="6"/>
      <c r="G24" s="172"/>
      <c r="H24" s="169">
        <v>1603477077</v>
      </c>
      <c r="I24" s="22"/>
    </row>
    <row r="25" spans="1:9" ht="15.75" x14ac:dyDescent="0.25">
      <c r="A25" s="17" t="s">
        <v>707</v>
      </c>
      <c r="B25" s="18" t="s">
        <v>726</v>
      </c>
      <c r="C25" s="6" t="s">
        <v>727</v>
      </c>
      <c r="D25" s="6" t="str">
        <f t="shared" si="0"/>
        <v>nr15</v>
      </c>
      <c r="E25" s="19" t="s">
        <v>710</v>
      </c>
      <c r="F25" s="6"/>
      <c r="G25" s="20"/>
      <c r="H25" s="24" t="s">
        <v>728</v>
      </c>
      <c r="I25" s="22"/>
    </row>
    <row r="26" spans="1:9" ht="15.75" x14ac:dyDescent="0.25">
      <c r="A26" s="17" t="s">
        <v>707</v>
      </c>
      <c r="B26" s="18" t="s">
        <v>729</v>
      </c>
      <c r="C26" s="6" t="s">
        <v>730</v>
      </c>
      <c r="D26" s="6" t="str">
        <f t="shared" si="0"/>
        <v>nr26</v>
      </c>
      <c r="E26" s="19" t="s">
        <v>710</v>
      </c>
      <c r="F26" s="6"/>
      <c r="G26" s="20"/>
      <c r="H26" s="24" t="s">
        <v>731</v>
      </c>
      <c r="I26" s="22"/>
    </row>
    <row r="27" spans="1:9" ht="15.75" x14ac:dyDescent="0.25">
      <c r="A27" s="17" t="s">
        <v>707</v>
      </c>
      <c r="B27" s="18" t="s">
        <v>732</v>
      </c>
      <c r="C27" s="6" t="s">
        <v>733</v>
      </c>
      <c r="D27" s="6" t="str">
        <f t="shared" si="0"/>
        <v>nr29</v>
      </c>
      <c r="E27" s="19" t="s">
        <v>710</v>
      </c>
      <c r="F27" s="6"/>
      <c r="G27" s="20"/>
      <c r="H27" s="24" t="s">
        <v>734</v>
      </c>
      <c r="I27" s="22"/>
    </row>
    <row r="28" spans="1:9" ht="15.75" x14ac:dyDescent="0.25">
      <c r="A28" s="17" t="s">
        <v>707</v>
      </c>
      <c r="B28" s="18" t="s">
        <v>735</v>
      </c>
      <c r="C28" s="6" t="s">
        <v>736</v>
      </c>
      <c r="D28" s="6" t="str">
        <f t="shared" si="0"/>
        <v>nr29</v>
      </c>
      <c r="E28" s="19" t="s">
        <v>710</v>
      </c>
      <c r="F28" s="6"/>
      <c r="G28" s="20"/>
      <c r="H28" s="23"/>
      <c r="I28" s="22"/>
    </row>
    <row r="29" spans="1:9" ht="15.75" x14ac:dyDescent="0.25">
      <c r="A29" s="17" t="s">
        <v>707</v>
      </c>
      <c r="B29" s="18" t="s">
        <v>737</v>
      </c>
      <c r="C29" s="6" t="s">
        <v>738</v>
      </c>
      <c r="D29" s="6" t="str">
        <f t="shared" si="0"/>
        <v>nr4</v>
      </c>
      <c r="E29" s="19" t="s">
        <v>710</v>
      </c>
      <c r="F29" s="6"/>
      <c r="G29" s="20"/>
      <c r="H29" s="24" t="s">
        <v>739</v>
      </c>
      <c r="I29" s="22"/>
    </row>
    <row r="30" spans="1:9" ht="15.75" x14ac:dyDescent="0.25">
      <c r="A30" s="17" t="s">
        <v>707</v>
      </c>
      <c r="B30" s="18" t="s">
        <v>740</v>
      </c>
      <c r="C30" s="24" t="s">
        <v>741</v>
      </c>
      <c r="D30" s="6" t="str">
        <f t="shared" si="0"/>
        <v>NR30</v>
      </c>
      <c r="E30" s="19" t="s">
        <v>710</v>
      </c>
      <c r="F30" s="6"/>
      <c r="G30" s="20"/>
      <c r="H30" s="24" t="s">
        <v>742</v>
      </c>
      <c r="I30" s="22"/>
    </row>
    <row r="31" spans="1:9" ht="15.75" x14ac:dyDescent="0.25">
      <c r="A31" s="17" t="s">
        <v>707</v>
      </c>
      <c r="B31" s="18" t="s">
        <v>743</v>
      </c>
      <c r="C31" s="24" t="s">
        <v>744</v>
      </c>
      <c r="D31" s="6" t="str">
        <f t="shared" si="0"/>
        <v>NR2</v>
      </c>
      <c r="E31" s="19" t="s">
        <v>710</v>
      </c>
      <c r="F31" s="6"/>
      <c r="G31" s="20"/>
      <c r="H31" s="24">
        <v>1603617841</v>
      </c>
      <c r="I31" s="22"/>
    </row>
    <row r="32" spans="1:9" ht="15.75" x14ac:dyDescent="0.25">
      <c r="A32" s="17" t="s">
        <v>707</v>
      </c>
      <c r="B32" s="18" t="s">
        <v>745</v>
      </c>
      <c r="C32" s="24" t="s">
        <v>746</v>
      </c>
      <c r="D32" s="6" t="str">
        <f t="shared" si="0"/>
        <v>NR9</v>
      </c>
      <c r="E32" s="19" t="s">
        <v>710</v>
      </c>
      <c r="F32" s="6"/>
      <c r="G32" s="172"/>
      <c r="H32" s="175"/>
      <c r="I32" s="22"/>
    </row>
    <row r="33" spans="1:9" ht="15.75" x14ac:dyDescent="0.25">
      <c r="A33" s="17" t="s">
        <v>707</v>
      </c>
      <c r="B33" s="18" t="s">
        <v>637</v>
      </c>
      <c r="C33" s="24" t="s">
        <v>747</v>
      </c>
      <c r="D33" s="6" t="str">
        <f t="shared" si="0"/>
        <v>NR30</v>
      </c>
      <c r="E33" s="19" t="s">
        <v>710</v>
      </c>
      <c r="F33" s="6"/>
      <c r="G33" s="20"/>
      <c r="H33" s="23"/>
      <c r="I33" s="22"/>
    </row>
    <row r="34" spans="1:9" ht="15.75" x14ac:dyDescent="0.25">
      <c r="A34" s="17" t="s">
        <v>707</v>
      </c>
      <c r="B34" s="18" t="s">
        <v>748</v>
      </c>
      <c r="C34" s="24" t="s">
        <v>749</v>
      </c>
      <c r="D34" s="6" t="str">
        <f t="shared" ref="D34:D65" si="1">_xlfn.TEXTBEFORE(C34, " ")</f>
        <v>NR9</v>
      </c>
      <c r="E34" s="19" t="s">
        <v>710</v>
      </c>
      <c r="F34" s="6"/>
      <c r="G34" s="172"/>
      <c r="H34" s="169" t="s">
        <v>750</v>
      </c>
      <c r="I34" s="22"/>
    </row>
    <row r="35" spans="1:9" ht="15.75" x14ac:dyDescent="0.25">
      <c r="A35" s="17" t="s">
        <v>707</v>
      </c>
      <c r="B35" s="18" t="s">
        <v>751</v>
      </c>
      <c r="C35" s="24" t="s">
        <v>191</v>
      </c>
      <c r="D35" s="6" t="str">
        <f t="shared" si="1"/>
        <v>NR14</v>
      </c>
      <c r="E35" s="19" t="s">
        <v>710</v>
      </c>
      <c r="F35" s="6"/>
      <c r="G35" s="20"/>
      <c r="H35" s="24" t="s">
        <v>752</v>
      </c>
      <c r="I35" s="22"/>
    </row>
    <row r="36" spans="1:9" ht="15.75" x14ac:dyDescent="0.25">
      <c r="A36" s="17" t="s">
        <v>707</v>
      </c>
      <c r="B36" s="18" t="s">
        <v>753</v>
      </c>
      <c r="C36" s="169" t="s">
        <v>411</v>
      </c>
      <c r="D36" s="6" t="str">
        <f t="shared" si="1"/>
        <v>NR12</v>
      </c>
      <c r="E36" s="19" t="s">
        <v>710</v>
      </c>
      <c r="F36" s="6"/>
      <c r="G36" s="20"/>
      <c r="H36" s="24" t="s">
        <v>754</v>
      </c>
      <c r="I36" s="22"/>
    </row>
    <row r="37" spans="1:9" ht="15.75" x14ac:dyDescent="0.25">
      <c r="A37" s="17" t="s">
        <v>707</v>
      </c>
      <c r="B37" s="18" t="s">
        <v>755</v>
      </c>
      <c r="C37" s="24" t="s">
        <v>385</v>
      </c>
      <c r="D37" s="6" t="str">
        <f t="shared" si="1"/>
        <v>NR27</v>
      </c>
      <c r="E37" s="19" t="s">
        <v>710</v>
      </c>
      <c r="F37" s="6"/>
      <c r="G37" s="20"/>
      <c r="H37" s="24" t="s">
        <v>756</v>
      </c>
      <c r="I37" s="22"/>
    </row>
    <row r="38" spans="1:9" ht="15.75" x14ac:dyDescent="0.25">
      <c r="A38" s="17" t="s">
        <v>707</v>
      </c>
      <c r="B38" s="18" t="s">
        <v>757</v>
      </c>
      <c r="C38" s="24" t="s">
        <v>758</v>
      </c>
      <c r="D38" s="6" t="str">
        <f t="shared" si="1"/>
        <v>NR30</v>
      </c>
      <c r="E38" s="19" t="s">
        <v>710</v>
      </c>
      <c r="F38" s="6"/>
      <c r="G38" s="20"/>
      <c r="H38" s="24"/>
      <c r="I38" s="22"/>
    </row>
    <row r="39" spans="1:9" ht="15.75" x14ac:dyDescent="0.25">
      <c r="A39" s="17" t="s">
        <v>707</v>
      </c>
      <c r="B39" s="18" t="s">
        <v>759</v>
      </c>
      <c r="C39" s="24" t="s">
        <v>426</v>
      </c>
      <c r="D39" s="6" t="str">
        <f t="shared" si="1"/>
        <v>NR9</v>
      </c>
      <c r="E39" s="19" t="s">
        <v>710</v>
      </c>
      <c r="F39" s="6"/>
      <c r="G39" s="20"/>
      <c r="H39" s="24" t="s">
        <v>760</v>
      </c>
      <c r="I39" s="22"/>
    </row>
    <row r="40" spans="1:9" ht="15.75" x14ac:dyDescent="0.25">
      <c r="A40" s="17" t="s">
        <v>707</v>
      </c>
      <c r="B40" s="18" t="s">
        <v>761</v>
      </c>
      <c r="C40" s="24" t="s">
        <v>762</v>
      </c>
      <c r="D40" s="6" t="str">
        <f t="shared" si="1"/>
        <v>NR31</v>
      </c>
      <c r="E40" s="19" t="s">
        <v>710</v>
      </c>
      <c r="F40" s="6"/>
      <c r="G40" s="20"/>
      <c r="H40" s="24" t="s">
        <v>763</v>
      </c>
      <c r="I40" s="22"/>
    </row>
    <row r="41" spans="1:9" ht="15.75" x14ac:dyDescent="0.25">
      <c r="A41" s="17" t="s">
        <v>707</v>
      </c>
      <c r="B41" s="18" t="s">
        <v>764</v>
      </c>
      <c r="C41" s="24" t="s">
        <v>765</v>
      </c>
      <c r="D41" s="6" t="str">
        <f t="shared" si="1"/>
        <v>NR30</v>
      </c>
      <c r="E41" s="19" t="s">
        <v>710</v>
      </c>
      <c r="F41" s="6"/>
      <c r="G41" s="20"/>
      <c r="H41" s="24"/>
      <c r="I41" s="22"/>
    </row>
    <row r="42" spans="1:9" ht="15.75" x14ac:dyDescent="0.25">
      <c r="A42" s="17" t="s">
        <v>707</v>
      </c>
      <c r="B42" s="18" t="s">
        <v>766</v>
      </c>
      <c r="C42" s="24" t="s">
        <v>767</v>
      </c>
      <c r="D42" s="6" t="str">
        <f t="shared" si="1"/>
        <v>NR30</v>
      </c>
      <c r="E42" s="19" t="s">
        <v>710</v>
      </c>
      <c r="F42" s="6"/>
      <c r="G42" s="20"/>
      <c r="H42" s="24" t="s">
        <v>768</v>
      </c>
      <c r="I42" s="22"/>
    </row>
    <row r="43" spans="1:9" ht="15.75" x14ac:dyDescent="0.25">
      <c r="A43" s="17" t="s">
        <v>707</v>
      </c>
      <c r="B43" s="18" t="s">
        <v>298</v>
      </c>
      <c r="C43" s="24" t="s">
        <v>769</v>
      </c>
      <c r="D43" s="6" t="str">
        <f t="shared" si="1"/>
        <v>NR9</v>
      </c>
      <c r="E43" s="19" t="s">
        <v>710</v>
      </c>
      <c r="F43" s="6"/>
      <c r="G43" s="20"/>
      <c r="H43" s="24" t="s">
        <v>770</v>
      </c>
      <c r="I43" s="22"/>
    </row>
    <row r="44" spans="1:9" ht="15.75" x14ac:dyDescent="0.25">
      <c r="A44" s="17" t="s">
        <v>707</v>
      </c>
      <c r="B44" s="18" t="s">
        <v>771</v>
      </c>
      <c r="C44" s="169" t="s">
        <v>772</v>
      </c>
      <c r="D44" s="6" t="str">
        <f t="shared" si="1"/>
        <v>NR12</v>
      </c>
      <c r="E44" s="19" t="s">
        <v>710</v>
      </c>
      <c r="F44" s="6"/>
      <c r="G44" s="20"/>
      <c r="H44" s="24" t="s">
        <v>773</v>
      </c>
      <c r="I44" s="22" t="s">
        <v>774</v>
      </c>
    </row>
    <row r="45" spans="1:9" ht="15.75" x14ac:dyDescent="0.25">
      <c r="A45" s="17" t="s">
        <v>707</v>
      </c>
      <c r="B45" s="18" t="s">
        <v>775</v>
      </c>
      <c r="C45" s="24" t="s">
        <v>776</v>
      </c>
      <c r="D45" s="6" t="str">
        <f t="shared" si="1"/>
        <v>nR4</v>
      </c>
      <c r="E45" s="19" t="s">
        <v>710</v>
      </c>
      <c r="F45" s="6"/>
      <c r="G45" s="20"/>
      <c r="H45" s="24"/>
      <c r="I45" s="22"/>
    </row>
    <row r="46" spans="1:9" ht="15.75" x14ac:dyDescent="0.25">
      <c r="A46" s="17" t="s">
        <v>707</v>
      </c>
      <c r="B46" s="18" t="s">
        <v>777</v>
      </c>
      <c r="C46" s="24" t="s">
        <v>778</v>
      </c>
      <c r="D46" s="6" t="str">
        <f t="shared" si="1"/>
        <v>NR3</v>
      </c>
      <c r="E46" s="19" t="s">
        <v>710</v>
      </c>
      <c r="F46" s="6"/>
      <c r="G46" s="20"/>
      <c r="H46" s="24" t="s">
        <v>779</v>
      </c>
      <c r="I46" s="22"/>
    </row>
    <row r="47" spans="1:9" ht="15.75" x14ac:dyDescent="0.25">
      <c r="A47" s="17" t="s">
        <v>707</v>
      </c>
      <c r="B47" s="167" t="s">
        <v>780</v>
      </c>
      <c r="C47" s="169" t="s">
        <v>781</v>
      </c>
      <c r="D47" s="6" t="str">
        <f t="shared" si="1"/>
        <v>IP25</v>
      </c>
      <c r="E47" s="170" t="s">
        <v>710</v>
      </c>
      <c r="F47" s="6"/>
      <c r="G47" s="172"/>
      <c r="H47" s="169" t="s">
        <v>782</v>
      </c>
      <c r="I47" s="22"/>
    </row>
    <row r="48" spans="1:9" ht="15.75" x14ac:dyDescent="0.25">
      <c r="A48" s="17" t="s">
        <v>707</v>
      </c>
      <c r="B48" s="18" t="s">
        <v>783</v>
      </c>
      <c r="C48" s="24" t="s">
        <v>784</v>
      </c>
      <c r="D48" s="6" t="str">
        <f t="shared" si="1"/>
        <v>NR13</v>
      </c>
      <c r="E48" s="19" t="s">
        <v>710</v>
      </c>
      <c r="F48" s="6"/>
      <c r="G48" s="20"/>
      <c r="H48" s="24" t="s">
        <v>785</v>
      </c>
      <c r="I48" s="22"/>
    </row>
    <row r="49" spans="1:9" ht="15.75" x14ac:dyDescent="0.25">
      <c r="A49" s="17" t="s">
        <v>707</v>
      </c>
      <c r="B49" s="18" t="s">
        <v>786</v>
      </c>
      <c r="C49" s="24" t="s">
        <v>787</v>
      </c>
      <c r="D49" s="6" t="str">
        <f t="shared" si="1"/>
        <v>NR27</v>
      </c>
      <c r="E49" s="19" t="s">
        <v>710</v>
      </c>
      <c r="F49" s="6"/>
      <c r="G49" s="20"/>
      <c r="H49" s="24" t="s">
        <v>788</v>
      </c>
      <c r="I49" s="22"/>
    </row>
    <row r="50" spans="1:9" ht="15.75" x14ac:dyDescent="0.25">
      <c r="A50" s="17" t="s">
        <v>707</v>
      </c>
      <c r="B50" s="18" t="s">
        <v>789</v>
      </c>
      <c r="C50" s="24" t="s">
        <v>790</v>
      </c>
      <c r="D50" s="6" t="str">
        <f t="shared" si="1"/>
        <v>NR13</v>
      </c>
      <c r="E50" s="19" t="s">
        <v>710</v>
      </c>
      <c r="F50" s="6"/>
      <c r="G50" s="20"/>
      <c r="H50" s="24" t="s">
        <v>791</v>
      </c>
      <c r="I50" s="22"/>
    </row>
    <row r="51" spans="1:9" ht="15.75" x14ac:dyDescent="0.25">
      <c r="A51" s="17" t="s">
        <v>707</v>
      </c>
      <c r="B51" s="18" t="s">
        <v>792</v>
      </c>
      <c r="C51" s="24" t="s">
        <v>793</v>
      </c>
      <c r="D51" s="6" t="str">
        <f t="shared" si="1"/>
        <v>NR2</v>
      </c>
      <c r="E51" s="19" t="s">
        <v>710</v>
      </c>
      <c r="F51" s="6"/>
      <c r="G51" s="20"/>
      <c r="H51" s="24"/>
      <c r="I51" s="22"/>
    </row>
    <row r="52" spans="1:9" ht="15.75" x14ac:dyDescent="0.25">
      <c r="A52" s="17" t="s">
        <v>707</v>
      </c>
      <c r="B52" s="167" t="s">
        <v>794</v>
      </c>
      <c r="C52" s="169" t="s">
        <v>795</v>
      </c>
      <c r="D52" s="6" t="str">
        <f t="shared" si="1"/>
        <v>IP17</v>
      </c>
      <c r="E52" s="170" t="s">
        <v>710</v>
      </c>
      <c r="F52" s="6"/>
      <c r="G52" s="172"/>
      <c r="H52" s="169" t="s">
        <v>796</v>
      </c>
      <c r="I52" s="22"/>
    </row>
    <row r="53" spans="1:9" ht="15.75" x14ac:dyDescent="0.25">
      <c r="A53" s="17" t="s">
        <v>707</v>
      </c>
      <c r="B53" s="18" t="s">
        <v>797</v>
      </c>
      <c r="C53" s="169" t="s">
        <v>798</v>
      </c>
      <c r="D53" s="6" t="str">
        <f t="shared" si="1"/>
        <v>NR11</v>
      </c>
      <c r="E53" s="19" t="s">
        <v>710</v>
      </c>
      <c r="F53" s="6"/>
      <c r="G53" s="20"/>
      <c r="H53" s="24"/>
      <c r="I53" s="22" t="s">
        <v>774</v>
      </c>
    </row>
    <row r="54" spans="1:9" ht="15.75" x14ac:dyDescent="0.25">
      <c r="A54" s="17" t="s">
        <v>707</v>
      </c>
      <c r="B54" s="18" t="s">
        <v>799</v>
      </c>
      <c r="C54" s="24" t="s">
        <v>800</v>
      </c>
      <c r="D54" s="6" t="str">
        <f t="shared" si="1"/>
        <v>NR2</v>
      </c>
      <c r="E54" s="19" t="s">
        <v>710</v>
      </c>
      <c r="F54" s="6"/>
      <c r="G54" s="20"/>
      <c r="H54" s="24" t="s">
        <v>801</v>
      </c>
      <c r="I54" s="22"/>
    </row>
    <row r="55" spans="1:9" ht="15.75" x14ac:dyDescent="0.25">
      <c r="A55" s="17" t="s">
        <v>707</v>
      </c>
      <c r="B55" s="18" t="s">
        <v>802</v>
      </c>
      <c r="C55" s="24" t="s">
        <v>803</v>
      </c>
      <c r="D55" s="6" t="str">
        <f t="shared" si="1"/>
        <v>NR33</v>
      </c>
      <c r="E55" s="19" t="s">
        <v>710</v>
      </c>
      <c r="F55" s="6"/>
      <c r="G55" s="20"/>
      <c r="H55" s="24" t="s">
        <v>804</v>
      </c>
      <c r="I55" s="22"/>
    </row>
    <row r="56" spans="1:9" ht="15.75" x14ac:dyDescent="0.25">
      <c r="A56" s="17" t="s">
        <v>707</v>
      </c>
      <c r="B56" s="167" t="s">
        <v>805</v>
      </c>
      <c r="C56" s="169" t="s">
        <v>806</v>
      </c>
      <c r="D56" s="6" t="str">
        <f t="shared" si="1"/>
        <v>NR1</v>
      </c>
      <c r="E56" s="170" t="s">
        <v>710</v>
      </c>
      <c r="F56" s="6"/>
      <c r="G56" s="172"/>
      <c r="H56" s="169" t="s">
        <v>807</v>
      </c>
      <c r="I56" s="22"/>
    </row>
    <row r="57" spans="1:9" ht="30" x14ac:dyDescent="0.25">
      <c r="A57" s="17" t="s">
        <v>707</v>
      </c>
      <c r="B57" s="18" t="s">
        <v>808</v>
      </c>
      <c r="C57" s="24" t="s">
        <v>414</v>
      </c>
      <c r="D57" s="6" t="str">
        <f t="shared" si="1"/>
        <v>NR30</v>
      </c>
      <c r="E57" s="19" t="s">
        <v>710</v>
      </c>
      <c r="F57" s="6"/>
      <c r="G57" s="20"/>
      <c r="H57" s="24" t="s">
        <v>809</v>
      </c>
      <c r="I57" s="22"/>
    </row>
    <row r="58" spans="1:9" ht="15.75" x14ac:dyDescent="0.25">
      <c r="A58" s="17" t="s">
        <v>707</v>
      </c>
      <c r="B58" s="18" t="s">
        <v>810</v>
      </c>
      <c r="C58" s="24" t="s">
        <v>811</v>
      </c>
      <c r="D58" s="6" t="str">
        <f t="shared" si="1"/>
        <v>NR29</v>
      </c>
      <c r="E58" s="19" t="s">
        <v>710</v>
      </c>
      <c r="F58" s="6"/>
      <c r="G58" s="20"/>
      <c r="H58" s="24" t="s">
        <v>812</v>
      </c>
      <c r="I58" s="22"/>
    </row>
    <row r="59" spans="1:9" ht="30" x14ac:dyDescent="0.25">
      <c r="A59" s="17" t="s">
        <v>707</v>
      </c>
      <c r="B59" s="18" t="s">
        <v>813</v>
      </c>
      <c r="C59" s="24" t="s">
        <v>78</v>
      </c>
      <c r="D59" s="6" t="str">
        <f t="shared" si="1"/>
        <v>NR2</v>
      </c>
      <c r="E59" s="19" t="s">
        <v>710</v>
      </c>
      <c r="F59" s="6"/>
      <c r="G59" s="20"/>
      <c r="H59" s="24" t="s">
        <v>814</v>
      </c>
      <c r="I59" s="22" t="s">
        <v>815</v>
      </c>
    </row>
    <row r="60" spans="1:9" ht="15.75" x14ac:dyDescent="0.25">
      <c r="A60" s="17" t="s">
        <v>707</v>
      </c>
      <c r="B60" s="18" t="s">
        <v>816</v>
      </c>
      <c r="C60" s="169" t="s">
        <v>817</v>
      </c>
      <c r="D60" s="6" t="str">
        <f t="shared" si="1"/>
        <v>NR11</v>
      </c>
      <c r="E60" s="19" t="s">
        <v>710</v>
      </c>
      <c r="F60" s="6"/>
      <c r="G60" s="20"/>
      <c r="H60" s="24" t="s">
        <v>818</v>
      </c>
      <c r="I60" s="22"/>
    </row>
    <row r="61" spans="1:9" ht="15.75" x14ac:dyDescent="0.25">
      <c r="A61" s="17" t="s">
        <v>707</v>
      </c>
      <c r="B61" s="167" t="s">
        <v>819</v>
      </c>
      <c r="C61" s="169" t="s">
        <v>820</v>
      </c>
      <c r="D61" s="6" t="str">
        <f t="shared" si="1"/>
        <v>IP25</v>
      </c>
      <c r="E61" s="170" t="s">
        <v>710</v>
      </c>
      <c r="F61" s="6"/>
      <c r="G61" s="172"/>
      <c r="H61" s="169" t="s">
        <v>821</v>
      </c>
      <c r="I61" s="22"/>
    </row>
    <row r="62" spans="1:9" ht="15.75" x14ac:dyDescent="0.25">
      <c r="A62" s="17" t="s">
        <v>707</v>
      </c>
      <c r="B62" s="18" t="s">
        <v>64</v>
      </c>
      <c r="C62" s="24" t="s">
        <v>822</v>
      </c>
      <c r="D62" s="6" t="str">
        <f t="shared" si="1"/>
        <v>NR2</v>
      </c>
      <c r="E62" s="19" t="s">
        <v>710</v>
      </c>
      <c r="F62" s="6"/>
      <c r="G62" s="20"/>
      <c r="H62" s="24" t="s">
        <v>823</v>
      </c>
      <c r="I62" s="22"/>
    </row>
    <row r="63" spans="1:9" ht="15.75" x14ac:dyDescent="0.25">
      <c r="A63" s="17" t="s">
        <v>707</v>
      </c>
      <c r="B63" s="18" t="s">
        <v>824</v>
      </c>
      <c r="C63" s="24" t="s">
        <v>825</v>
      </c>
      <c r="D63" s="6" t="str">
        <f t="shared" si="1"/>
        <v>NR27</v>
      </c>
      <c r="E63" s="19" t="s">
        <v>710</v>
      </c>
      <c r="F63" s="6"/>
      <c r="G63" s="20"/>
      <c r="H63" s="24"/>
      <c r="I63" s="22"/>
    </row>
    <row r="64" spans="1:9" ht="15.75" x14ac:dyDescent="0.25">
      <c r="A64" s="17" t="s">
        <v>707</v>
      </c>
      <c r="B64" s="18" t="s">
        <v>826</v>
      </c>
      <c r="C64" s="24" t="s">
        <v>827</v>
      </c>
      <c r="D64" s="6" t="str">
        <f t="shared" si="1"/>
        <v>NR3</v>
      </c>
      <c r="E64" s="19" t="s">
        <v>710</v>
      </c>
      <c r="F64" s="6"/>
      <c r="G64" s="20"/>
      <c r="H64" s="24" t="s">
        <v>828</v>
      </c>
      <c r="I64" s="22"/>
    </row>
    <row r="65" spans="1:9" ht="30" x14ac:dyDescent="0.25">
      <c r="A65" s="17" t="s">
        <v>707</v>
      </c>
      <c r="B65" s="18" t="s">
        <v>829</v>
      </c>
      <c r="C65" s="169" t="s">
        <v>830</v>
      </c>
      <c r="D65" s="6" t="str">
        <f t="shared" si="1"/>
        <v>NR10</v>
      </c>
      <c r="E65" s="19" t="s">
        <v>710</v>
      </c>
      <c r="F65" s="6"/>
      <c r="G65" s="20"/>
      <c r="H65" s="24" t="s">
        <v>831</v>
      </c>
      <c r="I65" s="22"/>
    </row>
    <row r="66" spans="1:9" ht="15.75" x14ac:dyDescent="0.25">
      <c r="A66" s="17" t="s">
        <v>707</v>
      </c>
      <c r="B66" s="18" t="s">
        <v>832</v>
      </c>
      <c r="C66" s="24" t="s">
        <v>833</v>
      </c>
      <c r="D66" s="6" t="str">
        <f t="shared" ref="D66:D97" si="2">_xlfn.TEXTBEFORE(C66, " ")</f>
        <v>NR3</v>
      </c>
      <c r="E66" s="19" t="s">
        <v>710</v>
      </c>
      <c r="F66" s="6"/>
      <c r="G66" s="20"/>
      <c r="H66" s="24" t="s">
        <v>834</v>
      </c>
      <c r="I66" s="22"/>
    </row>
    <row r="67" spans="1:9" ht="15.75" x14ac:dyDescent="0.25">
      <c r="A67" s="17" t="s">
        <v>707</v>
      </c>
      <c r="B67" s="167" t="s">
        <v>835</v>
      </c>
      <c r="C67" s="169" t="s">
        <v>836</v>
      </c>
      <c r="D67" s="6" t="str">
        <f t="shared" si="2"/>
        <v>NR1</v>
      </c>
      <c r="E67" s="170" t="s">
        <v>710</v>
      </c>
      <c r="F67" s="6"/>
      <c r="G67" s="172"/>
      <c r="H67" s="169" t="s">
        <v>837</v>
      </c>
      <c r="I67" s="22"/>
    </row>
    <row r="68" spans="1:9" x14ac:dyDescent="0.25">
      <c r="A68" s="9" t="s">
        <v>838</v>
      </c>
      <c r="B68" s="162" t="s">
        <v>839</v>
      </c>
      <c r="C68" s="163" t="s">
        <v>840</v>
      </c>
      <c r="D68" s="6" t="str">
        <f t="shared" si="2"/>
        <v>nr4</v>
      </c>
      <c r="E68" s="163" t="s">
        <v>514</v>
      </c>
      <c r="F68" s="162" t="s">
        <v>841</v>
      </c>
      <c r="G68" s="162" t="s">
        <v>248</v>
      </c>
      <c r="H68" s="162" t="s">
        <v>842</v>
      </c>
      <c r="I68" s="5" t="s">
        <v>843</v>
      </c>
    </row>
    <row r="69" spans="1:9" x14ac:dyDescent="0.25">
      <c r="A69" s="9" t="s">
        <v>844</v>
      </c>
      <c r="B69" s="25" t="s">
        <v>845</v>
      </c>
      <c r="C69" s="25" t="s">
        <v>282</v>
      </c>
      <c r="D69" s="6" t="str">
        <f t="shared" si="2"/>
        <v>NR17</v>
      </c>
      <c r="E69" s="25" t="s">
        <v>846</v>
      </c>
      <c r="F69" s="162" t="s">
        <v>841</v>
      </c>
      <c r="G69" s="20" t="s">
        <v>847</v>
      </c>
      <c r="H69" s="26" t="s">
        <v>848</v>
      </c>
      <c r="I69" s="5"/>
    </row>
    <row r="70" spans="1:9" x14ac:dyDescent="0.25">
      <c r="A70" s="9" t="s">
        <v>844</v>
      </c>
      <c r="B70" s="25" t="s">
        <v>849</v>
      </c>
      <c r="C70" s="25" t="s">
        <v>427</v>
      </c>
      <c r="D70" s="6" t="str">
        <f t="shared" si="2"/>
        <v>NR9</v>
      </c>
      <c r="E70" s="25" t="s">
        <v>850</v>
      </c>
      <c r="F70" s="3" t="s">
        <v>841</v>
      </c>
      <c r="G70" s="20" t="s">
        <v>851</v>
      </c>
      <c r="H70" s="26" t="s">
        <v>852</v>
      </c>
      <c r="I70" s="5" t="s">
        <v>853</v>
      </c>
    </row>
    <row r="71" spans="1:9" x14ac:dyDescent="0.25">
      <c r="A71" s="9" t="s">
        <v>844</v>
      </c>
      <c r="B71" s="25" t="s">
        <v>854</v>
      </c>
      <c r="C71" s="25" t="s">
        <v>217</v>
      </c>
      <c r="D71" s="6" t="str">
        <f t="shared" si="2"/>
        <v>NR13</v>
      </c>
      <c r="E71" s="25" t="s">
        <v>855</v>
      </c>
      <c r="F71" s="162" t="s">
        <v>841</v>
      </c>
      <c r="G71" s="20" t="s">
        <v>218</v>
      </c>
      <c r="H71" s="26" t="s">
        <v>852</v>
      </c>
      <c r="I71" s="5" t="s">
        <v>856</v>
      </c>
    </row>
    <row r="72" spans="1:9" x14ac:dyDescent="0.25">
      <c r="A72" s="9" t="s">
        <v>844</v>
      </c>
      <c r="B72" s="163" t="s">
        <v>857</v>
      </c>
      <c r="C72" s="163" t="s">
        <v>355</v>
      </c>
      <c r="D72" s="6" t="str">
        <f t="shared" si="2"/>
        <v>NR6</v>
      </c>
      <c r="E72" s="163" t="s">
        <v>858</v>
      </c>
      <c r="F72" s="162" t="s">
        <v>859</v>
      </c>
      <c r="G72" s="172" t="s">
        <v>860</v>
      </c>
      <c r="H72" s="174" t="s">
        <v>852</v>
      </c>
      <c r="I72" s="5"/>
    </row>
    <row r="73" spans="1:9" x14ac:dyDescent="0.25">
      <c r="A73" s="9" t="s">
        <v>844</v>
      </c>
      <c r="B73" s="25" t="s">
        <v>338</v>
      </c>
      <c r="C73" s="163" t="s">
        <v>861</v>
      </c>
      <c r="D73" s="6" t="str">
        <f t="shared" si="2"/>
        <v>NR12</v>
      </c>
      <c r="E73" s="25" t="s">
        <v>862</v>
      </c>
      <c r="F73" s="162" t="s">
        <v>859</v>
      </c>
      <c r="G73" s="20" t="s">
        <v>863</v>
      </c>
      <c r="H73" s="26" t="s">
        <v>852</v>
      </c>
      <c r="I73" s="5"/>
    </row>
    <row r="74" spans="1:9" x14ac:dyDescent="0.25">
      <c r="A74" s="9" t="s">
        <v>844</v>
      </c>
      <c r="B74" s="163" t="s">
        <v>864</v>
      </c>
      <c r="C74" s="163" t="s">
        <v>865</v>
      </c>
      <c r="D74" s="6" t="str">
        <f t="shared" si="2"/>
        <v>NR1</v>
      </c>
      <c r="E74" s="163" t="s">
        <v>866</v>
      </c>
      <c r="F74" s="162" t="s">
        <v>859</v>
      </c>
      <c r="G74" s="172" t="s">
        <v>867</v>
      </c>
      <c r="H74" s="174" t="s">
        <v>852</v>
      </c>
      <c r="I74" s="27"/>
    </row>
    <row r="75" spans="1:9" x14ac:dyDescent="0.25">
      <c r="A75" s="9" t="s">
        <v>844</v>
      </c>
      <c r="B75" s="25" t="s">
        <v>868</v>
      </c>
      <c r="C75" s="25" t="s">
        <v>869</v>
      </c>
      <c r="D75" s="6" t="str">
        <f t="shared" si="2"/>
        <v>PE31</v>
      </c>
      <c r="E75" s="25" t="s">
        <v>870</v>
      </c>
      <c r="F75" s="3" t="s">
        <v>859</v>
      </c>
      <c r="G75" s="20" t="s">
        <v>871</v>
      </c>
      <c r="H75" s="26" t="s">
        <v>872</v>
      </c>
      <c r="I75" s="27"/>
    </row>
    <row r="76" spans="1:9" x14ac:dyDescent="0.25">
      <c r="A76" s="9" t="s">
        <v>844</v>
      </c>
      <c r="B76" s="25" t="s">
        <v>80</v>
      </c>
      <c r="C76" s="25" t="s">
        <v>81</v>
      </c>
      <c r="D76" s="6" t="str">
        <f t="shared" si="2"/>
        <v>NR2</v>
      </c>
      <c r="E76" s="25" t="s">
        <v>873</v>
      </c>
      <c r="F76" s="162" t="s">
        <v>7</v>
      </c>
      <c r="G76" s="20" t="s">
        <v>874</v>
      </c>
      <c r="H76" s="26" t="s">
        <v>852</v>
      </c>
      <c r="I76" s="27" t="s">
        <v>875</v>
      </c>
    </row>
    <row r="77" spans="1:9" x14ac:dyDescent="0.25">
      <c r="A77" s="28" t="s">
        <v>876</v>
      </c>
      <c r="B77" s="29" t="s">
        <v>877</v>
      </c>
      <c r="C77" s="29" t="s">
        <v>878</v>
      </c>
      <c r="D77" s="6" t="str">
        <f t="shared" si="2"/>
        <v>IP20</v>
      </c>
      <c r="E77" s="29" t="s">
        <v>876</v>
      </c>
      <c r="F77" s="6" t="s">
        <v>841</v>
      </c>
      <c r="G77" s="6"/>
      <c r="H77" s="6"/>
      <c r="I77" s="5"/>
    </row>
    <row r="78" spans="1:9" x14ac:dyDescent="0.25">
      <c r="A78" s="28" t="s">
        <v>876</v>
      </c>
      <c r="B78" s="29" t="s">
        <v>879</v>
      </c>
      <c r="C78" s="29" t="s">
        <v>393</v>
      </c>
      <c r="D78" s="6" t="str">
        <f t="shared" si="2"/>
        <v>IP21</v>
      </c>
      <c r="E78" s="29" t="s">
        <v>876</v>
      </c>
      <c r="F78" s="6" t="s">
        <v>841</v>
      </c>
      <c r="G78" s="6"/>
      <c r="H78" s="6"/>
      <c r="I78" s="5"/>
    </row>
    <row r="79" spans="1:9" ht="28.5" x14ac:dyDescent="0.25">
      <c r="A79" s="9" t="s">
        <v>880</v>
      </c>
      <c r="B79" s="25" t="s">
        <v>881</v>
      </c>
      <c r="C79" s="163" t="s">
        <v>437</v>
      </c>
      <c r="D79" s="6" t="str">
        <f t="shared" si="2"/>
        <v>NR11</v>
      </c>
      <c r="E79" s="25" t="s">
        <v>882</v>
      </c>
      <c r="F79" s="162" t="s">
        <v>841</v>
      </c>
      <c r="G79" s="30" t="s">
        <v>883</v>
      </c>
      <c r="H79" s="31" t="s">
        <v>718</v>
      </c>
      <c r="I79" s="5"/>
    </row>
    <row r="80" spans="1:9" x14ac:dyDescent="0.25">
      <c r="A80" s="9" t="s">
        <v>880</v>
      </c>
      <c r="B80" s="25" t="s">
        <v>771</v>
      </c>
      <c r="C80" s="163" t="s">
        <v>772</v>
      </c>
      <c r="D80" s="6" t="str">
        <f t="shared" si="2"/>
        <v>NR12</v>
      </c>
      <c r="E80" s="25" t="s">
        <v>884</v>
      </c>
      <c r="F80" s="162" t="s">
        <v>331</v>
      </c>
      <c r="G80" s="31" t="s">
        <v>885</v>
      </c>
      <c r="H80" s="31" t="s">
        <v>773</v>
      </c>
      <c r="I80" s="5" t="s">
        <v>886</v>
      </c>
    </row>
    <row r="81" spans="1:9" ht="71.25" x14ac:dyDescent="0.25">
      <c r="A81" s="9" t="s">
        <v>880</v>
      </c>
      <c r="B81" s="25" t="s">
        <v>410</v>
      </c>
      <c r="C81" s="168" t="s">
        <v>411</v>
      </c>
      <c r="D81" s="6" t="str">
        <f t="shared" si="2"/>
        <v>NR12</v>
      </c>
      <c r="E81" s="25" t="s">
        <v>205</v>
      </c>
      <c r="F81" s="162" t="s">
        <v>841</v>
      </c>
      <c r="G81" s="31" t="s">
        <v>412</v>
      </c>
      <c r="H81" s="31" t="s">
        <v>887</v>
      </c>
      <c r="I81" s="176" t="s">
        <v>888</v>
      </c>
    </row>
    <row r="82" spans="1:9" x14ac:dyDescent="0.25">
      <c r="A82" s="9" t="s">
        <v>880</v>
      </c>
      <c r="B82" s="25" t="s">
        <v>889</v>
      </c>
      <c r="C82" s="163" t="s">
        <v>798</v>
      </c>
      <c r="D82" s="6" t="str">
        <f t="shared" si="2"/>
        <v>NR11</v>
      </c>
      <c r="E82" s="25"/>
      <c r="F82" s="162" t="s">
        <v>331</v>
      </c>
      <c r="G82" s="32" t="s">
        <v>890</v>
      </c>
      <c r="H82" s="32" t="s">
        <v>891</v>
      </c>
      <c r="I82" s="5" t="s">
        <v>886</v>
      </c>
    </row>
    <row r="83" spans="1:9" ht="30" x14ac:dyDescent="0.25">
      <c r="A83" s="9" t="s">
        <v>880</v>
      </c>
      <c r="B83" s="25" t="s">
        <v>892</v>
      </c>
      <c r="C83" s="25" t="s">
        <v>784</v>
      </c>
      <c r="D83" s="6" t="str">
        <f t="shared" si="2"/>
        <v>NR13</v>
      </c>
      <c r="E83" s="25" t="s">
        <v>893</v>
      </c>
      <c r="F83" s="162" t="s">
        <v>331</v>
      </c>
      <c r="G83" s="33" t="s">
        <v>894</v>
      </c>
      <c r="H83" s="31" t="s">
        <v>895</v>
      </c>
      <c r="I83" s="5"/>
    </row>
    <row r="84" spans="1:9" ht="30" x14ac:dyDescent="0.25">
      <c r="A84" s="9" t="s">
        <v>880</v>
      </c>
      <c r="B84" s="25" t="s">
        <v>25</v>
      </c>
      <c r="C84" s="25" t="s">
        <v>896</v>
      </c>
      <c r="D84" s="6" t="str">
        <f t="shared" si="2"/>
        <v>NR8</v>
      </c>
      <c r="E84" s="25" t="s">
        <v>205</v>
      </c>
      <c r="F84" s="162" t="s">
        <v>331</v>
      </c>
      <c r="G84" s="171" t="s">
        <v>897</v>
      </c>
      <c r="H84" s="173" t="s">
        <v>898</v>
      </c>
      <c r="I84" s="5"/>
    </row>
    <row r="85" spans="1:9" x14ac:dyDescent="0.25">
      <c r="A85" s="34" t="s">
        <v>899</v>
      </c>
      <c r="B85" s="25" t="s">
        <v>900</v>
      </c>
      <c r="C85" s="25" t="s">
        <v>397</v>
      </c>
      <c r="D85" s="6" t="str">
        <f t="shared" si="2"/>
        <v>NR28</v>
      </c>
      <c r="E85" s="25" t="s">
        <v>901</v>
      </c>
      <c r="F85" s="162" t="s">
        <v>841</v>
      </c>
      <c r="H85" s="35">
        <v>1692500006</v>
      </c>
      <c r="I85" s="177" t="s">
        <v>902</v>
      </c>
    </row>
    <row r="86" spans="1:9" ht="345" x14ac:dyDescent="0.25">
      <c r="A86" s="36" t="s">
        <v>903</v>
      </c>
      <c r="B86" s="29" t="s">
        <v>225</v>
      </c>
      <c r="C86" s="29" t="s">
        <v>280</v>
      </c>
      <c r="D86" s="6" t="str">
        <f t="shared" si="2"/>
        <v>IP1</v>
      </c>
      <c r="E86" s="6" t="s">
        <v>903</v>
      </c>
      <c r="F86" s="6" t="s">
        <v>841</v>
      </c>
      <c r="G86" s="6"/>
      <c r="H86" s="37">
        <v>7542000421</v>
      </c>
      <c r="I86" s="5" t="s">
        <v>904</v>
      </c>
    </row>
    <row r="87" spans="1:9" x14ac:dyDescent="0.25">
      <c r="A87" s="36" t="s">
        <v>903</v>
      </c>
      <c r="B87" s="6" t="s">
        <v>905</v>
      </c>
      <c r="C87" s="29" t="s">
        <v>906</v>
      </c>
      <c r="D87" s="6" t="str">
        <f t="shared" si="2"/>
        <v>nr2</v>
      </c>
      <c r="E87" s="6" t="s">
        <v>903</v>
      </c>
      <c r="F87" s="6" t="s">
        <v>841</v>
      </c>
      <c r="G87" s="38" t="s">
        <v>907</v>
      </c>
      <c r="H87" s="38" t="s">
        <v>908</v>
      </c>
      <c r="I87" s="5" t="s">
        <v>909</v>
      </c>
    </row>
    <row r="88" spans="1:9" x14ac:dyDescent="0.25">
      <c r="A88" s="166" t="s">
        <v>910</v>
      </c>
      <c r="B88" s="162" t="s">
        <v>911</v>
      </c>
      <c r="C88" s="163" t="s">
        <v>912</v>
      </c>
      <c r="D88" s="6" t="str">
        <f t="shared" si="2"/>
        <v>ip1</v>
      </c>
      <c r="E88" s="163" t="s">
        <v>910</v>
      </c>
      <c r="F88" s="6" t="s">
        <v>498</v>
      </c>
      <c r="G88" s="6"/>
      <c r="H88" s="6"/>
      <c r="I88" s="164"/>
    </row>
    <row r="89" spans="1:9" x14ac:dyDescent="0.25">
      <c r="A89" s="166" t="s">
        <v>910</v>
      </c>
      <c r="B89" s="162" t="s">
        <v>913</v>
      </c>
      <c r="C89" s="163" t="s">
        <v>195</v>
      </c>
      <c r="D89" s="6" t="str">
        <f t="shared" si="2"/>
        <v>IP14</v>
      </c>
      <c r="E89" s="163" t="s">
        <v>910</v>
      </c>
      <c r="F89" s="6" t="s">
        <v>498</v>
      </c>
      <c r="G89" s="6"/>
      <c r="H89" s="6"/>
      <c r="I89" s="164"/>
    </row>
    <row r="90" spans="1:9" x14ac:dyDescent="0.25">
      <c r="A90" s="165" t="s">
        <v>914</v>
      </c>
      <c r="B90" s="162" t="s">
        <v>338</v>
      </c>
      <c r="C90" s="163" t="s">
        <v>915</v>
      </c>
      <c r="D90" s="6" t="str">
        <f t="shared" si="2"/>
        <v>co11</v>
      </c>
      <c r="E90" s="162" t="s">
        <v>315</v>
      </c>
      <c r="F90" s="6" t="s">
        <v>472</v>
      </c>
      <c r="G90" s="6"/>
      <c r="H90" s="6"/>
      <c r="I90" s="164"/>
    </row>
    <row r="91" spans="1:9" x14ac:dyDescent="0.25">
      <c r="A91" s="165" t="s">
        <v>914</v>
      </c>
      <c r="B91" s="162" t="s">
        <v>916</v>
      </c>
      <c r="C91" s="163" t="s">
        <v>917</v>
      </c>
      <c r="D91" s="6" t="str">
        <f t="shared" si="2"/>
        <v>Co6</v>
      </c>
      <c r="E91" s="162" t="s">
        <v>315</v>
      </c>
      <c r="F91" s="6" t="s">
        <v>472</v>
      </c>
      <c r="G91" s="6"/>
      <c r="H91" s="6"/>
      <c r="I91" s="164"/>
    </row>
    <row r="92" spans="1:9" x14ac:dyDescent="0.25">
      <c r="A92" s="165" t="s">
        <v>914</v>
      </c>
      <c r="B92" s="162" t="s">
        <v>914</v>
      </c>
      <c r="C92" s="163" t="s">
        <v>314</v>
      </c>
      <c r="D92" s="6" t="str">
        <f t="shared" si="2"/>
        <v>CO3</v>
      </c>
      <c r="E92" s="162" t="s">
        <v>315</v>
      </c>
      <c r="F92" s="6" t="s">
        <v>472</v>
      </c>
      <c r="G92" s="6"/>
      <c r="H92" s="6"/>
      <c r="I92" s="164" t="s">
        <v>918</v>
      </c>
    </row>
    <row r="93" spans="1:9" x14ac:dyDescent="0.25">
      <c r="A93" s="165" t="s">
        <v>914</v>
      </c>
      <c r="B93" s="3" t="s">
        <v>77</v>
      </c>
      <c r="C93" s="25" t="s">
        <v>78</v>
      </c>
      <c r="D93" s="6" t="str">
        <f t="shared" si="2"/>
        <v>NR2</v>
      </c>
      <c r="E93" s="3" t="s">
        <v>919</v>
      </c>
      <c r="F93" s="162"/>
      <c r="I93" s="164"/>
    </row>
    <row r="94" spans="1:9" x14ac:dyDescent="0.25">
      <c r="A94" s="165" t="s">
        <v>920</v>
      </c>
      <c r="B94" s="3" t="s">
        <v>921</v>
      </c>
      <c r="C94" s="3" t="s">
        <v>244</v>
      </c>
      <c r="D94" s="6" t="str">
        <f t="shared" si="2"/>
        <v>NR2</v>
      </c>
      <c r="E94" s="3" t="s">
        <v>922</v>
      </c>
      <c r="F94" s="162"/>
      <c r="G94" s="18" t="s">
        <v>245</v>
      </c>
      <c r="I94" s="164"/>
    </row>
    <row r="95" spans="1:9" x14ac:dyDescent="0.25">
      <c r="A95" s="165" t="s">
        <v>920</v>
      </c>
      <c r="B95" s="3" t="s">
        <v>923</v>
      </c>
      <c r="C95" s="3" t="s">
        <v>924</v>
      </c>
      <c r="D95" s="6" t="str">
        <f t="shared" si="2"/>
        <v>NR2</v>
      </c>
      <c r="F95" s="162" t="s">
        <v>331</v>
      </c>
      <c r="G95" s="20" t="s">
        <v>925</v>
      </c>
      <c r="I95" s="164"/>
    </row>
    <row r="96" spans="1:9" x14ac:dyDescent="0.2">
      <c r="A96" s="39" t="s">
        <v>920</v>
      </c>
      <c r="B96" s="3" t="s">
        <v>926</v>
      </c>
      <c r="C96" s="40" t="s">
        <v>927</v>
      </c>
      <c r="D96" s="6" t="str">
        <f t="shared" si="2"/>
        <v>PE31</v>
      </c>
      <c r="F96" s="3" t="s">
        <v>331</v>
      </c>
      <c r="G96" s="18" t="s">
        <v>928</v>
      </c>
      <c r="H96" s="41">
        <v>1328738334</v>
      </c>
    </row>
    <row r="97" spans="1:9" x14ac:dyDescent="0.25">
      <c r="A97" s="165" t="s">
        <v>920</v>
      </c>
      <c r="B97" s="3" t="s">
        <v>929</v>
      </c>
      <c r="C97" s="3" t="s">
        <v>930</v>
      </c>
      <c r="D97" s="6" t="str">
        <f t="shared" si="2"/>
        <v>NR2</v>
      </c>
      <c r="F97" s="162" t="s">
        <v>331</v>
      </c>
      <c r="G97" s="3" t="s">
        <v>931</v>
      </c>
      <c r="I97" s="164"/>
    </row>
  </sheetData>
  <autoFilter ref="A1:I1" xr:uid="{88EB641E-06E5-4AE5-B30B-5E795DD16E7F}"/>
  <hyperlinks>
    <hyperlink ref="G87" r:id="rId1" xr:uid="{D464C33C-348B-46CB-BBF9-824FBDEFDA08}"/>
    <hyperlink ref="H87" r:id="rId2" display="tel:01603 623942" xr:uid="{50A68C72-218F-4680-B045-461D3FC9BBB6}"/>
    <hyperlink ref="G94" r:id="rId3" display="mailto:drawingrooms@i2ihospitality.co.uk" xr:uid="{57FBDC08-290C-42F1-A0CF-E8621EB5C1A8}"/>
    <hyperlink ref="G95" r:id="rId4" display="mailto:info@wildmannorwich.co.uk" xr:uid="{95BBC597-DC74-4ACC-8897-B92A02BCA950}"/>
    <hyperlink ref="G96" r:id="rId5" display="mailto:info@theheroburnhamovery.co.uk" xr:uid="{41C17189-97CE-49F0-B76E-8A6304AA17E7}"/>
    <hyperlink ref="G69" r:id="rId6" display="mailto:pub@thewhitelodgeattleborough.co.uk" xr:uid="{B8D6FC7B-8169-4664-85CE-157875491C5B}"/>
    <hyperlink ref="G70" r:id="rId7" display="mailto:pub@thequeensheadthurlton.co.uk" xr:uid="{BC27E483-96B0-415B-8CFF-8BE0C03015DD}"/>
    <hyperlink ref="G71" r:id="rId8" display="mailto:pub@thekingsheadacle.co.uk" xr:uid="{B6C8B86A-511D-4AFB-8438-0D795CB3909A}"/>
    <hyperlink ref="G72" r:id="rId9" display="mailto:pub@thewoodmanoldcatton.co.uk" xr:uid="{7077D59E-4C5D-4BDD-9FD7-D6D318F512A0}"/>
    <hyperlink ref="G73" r:id="rId10" xr:uid="{71B4F80B-9D2E-4EE5-A07A-443EEC06A5A9}"/>
    <hyperlink ref="G74" r:id="rId11" display="mailto:pub@thefreemasonsarmsnorwich.co.uk" xr:uid="{B5FED27C-CB51-4824-8577-31130D9C3B5B}"/>
    <hyperlink ref="G75" r:id="rId12" display="mailto:pub@theroseandcrownharopley.co.uk" xr:uid="{48331A1C-B8C7-499B-9BE3-65783F74B848}"/>
    <hyperlink ref="G76" r:id="rId13" display="mailto:pub@thenelsonnorwich.co.uk" xr:uid="{A5E08A7E-4DB1-49C2-B111-0FC74A85B1FC}"/>
    <hyperlink ref="G18" r:id="rId14" display="mailto:secretary@norwichinns.co.uk" xr:uid="{16E2EF4A-736E-4778-9CB6-7243EE1C6959}"/>
    <hyperlink ref="I18" r:id="rId15" xr:uid="{BAC6B380-6EDF-4FBF-8EAB-3D071D4096CF}"/>
    <hyperlink ref="B30" r:id="rId16" display="https://www.norwichinns.com/directory/furzedown-hotel/" xr:uid="{5D0756D0-9D3A-4C83-BF3C-6A6DD8157714}"/>
    <hyperlink ref="B31" r:id="rId17" display="https://www.norwichinns.com/directory/george-hotel-norwich/" xr:uid="{47FFF667-4284-43C3-ADC9-EE086D1BAB1F}"/>
    <hyperlink ref="B32" r:id="rId18" display="https://www.norwichinns.com/directory/glen-lodge-bawburgh-golf-club/" xr:uid="{FBCB79FE-61BC-44FD-8D70-F6B3D95E7955}"/>
    <hyperlink ref="B33" r:id="rId19" display="https://www.norwichinns.com/directory/kings-arms/" xr:uid="{6E03B928-76FC-46D4-A618-53FAC1C2FFC3}"/>
    <hyperlink ref="B34" r:id="rId20" display="https://www.norwichinns.com/directory/kings-head-bawburgh/" xr:uid="{1679C2F0-61FB-44AB-998D-1907068E0D13}"/>
    <hyperlink ref="B35" r:id="rId21" display="https://www.norwichinns.com/directory/kings-head-loddon/" xr:uid="{06C561A9-D72C-4833-B917-9F4291F75DDA}"/>
    <hyperlink ref="B36" r:id="rId22" display="https://www.norwichinns.com/directory/kings-head-ashwellthorpe/" xr:uid="{2BFE3223-526C-4638-9C77-C74B8538A969}"/>
    <hyperlink ref="B37" r:id="rId23" display="https://www.norwichinns.com/directory/links-hotel/" xr:uid="{F117B38E-0D94-41C4-9CD1-4E547226675D}"/>
    <hyperlink ref="B38" r:id="rId24" display="https://www.norwichinns.com/directory/merlins/" xr:uid="{BE3E9383-ECD6-483A-8153-19251601CF29}"/>
    <hyperlink ref="B39" r:id="rId25" display="https://www.norwichinns.com/directory/park-farm-hotel/" xr:uid="{A463622D-6C4B-4AA9-965C-1FD5505FEA43}"/>
    <hyperlink ref="B40" r:id="rId26" display="https://www.norwichinns.com/directory/pier-hotel/" xr:uid="{FA40B85C-9866-4639-8E16-71CD19E446E6}"/>
    <hyperlink ref="B41" r:id="rId27" display="https://www.norwichinns.com/directory/pleasure-beach-inn/" xr:uid="{234F8036-41E5-40D2-BE29-120CF29E1014}"/>
    <hyperlink ref="B42" r:id="rId28" display="https://www.norwichinns.com/directory/pub-prom-prom-hotel/" xr:uid="{36F5479F-F12D-4E0D-B493-675393BABB69}"/>
    <hyperlink ref="B43" r:id="rId29" display="https://www.norwichinns.com/directory/queens-head/" xr:uid="{3826ADE0-E972-490C-96E3-DA7A4CDF992B}"/>
    <hyperlink ref="B44" r:id="rId30" display="https://www.norwichinns.com/directory/recruiting-sergeant/" xr:uid="{AA5930CD-F741-4B46-B4AB-F4E41673A781}"/>
    <hyperlink ref="B45" r:id="rId31" display="https://www.norwichinns.com/directory/red-lion-eaton/" xr:uid="{E645E4EC-69D8-4466-B546-2B1506DBADA2}"/>
    <hyperlink ref="B46" r:id="rId32" display="https://www.norwichinns.com/directory/ribs-of-beef/" xr:uid="{E2CC7FD3-79AF-4040-91EC-FF70A2A0D945}"/>
    <hyperlink ref="B47" r:id="rId33" display="https://www.norwichinns.com/directory/richmond-park-golf-club/" xr:uid="{B6342417-C926-442D-9CF1-697CF754B43C}"/>
    <hyperlink ref="B48" r:id="rId34" display="https://www.norwichinns.com/directory/salhouse-lodge/" xr:uid="{7AF7652E-8BCF-48B3-8493-4DBBF03C61FF}"/>
    <hyperlink ref="B49" r:id="rId35" display="https://www.norwichinns.com/directory/seamarge-hotel/" xr:uid="{72192011-23F9-4AE5-8592-CC5F9FA6F98F}"/>
    <hyperlink ref="B50" r:id="rId36" display="https://www.norwichinns.com/directory/shoulder-of-mutton/" xr:uid="{6A7D59F5-4BDD-41F9-AE7B-0490E6963550}"/>
    <hyperlink ref="B51" r:id="rId37" display="https://www.norwichinns.com/directory/temple-bar/" xr:uid="{FD9E6CF4-028E-407B-AB62-7911E053907E}"/>
    <hyperlink ref="B52" r:id="rId38" display="https://www.norwichinns.com/directory/12-lost-churches/" xr:uid="{897F8C22-B0A9-4F35-80B3-11C9D4987F7B}"/>
    <hyperlink ref="B53" r:id="rId39" display="https://www.norwichinns.com/directory/the-buckinghamshire-arms/" xr:uid="{072B7F36-FC7C-40E4-A354-43BBEA60B573}"/>
    <hyperlink ref="B54" r:id="rId40" display="https://www.norwichinns.com/directory/the-eagle-ph/" xr:uid="{F2EC592D-9C4B-4210-A6EA-6B49096142E1}"/>
    <hyperlink ref="B55" r:id="rId41" display="https://www.norwichinns.com/directory/the-hotel-victoria/" xr:uid="{3B17F8F0-85EE-413F-9AAA-60EFF81A4F40}"/>
    <hyperlink ref="B56" r:id="rId42" display="https://www.norwichinns.com/directory/the-murderers/" xr:uid="{C7B3E2FC-E7D0-419E-8955-7ED3C5881B80}"/>
    <hyperlink ref="B57" r:id="rId43" display="https://www.norwichinns.com/directory/old-hall-hotel-caistor/" xr:uid="{322ED2AE-DE50-46FC-B1C4-C65D4C020DF0}"/>
    <hyperlink ref="B58" r:id="rId44" display="https://www.norwichinns.com/directory/the-seadell-bar/" xr:uid="{7B85A99C-244C-44D2-A7C2-0D692AB459A8}"/>
    <hyperlink ref="B59" r:id="rId45" display="https://www.norwichinns.com/directory/unthank-arms-restaurant-bar/" xr:uid="{D062134D-1C5E-45C8-97A3-2D067E67A00E}"/>
    <hyperlink ref="B60" r:id="rId46" display="https://www.norwichinns.com/directory/vernon-arms/" xr:uid="{63C3674F-1CF2-425B-9ACE-A065B984EAD6}"/>
    <hyperlink ref="B61" r:id="rId47" display="https://www.norwichinns.com/directory/the-waggon-horses/" xr:uid="{F07E5B77-C2B6-4DF6-9185-B16D4E7EE72C}"/>
    <hyperlink ref="B62" r:id="rId48" display="https://www.norwichinns.com/directory/warwick-arms/" xr:uid="{449AEC25-C71E-4CB4-AD72-122601098987}"/>
    <hyperlink ref="B63" r:id="rId49" display="https://www.norwichinns.com/directory/wellington-hotel/" xr:uid="{C02A259C-A366-4D22-BD21-29778229F191}"/>
    <hyperlink ref="B64" r:id="rId50" display="https://www.norwichinns.com/directory/whalebone-freehouse/" xr:uid="{ADF493E7-3547-4762-8DD7-D72EF285AC8B}"/>
    <hyperlink ref="B65" r:id="rId51" display="https://www.norwichinns.com/directory/whitwell-reepham-railway-complex/" xr:uid="{34B131EE-E999-4678-A5A2-171F0756F4E7}"/>
    <hyperlink ref="B66" r:id="rId52" display="https://www.norwichinns.com/directory/wig-pen-experience/" xr:uid="{57C8F035-B4BC-428C-9520-AB54F15EB474}"/>
    <hyperlink ref="B67" r:id="rId53" display="https://www.norwichinns.com/directory/william-iv/" xr:uid="{0BE8384A-23F5-47CC-A78C-CAC27EAC012C}"/>
    <hyperlink ref="B18" r:id="rId54" display="https://www.norwichinns.com/directory/alexandra-tavern/" xr:uid="{356A8B08-2632-40AF-BAA7-45B5E9BE6BBA}"/>
    <hyperlink ref="B19" r:id="rId55" display="https://www.norwichinns.com/directory/annesley-house-hotel-norwich/" xr:uid="{5F439508-E79B-44FA-9302-34D87BC09637}"/>
    <hyperlink ref="B20" r:id="rId56" display="https://www.norwichinns.com/directory/black-boys-hotel/" xr:uid="{1595EC1D-F650-40E9-A5BE-D7CA9EB3D68C}"/>
    <hyperlink ref="B21" r:id="rId57" display="https://www.norwichinns.com/directory/blue-boar/" xr:uid="{6AF631B2-BEE4-4F06-9FFC-1550DFDCF8A0}"/>
    <hyperlink ref="B22" r:id="rId58" display="https://www.norwichinns.com/directory/brick-kilns/" xr:uid="{B3257B6D-5000-485F-B3B2-C7FF70F40A3E}"/>
    <hyperlink ref="B23" r:id="rId59" display="https://www.norwichinns.com/directory/california-tavern/" xr:uid="{86AD8AE0-A774-4D88-888E-E75006480F45}"/>
    <hyperlink ref="B24" r:id="rId60" display="https://www.norwichinns.com/directory/coach-horses/" xr:uid="{7FEA2DA1-7CC9-4E95-B360-5EDC76DBEF96}"/>
    <hyperlink ref="B25" r:id="rId61" display="https://www.norwichinns.com/directory/countryman/" xr:uid="{8CC0267B-AF4C-4CDF-B7B6-A1DD7E5CA741}"/>
    <hyperlink ref="B26" r:id="rId62" display="https://www.norwichinns.com/directory/dales-hotel/" xr:uid="{04FA1E68-5DD1-4A73-9706-84F18A56EE08}"/>
    <hyperlink ref="B27" r:id="rId63" display="https://www.norwichinns.com/directory/dog-inn/" xr:uid="{3553F42D-C05B-4E06-938F-0306C80F0B88}"/>
    <hyperlink ref="B28" r:id="rId64" display="https://www.norwichinns.com/directory/dolphin-club/" xr:uid="{4643C5F7-B369-4C8A-9FD9-AFE55707DE9E}"/>
    <hyperlink ref="B29" r:id="rId65" display="https://www.norwichinns.com/directory/eaton-golf-club/" xr:uid="{F83F3FB4-30D2-44CA-AA94-898D126C1B50}"/>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91BA70-CFB3-4DAA-8949-AC36E11B9F01}">
  <sheetPr>
    <tabColor rgb="FFFF0000"/>
  </sheetPr>
  <dimension ref="A1"/>
  <sheetViews>
    <sheetView workbookViewId="0">
      <selection activeCell="T50" sqref="T50"/>
    </sheetView>
  </sheetViews>
  <sheetFormatPr defaultRowHeight="15" x14ac:dyDescent="0.25"/>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2196A5-0CB6-4633-A2D1-3C40D5950704}">
  <dimension ref="B1:L86"/>
  <sheetViews>
    <sheetView workbookViewId="0">
      <selection activeCell="R9" sqref="R9"/>
    </sheetView>
  </sheetViews>
  <sheetFormatPr defaultRowHeight="15" x14ac:dyDescent="0.25"/>
  <cols>
    <col min="3" max="3" width="24.42578125" bestFit="1" customWidth="1"/>
    <col min="12" max="12" width="16" bestFit="1" customWidth="1"/>
  </cols>
  <sheetData>
    <row r="1" spans="2:12" ht="15.75" thickBot="1" x14ac:dyDescent="0.3"/>
    <row r="2" spans="2:12" x14ac:dyDescent="0.25">
      <c r="B2" s="46"/>
      <c r="C2" s="47" t="s">
        <v>949</v>
      </c>
      <c r="D2" s="48">
        <v>2024</v>
      </c>
      <c r="E2" s="48">
        <v>2025</v>
      </c>
      <c r="F2" s="46"/>
      <c r="G2" s="212" t="s">
        <v>950</v>
      </c>
      <c r="H2" s="212"/>
      <c r="I2" s="212"/>
      <c r="L2" s="68" t="s">
        <v>1044</v>
      </c>
    </row>
    <row r="3" spans="2:12" ht="15.75" thickBot="1" x14ac:dyDescent="0.3">
      <c r="B3" s="46"/>
      <c r="C3" s="49" t="s">
        <v>951</v>
      </c>
      <c r="D3" s="50">
        <v>7.2996256567377307E-2</v>
      </c>
      <c r="E3" s="66">
        <v>6.8302981204746038E-2</v>
      </c>
      <c r="F3" s="46"/>
      <c r="G3" s="212"/>
      <c r="H3" s="212"/>
      <c r="I3" s="212"/>
      <c r="L3" s="69" t="s">
        <v>1045</v>
      </c>
    </row>
    <row r="5" spans="2:12" x14ac:dyDescent="0.25">
      <c r="B5" s="215" t="s">
        <v>952</v>
      </c>
      <c r="C5" s="220" t="s">
        <v>949</v>
      </c>
      <c r="D5" s="221">
        <v>2024</v>
      </c>
      <c r="E5" s="221"/>
      <c r="F5" s="221">
        <v>2025</v>
      </c>
      <c r="G5" s="221"/>
      <c r="H5" s="221"/>
      <c r="I5" s="221"/>
    </row>
    <row r="6" spans="2:12" ht="24" x14ac:dyDescent="0.25">
      <c r="B6" s="217"/>
      <c r="C6" s="220"/>
      <c r="D6" s="51" t="s">
        <v>953</v>
      </c>
      <c r="E6" s="51" t="s">
        <v>954</v>
      </c>
      <c r="F6" s="51" t="s">
        <v>953</v>
      </c>
      <c r="G6" s="52" t="s">
        <v>955</v>
      </c>
      <c r="H6" s="51" t="s">
        <v>954</v>
      </c>
      <c r="I6" s="52" t="s">
        <v>955</v>
      </c>
    </row>
    <row r="7" spans="2:12" x14ac:dyDescent="0.25">
      <c r="B7" s="218" t="s">
        <v>956</v>
      </c>
      <c r="C7" s="53" t="s">
        <v>957</v>
      </c>
      <c r="D7" s="54">
        <v>6621783.3999999985</v>
      </c>
      <c r="E7" s="54">
        <v>215</v>
      </c>
      <c r="F7" s="54">
        <v>6500258.0000000009</v>
      </c>
      <c r="G7" s="55">
        <v>-1.8352367128166347E-2</v>
      </c>
      <c r="H7" s="54">
        <v>215</v>
      </c>
      <c r="I7" s="56">
        <v>-1</v>
      </c>
    </row>
    <row r="8" spans="2:12" x14ac:dyDescent="0.25">
      <c r="B8" s="213"/>
      <c r="C8" s="57" t="s">
        <v>958</v>
      </c>
      <c r="D8" s="60">
        <v>6011868.0999999978</v>
      </c>
      <c r="E8" s="60">
        <v>215</v>
      </c>
      <c r="F8" s="60">
        <v>5884139</v>
      </c>
      <c r="G8" s="61">
        <v>-2.1246158078551014E-2</v>
      </c>
      <c r="H8" s="60">
        <v>215</v>
      </c>
      <c r="I8" s="62">
        <v>-1</v>
      </c>
    </row>
    <row r="9" spans="2:12" x14ac:dyDescent="0.25">
      <c r="B9" s="213"/>
      <c r="C9" s="67" t="s">
        <v>959</v>
      </c>
      <c r="D9" s="60">
        <v>483365.39999999997</v>
      </c>
      <c r="E9" s="60">
        <v>100</v>
      </c>
      <c r="F9" s="60">
        <v>443987.00000000012</v>
      </c>
      <c r="G9" s="61">
        <v>-8.1467146800329182E-2</v>
      </c>
      <c r="H9" s="60">
        <v>90</v>
      </c>
      <c r="I9" s="62">
        <v>-11</v>
      </c>
    </row>
    <row r="10" spans="2:12" x14ac:dyDescent="0.25">
      <c r="B10" s="213"/>
      <c r="C10" s="57" t="s">
        <v>960</v>
      </c>
      <c r="D10" s="60">
        <v>553047.39999999991</v>
      </c>
      <c r="E10" s="60">
        <v>95</v>
      </c>
      <c r="F10" s="60">
        <v>509190.8</v>
      </c>
      <c r="G10" s="61">
        <v>-7.9299893643835828E-2</v>
      </c>
      <c r="H10" s="60">
        <v>103</v>
      </c>
      <c r="I10" s="62">
        <v>7</v>
      </c>
    </row>
    <row r="11" spans="2:12" x14ac:dyDescent="0.25">
      <c r="B11" s="213"/>
      <c r="C11" s="57" t="s">
        <v>961</v>
      </c>
      <c r="D11" s="60">
        <v>1158371.3</v>
      </c>
      <c r="E11" s="60">
        <v>172</v>
      </c>
      <c r="F11" s="60">
        <v>969650.29999999993</v>
      </c>
      <c r="G11" s="61">
        <v>-0.16291926431533665</v>
      </c>
      <c r="H11" s="60">
        <v>156</v>
      </c>
      <c r="I11" s="62">
        <v>-17</v>
      </c>
    </row>
    <row r="12" spans="2:12" x14ac:dyDescent="0.25">
      <c r="B12" s="213"/>
      <c r="C12" s="57" t="s">
        <v>962</v>
      </c>
      <c r="D12" s="60">
        <v>2139576.1000000006</v>
      </c>
      <c r="E12" s="60">
        <v>194</v>
      </c>
      <c r="F12" s="60">
        <v>2303465.2000000002</v>
      </c>
      <c r="G12" s="61">
        <v>7.6598864606872263E-2</v>
      </c>
      <c r="H12" s="60">
        <v>198</v>
      </c>
      <c r="I12" s="62">
        <v>3</v>
      </c>
    </row>
    <row r="13" spans="2:12" x14ac:dyDescent="0.25">
      <c r="B13" s="213"/>
      <c r="C13" s="57" t="s">
        <v>963</v>
      </c>
      <c r="D13" s="60">
        <v>2287416.4</v>
      </c>
      <c r="E13" s="60">
        <v>214</v>
      </c>
      <c r="F13" s="60">
        <v>2273949.5</v>
      </c>
      <c r="G13" s="61">
        <v>-5.8873845619012988E-3</v>
      </c>
      <c r="H13" s="60">
        <v>214</v>
      </c>
      <c r="I13" s="62">
        <v>-1</v>
      </c>
    </row>
    <row r="14" spans="2:12" x14ac:dyDescent="0.25">
      <c r="B14" s="213" t="s">
        <v>964</v>
      </c>
      <c r="C14" s="57" t="s">
        <v>965</v>
      </c>
      <c r="D14" s="60">
        <v>3706048.7999999993</v>
      </c>
      <c r="E14" s="60">
        <v>215</v>
      </c>
      <c r="F14" s="60">
        <v>3613502.4000000008</v>
      </c>
      <c r="G14" s="61">
        <v>-2.4971716508427666E-2</v>
      </c>
      <c r="H14" s="60">
        <v>215</v>
      </c>
      <c r="I14" s="62">
        <v>-1</v>
      </c>
    </row>
    <row r="15" spans="2:12" x14ac:dyDescent="0.25">
      <c r="B15" s="213"/>
      <c r="C15" s="57" t="s">
        <v>966</v>
      </c>
      <c r="D15" s="60">
        <v>887698.10000000021</v>
      </c>
      <c r="E15" s="60">
        <v>137</v>
      </c>
      <c r="F15" s="60">
        <v>769456.39999999991</v>
      </c>
      <c r="G15" s="61">
        <v>-0.13320035268747366</v>
      </c>
      <c r="H15" s="60">
        <v>136</v>
      </c>
      <c r="I15" s="62">
        <v>-2</v>
      </c>
    </row>
    <row r="16" spans="2:12" x14ac:dyDescent="0.25">
      <c r="B16" s="213"/>
      <c r="C16" s="67" t="s">
        <v>967</v>
      </c>
      <c r="D16" s="60">
        <v>1455.6999999999998</v>
      </c>
      <c r="E16" s="60">
        <v>1</v>
      </c>
      <c r="F16" s="60"/>
      <c r="G16" s="61"/>
      <c r="H16" s="60">
        <v>0</v>
      </c>
      <c r="I16" s="62">
        <v>-2</v>
      </c>
    </row>
    <row r="17" spans="2:9" x14ac:dyDescent="0.25">
      <c r="B17" s="213"/>
      <c r="C17" s="57" t="s">
        <v>968</v>
      </c>
      <c r="D17" s="60">
        <v>149133.29999999999</v>
      </c>
      <c r="E17" s="60">
        <v>32</v>
      </c>
      <c r="F17" s="60">
        <v>115488.20000000001</v>
      </c>
      <c r="G17" s="61">
        <v>-0.22560420777921486</v>
      </c>
      <c r="H17" s="60">
        <v>28</v>
      </c>
      <c r="I17" s="62">
        <v>-5</v>
      </c>
    </row>
    <row r="18" spans="2:9" x14ac:dyDescent="0.25">
      <c r="B18" s="213"/>
      <c r="C18" s="57" t="s">
        <v>969</v>
      </c>
      <c r="D18" s="60">
        <v>223880.50000000003</v>
      </c>
      <c r="E18" s="60">
        <v>38</v>
      </c>
      <c r="F18" s="60">
        <v>199734.39999999997</v>
      </c>
      <c r="G18" s="61">
        <v>-0.10785262673613849</v>
      </c>
      <c r="H18" s="60">
        <v>41</v>
      </c>
      <c r="I18" s="62">
        <v>2</v>
      </c>
    </row>
    <row r="19" spans="2:9" x14ac:dyDescent="0.25">
      <c r="B19" s="213"/>
      <c r="C19" s="57" t="s">
        <v>970</v>
      </c>
      <c r="D19" s="60">
        <v>504205.3</v>
      </c>
      <c r="E19" s="60">
        <v>88</v>
      </c>
      <c r="F19" s="60">
        <v>444722.50000000006</v>
      </c>
      <c r="G19" s="61">
        <v>-0.11797337314780298</v>
      </c>
      <c r="H19" s="60">
        <v>85</v>
      </c>
      <c r="I19" s="62">
        <v>-4</v>
      </c>
    </row>
    <row r="20" spans="2:9" x14ac:dyDescent="0.25">
      <c r="B20" s="213"/>
      <c r="C20" s="57" t="s">
        <v>971</v>
      </c>
      <c r="D20" s="60"/>
      <c r="E20" s="60">
        <v>0</v>
      </c>
      <c r="F20" s="60"/>
      <c r="G20" s="61"/>
      <c r="H20" s="60">
        <v>0</v>
      </c>
      <c r="I20" s="62">
        <v>-1</v>
      </c>
    </row>
    <row r="21" spans="2:9" x14ac:dyDescent="0.25">
      <c r="B21" s="213" t="s">
        <v>972</v>
      </c>
      <c r="C21" s="57" t="s">
        <v>973</v>
      </c>
      <c r="D21" s="60">
        <v>443418.2</v>
      </c>
      <c r="E21" s="60">
        <v>109</v>
      </c>
      <c r="F21" s="60">
        <v>386535.29999999993</v>
      </c>
      <c r="G21" s="61">
        <v>-0.12828273625214315</v>
      </c>
      <c r="H21" s="60">
        <v>109</v>
      </c>
      <c r="I21" s="62">
        <v>-1</v>
      </c>
    </row>
    <row r="22" spans="2:9" x14ac:dyDescent="0.25">
      <c r="B22" s="213"/>
      <c r="C22" s="57" t="s">
        <v>974</v>
      </c>
      <c r="D22" s="60">
        <v>222532.99999999997</v>
      </c>
      <c r="E22" s="60">
        <v>55</v>
      </c>
      <c r="F22" s="60">
        <v>214966.1</v>
      </c>
      <c r="G22" s="61">
        <v>-3.4003496110689091E-2</v>
      </c>
      <c r="H22" s="60">
        <v>64</v>
      </c>
      <c r="I22" s="62">
        <v>8</v>
      </c>
    </row>
    <row r="23" spans="2:9" x14ac:dyDescent="0.25">
      <c r="B23" s="213"/>
      <c r="C23" s="67" t="s">
        <v>975</v>
      </c>
      <c r="D23" s="60">
        <v>16436.399999999998</v>
      </c>
      <c r="E23" s="60">
        <v>4</v>
      </c>
      <c r="F23" s="60">
        <v>8847.5999999999985</v>
      </c>
      <c r="G23" s="61">
        <v>-0.46170694312623206</v>
      </c>
      <c r="H23" s="60">
        <v>4</v>
      </c>
      <c r="I23" s="62">
        <v>-1</v>
      </c>
    </row>
    <row r="24" spans="2:9" x14ac:dyDescent="0.25">
      <c r="B24" s="213"/>
      <c r="C24" s="57" t="s">
        <v>976</v>
      </c>
      <c r="D24" s="60">
        <v>135976.20000000001</v>
      </c>
      <c r="E24" s="60">
        <v>34</v>
      </c>
      <c r="F24" s="60">
        <v>97493.099999999991</v>
      </c>
      <c r="G24" s="61">
        <v>-0.28301349795037678</v>
      </c>
      <c r="H24" s="60">
        <v>24</v>
      </c>
      <c r="I24" s="62">
        <v>-11</v>
      </c>
    </row>
    <row r="25" spans="2:9" x14ac:dyDescent="0.25">
      <c r="B25" s="213"/>
      <c r="C25" s="57" t="s">
        <v>977</v>
      </c>
      <c r="D25" s="60"/>
      <c r="E25" s="60">
        <v>0</v>
      </c>
      <c r="F25" s="60"/>
      <c r="G25" s="61"/>
      <c r="H25" s="60">
        <v>0</v>
      </c>
      <c r="I25" s="62">
        <v>-1</v>
      </c>
    </row>
    <row r="26" spans="2:9" x14ac:dyDescent="0.25">
      <c r="B26" s="213"/>
      <c r="C26" s="57" t="s">
        <v>978</v>
      </c>
      <c r="D26" s="60">
        <v>2288.6999999999998</v>
      </c>
      <c r="E26" s="60">
        <v>1</v>
      </c>
      <c r="F26" s="60">
        <v>441.9</v>
      </c>
      <c r="G26" s="61">
        <v>-0.80692095949665754</v>
      </c>
      <c r="H26" s="60">
        <v>0</v>
      </c>
      <c r="I26" s="62">
        <v>-2</v>
      </c>
    </row>
    <row r="27" spans="2:9" x14ac:dyDescent="0.25">
      <c r="B27" s="213"/>
      <c r="C27" s="57" t="s">
        <v>979</v>
      </c>
      <c r="D27" s="60"/>
      <c r="E27" s="60">
        <v>0</v>
      </c>
      <c r="F27" s="60"/>
      <c r="G27" s="61"/>
      <c r="H27" s="60">
        <v>0</v>
      </c>
      <c r="I27" s="62">
        <v>-1</v>
      </c>
    </row>
    <row r="28" spans="2:9" x14ac:dyDescent="0.25">
      <c r="B28" s="213"/>
      <c r="C28" s="57" t="s">
        <v>980</v>
      </c>
      <c r="D28" s="60">
        <v>66183.400000000009</v>
      </c>
      <c r="E28" s="60">
        <v>21</v>
      </c>
      <c r="F28" s="60">
        <v>64786.6</v>
      </c>
      <c r="G28" s="61">
        <v>-2.1104990073039565E-2</v>
      </c>
      <c r="H28" s="60">
        <v>22</v>
      </c>
      <c r="I28" s="62">
        <v>0</v>
      </c>
    </row>
    <row r="29" spans="2:9" x14ac:dyDescent="0.25">
      <c r="B29" s="213" t="s">
        <v>981</v>
      </c>
      <c r="C29" s="57" t="s">
        <v>982</v>
      </c>
      <c r="D29" s="60">
        <v>619091.39999999991</v>
      </c>
      <c r="E29" s="60">
        <v>114</v>
      </c>
      <c r="F29" s="60">
        <v>595424.6</v>
      </c>
      <c r="G29" s="61">
        <v>-3.8228280993727104E-2</v>
      </c>
      <c r="H29" s="60">
        <v>118</v>
      </c>
      <c r="I29" s="62">
        <v>3</v>
      </c>
    </row>
    <row r="30" spans="2:9" x14ac:dyDescent="0.25">
      <c r="B30" s="213"/>
      <c r="C30" s="67" t="s">
        <v>983</v>
      </c>
      <c r="D30" s="60">
        <v>14992</v>
      </c>
      <c r="E30" s="60">
        <v>5</v>
      </c>
      <c r="F30" s="60">
        <v>9411.5</v>
      </c>
      <c r="G30" s="61">
        <v>-0.37223185699039485</v>
      </c>
      <c r="H30" s="60">
        <v>2</v>
      </c>
      <c r="I30" s="62">
        <v>-4</v>
      </c>
    </row>
    <row r="31" spans="2:9" x14ac:dyDescent="0.25">
      <c r="B31" s="213"/>
      <c r="C31" s="57" t="s">
        <v>984</v>
      </c>
      <c r="D31" s="60">
        <v>233863.99999999997</v>
      </c>
      <c r="E31" s="60">
        <v>42</v>
      </c>
      <c r="F31" s="60">
        <v>218752.89999999997</v>
      </c>
      <c r="G31" s="61">
        <v>-6.4614904388875627E-2</v>
      </c>
      <c r="H31" s="60">
        <v>40</v>
      </c>
      <c r="I31" s="62">
        <v>-3</v>
      </c>
    </row>
    <row r="32" spans="2:9" x14ac:dyDescent="0.25">
      <c r="B32" s="213"/>
      <c r="C32" s="57" t="s">
        <v>985</v>
      </c>
      <c r="D32" s="60">
        <v>69973.89999999998</v>
      </c>
      <c r="E32" s="60">
        <v>24</v>
      </c>
      <c r="F32" s="60">
        <v>75620.399999999994</v>
      </c>
      <c r="G32" s="61">
        <v>8.0694373187717439E-2</v>
      </c>
      <c r="H32" s="60">
        <v>24</v>
      </c>
      <c r="I32" s="62">
        <v>-1</v>
      </c>
    </row>
    <row r="33" spans="2:9" x14ac:dyDescent="0.25">
      <c r="B33" s="213"/>
      <c r="C33" s="57" t="s">
        <v>986</v>
      </c>
      <c r="D33" s="60">
        <v>83805.8</v>
      </c>
      <c r="E33" s="60">
        <v>19</v>
      </c>
      <c r="F33" s="60">
        <v>74861.5</v>
      </c>
      <c r="G33" s="61">
        <v>-0.10672650341623136</v>
      </c>
      <c r="H33" s="60">
        <v>25</v>
      </c>
      <c r="I33" s="62">
        <v>5</v>
      </c>
    </row>
    <row r="34" spans="2:9" x14ac:dyDescent="0.25">
      <c r="B34" s="213"/>
      <c r="C34" s="67" t="s">
        <v>987</v>
      </c>
      <c r="D34" s="60">
        <v>196150.90000000002</v>
      </c>
      <c r="E34" s="60">
        <v>48</v>
      </c>
      <c r="F34" s="60">
        <v>174336</v>
      </c>
      <c r="G34" s="61">
        <v>-0.11121488609024999</v>
      </c>
      <c r="H34" s="60">
        <v>36</v>
      </c>
      <c r="I34" s="62">
        <v>-13</v>
      </c>
    </row>
    <row r="35" spans="2:9" x14ac:dyDescent="0.25">
      <c r="B35" s="213"/>
      <c r="C35" s="67" t="s">
        <v>988</v>
      </c>
      <c r="D35" s="60">
        <v>216451.49999999997</v>
      </c>
      <c r="E35" s="60">
        <v>50</v>
      </c>
      <c r="F35" s="60">
        <v>216774.79999999996</v>
      </c>
      <c r="G35" s="61">
        <v>1.4936371427316519E-3</v>
      </c>
      <c r="H35" s="60">
        <v>54</v>
      </c>
      <c r="I35" s="62">
        <v>3</v>
      </c>
    </row>
    <row r="36" spans="2:9" x14ac:dyDescent="0.25">
      <c r="B36" s="213" t="s">
        <v>989</v>
      </c>
      <c r="C36" s="57" t="s">
        <v>990</v>
      </c>
      <c r="D36" s="60">
        <v>1755829.3</v>
      </c>
      <c r="E36" s="60">
        <v>212</v>
      </c>
      <c r="F36" s="60">
        <v>1862078.7999999998</v>
      </c>
      <c r="G36" s="61">
        <v>6.0512431362205854E-2</v>
      </c>
      <c r="H36" s="60">
        <v>212</v>
      </c>
      <c r="I36" s="62">
        <v>-1</v>
      </c>
    </row>
    <row r="37" spans="2:9" x14ac:dyDescent="0.25">
      <c r="B37" s="213"/>
      <c r="C37" s="57" t="s">
        <v>991</v>
      </c>
      <c r="D37" s="60">
        <v>24459.999999999996</v>
      </c>
      <c r="E37" s="60">
        <v>5</v>
      </c>
      <c r="F37" s="60">
        <v>24004.2</v>
      </c>
      <c r="G37" s="61">
        <v>-1.8634505314799488E-2</v>
      </c>
      <c r="H37" s="60">
        <v>6</v>
      </c>
      <c r="I37" s="62">
        <v>0</v>
      </c>
    </row>
    <row r="38" spans="2:9" x14ac:dyDescent="0.25">
      <c r="B38" s="213"/>
      <c r="C38" s="57" t="s">
        <v>992</v>
      </c>
      <c r="D38" s="60">
        <v>646122.6</v>
      </c>
      <c r="E38" s="60">
        <v>136</v>
      </c>
      <c r="F38" s="60">
        <v>656705.6</v>
      </c>
      <c r="G38" s="61">
        <v>1.6379244434415297E-2</v>
      </c>
      <c r="H38" s="60">
        <v>138</v>
      </c>
      <c r="I38" s="62">
        <v>1</v>
      </c>
    </row>
    <row r="39" spans="2:9" x14ac:dyDescent="0.25">
      <c r="B39" s="213"/>
      <c r="C39" s="67" t="s">
        <v>993</v>
      </c>
      <c r="D39" s="60">
        <v>14994.499999999996</v>
      </c>
      <c r="E39" s="60">
        <v>8</v>
      </c>
      <c r="F39" s="60">
        <v>17611.2</v>
      </c>
      <c r="G39" s="61">
        <v>0.17451065390643272</v>
      </c>
      <c r="H39" s="60">
        <v>12</v>
      </c>
      <c r="I39" s="62">
        <v>3</v>
      </c>
    </row>
    <row r="40" spans="2:9" x14ac:dyDescent="0.25">
      <c r="B40" s="213"/>
      <c r="C40" s="57" t="s">
        <v>994</v>
      </c>
      <c r="D40" s="60">
        <v>428.70000000000005</v>
      </c>
      <c r="E40" s="60">
        <v>0</v>
      </c>
      <c r="F40" s="60"/>
      <c r="G40" s="61"/>
      <c r="H40" s="60">
        <v>0</v>
      </c>
      <c r="I40" s="62">
        <v>-1</v>
      </c>
    </row>
    <row r="41" spans="2:9" x14ac:dyDescent="0.25">
      <c r="B41" s="213"/>
      <c r="C41" s="67" t="s">
        <v>995</v>
      </c>
      <c r="D41" s="60">
        <v>5755.2</v>
      </c>
      <c r="E41" s="60">
        <v>3</v>
      </c>
      <c r="F41" s="60">
        <v>2591.3999999999996</v>
      </c>
      <c r="G41" s="61">
        <v>-0.54972894078398671</v>
      </c>
      <c r="H41" s="60">
        <v>4</v>
      </c>
      <c r="I41" s="62">
        <v>0</v>
      </c>
    </row>
    <row r="42" spans="2:9" x14ac:dyDescent="0.25">
      <c r="B42" s="213"/>
      <c r="C42" s="57" t="s">
        <v>996</v>
      </c>
      <c r="D42" s="60">
        <v>65483.199999999997</v>
      </c>
      <c r="E42" s="60">
        <v>13</v>
      </c>
      <c r="F42" s="60">
        <v>46210.200000000004</v>
      </c>
      <c r="G42" s="61">
        <v>-0.29431976445867025</v>
      </c>
      <c r="H42" s="60">
        <v>16</v>
      </c>
      <c r="I42" s="62">
        <v>2</v>
      </c>
    </row>
    <row r="43" spans="2:9" x14ac:dyDescent="0.25">
      <c r="B43" s="213"/>
      <c r="C43" s="57" t="s">
        <v>997</v>
      </c>
      <c r="D43" s="60">
        <v>406248.40000000008</v>
      </c>
      <c r="E43" s="60">
        <v>95</v>
      </c>
      <c r="F43" s="60">
        <v>329433.20000000007</v>
      </c>
      <c r="G43" s="61">
        <v>-0.18908431393206715</v>
      </c>
      <c r="H43" s="60">
        <v>79</v>
      </c>
      <c r="I43" s="62">
        <v>-17</v>
      </c>
    </row>
    <row r="44" spans="2:9" x14ac:dyDescent="0.25">
      <c r="B44" s="213"/>
      <c r="C44" s="67" t="s">
        <v>998</v>
      </c>
      <c r="D44" s="60"/>
      <c r="E44" s="60">
        <v>0</v>
      </c>
      <c r="F44" s="60"/>
      <c r="G44" s="61"/>
      <c r="H44" s="60">
        <v>0</v>
      </c>
      <c r="I44" s="62">
        <v>-1</v>
      </c>
    </row>
    <row r="45" spans="2:9" x14ac:dyDescent="0.25">
      <c r="B45" s="213"/>
      <c r="C45" s="57" t="s">
        <v>999</v>
      </c>
      <c r="D45" s="60">
        <v>48737.19999999999</v>
      </c>
      <c r="E45" s="60">
        <v>14</v>
      </c>
      <c r="F45" s="60">
        <v>59409.799999999996</v>
      </c>
      <c r="G45" s="61">
        <v>0.21898262518158629</v>
      </c>
      <c r="H45" s="60">
        <v>17</v>
      </c>
      <c r="I45" s="62">
        <v>2</v>
      </c>
    </row>
    <row r="46" spans="2:9" x14ac:dyDescent="0.25">
      <c r="B46" s="213"/>
      <c r="C46" s="57" t="s">
        <v>1000</v>
      </c>
      <c r="D46" s="60"/>
      <c r="E46" s="60">
        <v>0</v>
      </c>
      <c r="F46" s="60"/>
      <c r="G46" s="61"/>
      <c r="H46" s="60">
        <v>0</v>
      </c>
      <c r="I46" s="62">
        <v>-1</v>
      </c>
    </row>
    <row r="47" spans="2:9" x14ac:dyDescent="0.25">
      <c r="B47" s="213"/>
      <c r="C47" s="57" t="s">
        <v>1001</v>
      </c>
      <c r="D47" s="60">
        <v>4346</v>
      </c>
      <c r="E47" s="60">
        <v>4</v>
      </c>
      <c r="F47" s="60">
        <v>18827.5</v>
      </c>
      <c r="G47" s="61">
        <v>3.3321445006902897</v>
      </c>
      <c r="H47" s="60">
        <v>7</v>
      </c>
      <c r="I47" s="62">
        <v>2</v>
      </c>
    </row>
    <row r="48" spans="2:9" x14ac:dyDescent="0.25">
      <c r="B48" s="213"/>
      <c r="C48" s="57" t="s">
        <v>1002</v>
      </c>
      <c r="D48" s="60"/>
      <c r="E48" s="60">
        <v>0</v>
      </c>
      <c r="F48" s="60"/>
      <c r="G48" s="61"/>
      <c r="H48" s="60">
        <v>0</v>
      </c>
      <c r="I48" s="62">
        <v>-1</v>
      </c>
    </row>
    <row r="49" spans="2:9" x14ac:dyDescent="0.25">
      <c r="B49" s="213"/>
      <c r="C49" s="57" t="s">
        <v>1003</v>
      </c>
      <c r="D49" s="60">
        <v>29457.899999999998</v>
      </c>
      <c r="E49" s="60">
        <v>12</v>
      </c>
      <c r="F49" s="60">
        <v>30433.300000000003</v>
      </c>
      <c r="G49" s="61">
        <v>3.3111661048479624E-2</v>
      </c>
      <c r="H49" s="60">
        <v>14</v>
      </c>
      <c r="I49" s="62">
        <v>1</v>
      </c>
    </row>
    <row r="50" spans="2:9" x14ac:dyDescent="0.25">
      <c r="B50" s="213"/>
      <c r="C50" s="57" t="s">
        <v>1004</v>
      </c>
      <c r="D50" s="60">
        <v>1295.8</v>
      </c>
      <c r="E50" s="60">
        <v>1</v>
      </c>
      <c r="F50" s="60">
        <v>834.69999999999993</v>
      </c>
      <c r="G50" s="61">
        <v>-0.35584195091835158</v>
      </c>
      <c r="H50" s="60">
        <v>0</v>
      </c>
      <c r="I50" s="62">
        <v>-2</v>
      </c>
    </row>
    <row r="51" spans="2:9" x14ac:dyDescent="0.25">
      <c r="B51" s="219" t="s">
        <v>1005</v>
      </c>
      <c r="C51" s="57" t="s">
        <v>1006</v>
      </c>
      <c r="D51" s="60">
        <v>64425.599999999999</v>
      </c>
      <c r="E51" s="60">
        <v>40</v>
      </c>
      <c r="F51" s="60">
        <v>63428.7</v>
      </c>
      <c r="G51" s="61">
        <v>-1.5473662643421315E-2</v>
      </c>
      <c r="H51" s="60">
        <v>40</v>
      </c>
      <c r="I51" s="62">
        <v>-1</v>
      </c>
    </row>
    <row r="52" spans="2:9" x14ac:dyDescent="0.25">
      <c r="B52" s="219"/>
      <c r="C52" s="67" t="s">
        <v>1007</v>
      </c>
      <c r="D52" s="60"/>
      <c r="E52" s="60">
        <v>0</v>
      </c>
      <c r="F52" s="60"/>
      <c r="G52" s="61"/>
      <c r="H52" s="60">
        <v>0</v>
      </c>
      <c r="I52" s="62">
        <v>-1</v>
      </c>
    </row>
    <row r="53" spans="2:9" x14ac:dyDescent="0.25">
      <c r="B53" s="219"/>
      <c r="C53" s="67" t="s">
        <v>1008</v>
      </c>
      <c r="D53" s="60"/>
      <c r="E53" s="60">
        <v>0</v>
      </c>
      <c r="F53" s="60"/>
      <c r="G53" s="61"/>
      <c r="H53" s="60">
        <v>0</v>
      </c>
      <c r="I53" s="62">
        <v>-1</v>
      </c>
    </row>
    <row r="54" spans="2:9" x14ac:dyDescent="0.25">
      <c r="B54" s="213" t="s">
        <v>1009</v>
      </c>
      <c r="C54" s="57" t="s">
        <v>1010</v>
      </c>
      <c r="D54" s="60">
        <v>1318297</v>
      </c>
      <c r="E54" s="60">
        <v>203</v>
      </c>
      <c r="F54" s="60">
        <v>1175159.5</v>
      </c>
      <c r="G54" s="61">
        <v>-0.10857758153132413</v>
      </c>
      <c r="H54" s="60">
        <v>194</v>
      </c>
      <c r="I54" s="62">
        <v>-10</v>
      </c>
    </row>
    <row r="55" spans="2:9" x14ac:dyDescent="0.25">
      <c r="B55" s="213"/>
      <c r="C55" s="57" t="s">
        <v>1011</v>
      </c>
      <c r="D55" s="60">
        <v>248437.69999999998</v>
      </c>
      <c r="E55" s="60">
        <v>116</v>
      </c>
      <c r="F55" s="60">
        <v>279005.09999999998</v>
      </c>
      <c r="G55" s="61">
        <v>0.12303849214511331</v>
      </c>
      <c r="H55" s="60">
        <v>130</v>
      </c>
      <c r="I55" s="62">
        <v>13</v>
      </c>
    </row>
    <row r="56" spans="2:9" x14ac:dyDescent="0.25">
      <c r="B56" s="213"/>
      <c r="C56" s="57" t="s">
        <v>1012</v>
      </c>
      <c r="D56" s="60">
        <v>125426.29999999999</v>
      </c>
      <c r="E56" s="60">
        <v>69</v>
      </c>
      <c r="F56" s="60">
        <v>110022.49999999999</v>
      </c>
      <c r="G56" s="61">
        <v>-0.12281156344403055</v>
      </c>
      <c r="H56" s="60">
        <v>59</v>
      </c>
      <c r="I56" s="62">
        <v>-11</v>
      </c>
    </row>
    <row r="57" spans="2:9" x14ac:dyDescent="0.25">
      <c r="B57" s="213"/>
      <c r="C57" s="57" t="s">
        <v>1013</v>
      </c>
      <c r="D57" s="60">
        <v>4124.8</v>
      </c>
      <c r="E57" s="60">
        <v>1</v>
      </c>
      <c r="F57" s="60">
        <v>3875</v>
      </c>
      <c r="G57" s="61">
        <v>-6.0560512024825486E-2</v>
      </c>
      <c r="H57" s="60">
        <v>2</v>
      </c>
      <c r="I57" s="62">
        <v>0</v>
      </c>
    </row>
    <row r="58" spans="2:9" x14ac:dyDescent="0.25">
      <c r="B58" s="213"/>
      <c r="C58" s="57" t="s">
        <v>1014</v>
      </c>
      <c r="D58" s="60">
        <v>1188736.5</v>
      </c>
      <c r="E58" s="60">
        <v>185</v>
      </c>
      <c r="F58" s="60">
        <v>1061252.8999999999</v>
      </c>
      <c r="G58" s="61">
        <v>-0.10724294240144905</v>
      </c>
      <c r="H58" s="60">
        <v>179</v>
      </c>
      <c r="I58" s="62">
        <v>-7</v>
      </c>
    </row>
    <row r="59" spans="2:9" x14ac:dyDescent="0.25">
      <c r="B59" s="213"/>
      <c r="C59" s="57" t="s">
        <v>1015</v>
      </c>
      <c r="D59" s="60">
        <v>142908.5</v>
      </c>
      <c r="E59" s="60">
        <v>72</v>
      </c>
      <c r="F59" s="60">
        <v>156983.19999999998</v>
      </c>
      <c r="G59" s="61">
        <v>9.84874937459983E-2</v>
      </c>
      <c r="H59" s="60">
        <v>68</v>
      </c>
      <c r="I59" s="62">
        <v>-5</v>
      </c>
    </row>
    <row r="60" spans="2:9" x14ac:dyDescent="0.25">
      <c r="B60" s="213"/>
      <c r="C60" s="57" t="s">
        <v>1016</v>
      </c>
      <c r="D60" s="60">
        <v>587.09999999999991</v>
      </c>
      <c r="E60" s="60">
        <v>1</v>
      </c>
      <c r="F60" s="60">
        <v>717.19999999999993</v>
      </c>
      <c r="G60" s="61">
        <v>0.2215976835292115</v>
      </c>
      <c r="H60" s="60">
        <v>1</v>
      </c>
      <c r="I60" s="62">
        <v>-1</v>
      </c>
    </row>
    <row r="61" spans="2:9" x14ac:dyDescent="0.25">
      <c r="B61" s="213"/>
      <c r="C61" s="67" t="s">
        <v>1017</v>
      </c>
      <c r="D61" s="60">
        <v>10485.699999999999</v>
      </c>
      <c r="E61" s="60">
        <v>9</v>
      </c>
      <c r="F61" s="60">
        <v>10217.599999999999</v>
      </c>
      <c r="G61" s="61">
        <v>-2.5568154725006509E-2</v>
      </c>
      <c r="H61" s="60">
        <v>8</v>
      </c>
      <c r="I61" s="62">
        <v>-2</v>
      </c>
    </row>
    <row r="62" spans="2:9" x14ac:dyDescent="0.25">
      <c r="B62" s="213"/>
      <c r="C62" s="57" t="s">
        <v>1018</v>
      </c>
      <c r="D62" s="60"/>
      <c r="E62" s="60">
        <v>0</v>
      </c>
      <c r="F62" s="60"/>
      <c r="G62" s="61"/>
      <c r="H62" s="60">
        <v>0</v>
      </c>
      <c r="I62" s="62">
        <v>-1</v>
      </c>
    </row>
    <row r="63" spans="2:9" x14ac:dyDescent="0.25">
      <c r="B63" s="213"/>
      <c r="C63" s="57" t="s">
        <v>1019</v>
      </c>
      <c r="D63" s="60"/>
      <c r="E63" s="60">
        <v>0</v>
      </c>
      <c r="F63" s="60"/>
      <c r="G63" s="61"/>
      <c r="H63" s="60">
        <v>0</v>
      </c>
      <c r="I63" s="62">
        <v>-1</v>
      </c>
    </row>
    <row r="64" spans="2:9" x14ac:dyDescent="0.25">
      <c r="B64" s="213"/>
      <c r="C64" s="57" t="s">
        <v>1020</v>
      </c>
      <c r="D64" s="60"/>
      <c r="E64" s="60">
        <v>0</v>
      </c>
      <c r="F64" s="60"/>
      <c r="G64" s="61"/>
      <c r="H64" s="60">
        <v>0</v>
      </c>
      <c r="I64" s="62">
        <v>-1</v>
      </c>
    </row>
    <row r="65" spans="2:9" x14ac:dyDescent="0.25">
      <c r="B65" s="213"/>
      <c r="C65" s="57" t="s">
        <v>1021</v>
      </c>
      <c r="D65" s="60"/>
      <c r="E65" s="60">
        <v>0</v>
      </c>
      <c r="F65" s="60"/>
      <c r="G65" s="61"/>
      <c r="H65" s="60">
        <v>0</v>
      </c>
      <c r="I65" s="62">
        <v>-1</v>
      </c>
    </row>
    <row r="66" spans="2:9" x14ac:dyDescent="0.25">
      <c r="B66" s="213"/>
      <c r="C66" s="57" t="s">
        <v>1022</v>
      </c>
      <c r="D66" s="60"/>
      <c r="E66" s="60">
        <v>0</v>
      </c>
      <c r="F66" s="60"/>
      <c r="G66" s="61"/>
      <c r="H66" s="60">
        <v>0</v>
      </c>
      <c r="I66" s="62">
        <v>-1</v>
      </c>
    </row>
    <row r="67" spans="2:9" x14ac:dyDescent="0.25">
      <c r="B67" s="214"/>
      <c r="C67" s="57" t="s">
        <v>1023</v>
      </c>
      <c r="D67" s="60">
        <v>674648.89999999991</v>
      </c>
      <c r="E67" s="60">
        <v>205</v>
      </c>
      <c r="F67" s="60">
        <v>753018.9</v>
      </c>
      <c r="G67" s="61">
        <v>0.11616412625885864</v>
      </c>
      <c r="H67" s="60">
        <v>212</v>
      </c>
      <c r="I67" s="62">
        <v>6</v>
      </c>
    </row>
    <row r="68" spans="2:9" x14ac:dyDescent="0.25">
      <c r="B68" s="215" t="s">
        <v>1024</v>
      </c>
      <c r="C68" s="58" t="s">
        <v>1025</v>
      </c>
      <c r="D68" s="60">
        <v>609910</v>
      </c>
      <c r="E68" s="60">
        <v>210</v>
      </c>
      <c r="F68" s="60">
        <v>616116.50000000012</v>
      </c>
      <c r="G68" s="61">
        <v>1.0176091554491729E-2</v>
      </c>
      <c r="H68" s="60">
        <v>208</v>
      </c>
      <c r="I68" s="62">
        <v>-3</v>
      </c>
    </row>
    <row r="69" spans="2:9" x14ac:dyDescent="0.25">
      <c r="B69" s="216"/>
      <c r="C69" s="58" t="s">
        <v>1026</v>
      </c>
      <c r="D69" s="60">
        <v>505380.79999999993</v>
      </c>
      <c r="E69" s="60">
        <v>210</v>
      </c>
      <c r="F69" s="60">
        <v>516196.20000000007</v>
      </c>
      <c r="G69" s="61">
        <v>2.1400496417750992E-2</v>
      </c>
      <c r="H69" s="60">
        <v>207</v>
      </c>
      <c r="I69" s="62">
        <v>-4</v>
      </c>
    </row>
    <row r="70" spans="2:9" x14ac:dyDescent="0.25">
      <c r="B70" s="216"/>
      <c r="C70" s="58" t="s">
        <v>1027</v>
      </c>
      <c r="D70" s="60">
        <v>336507.29999999993</v>
      </c>
      <c r="E70" s="60">
        <v>137</v>
      </c>
      <c r="F70" s="60">
        <v>304450.5</v>
      </c>
      <c r="G70" s="61">
        <v>-9.5263312266925415E-2</v>
      </c>
      <c r="H70" s="60">
        <v>120</v>
      </c>
      <c r="I70" s="62">
        <v>-18</v>
      </c>
    </row>
    <row r="71" spans="2:9" x14ac:dyDescent="0.25">
      <c r="B71" s="216"/>
      <c r="C71" s="58" t="s">
        <v>1028</v>
      </c>
      <c r="D71" s="60"/>
      <c r="E71" s="60">
        <v>0</v>
      </c>
      <c r="F71" s="60"/>
      <c r="G71" s="61"/>
      <c r="H71" s="60">
        <v>0</v>
      </c>
      <c r="I71" s="62">
        <v>-1</v>
      </c>
    </row>
    <row r="72" spans="2:9" x14ac:dyDescent="0.25">
      <c r="B72" s="216"/>
      <c r="C72" s="58" t="s">
        <v>1029</v>
      </c>
      <c r="D72" s="60">
        <v>2150.6999999999998</v>
      </c>
      <c r="E72" s="60">
        <v>2</v>
      </c>
      <c r="F72" s="60">
        <v>537.29999999999995</v>
      </c>
      <c r="G72" s="61">
        <v>-0.75017436183568142</v>
      </c>
      <c r="H72" s="60">
        <v>1</v>
      </c>
      <c r="I72" s="62">
        <v>-2</v>
      </c>
    </row>
    <row r="73" spans="2:9" x14ac:dyDescent="0.25">
      <c r="B73" s="216"/>
      <c r="C73" s="58" t="s">
        <v>1030</v>
      </c>
      <c r="D73" s="60">
        <v>848.3</v>
      </c>
      <c r="E73" s="60">
        <v>1</v>
      </c>
      <c r="F73" s="60">
        <v>1391.6999999999998</v>
      </c>
      <c r="G73" s="61">
        <v>0.64057526818342558</v>
      </c>
      <c r="H73" s="60">
        <v>2</v>
      </c>
      <c r="I73" s="62">
        <v>0</v>
      </c>
    </row>
    <row r="74" spans="2:9" x14ac:dyDescent="0.25">
      <c r="B74" s="216"/>
      <c r="C74" s="58" t="s">
        <v>1031</v>
      </c>
      <c r="D74" s="60">
        <v>33520.400000000001</v>
      </c>
      <c r="E74" s="60">
        <v>21</v>
      </c>
      <c r="F74" s="60">
        <v>28249.000000000004</v>
      </c>
      <c r="G74" s="61">
        <v>-0.15725945991097956</v>
      </c>
      <c r="H74" s="60">
        <v>17</v>
      </c>
      <c r="I74" s="62">
        <v>-5</v>
      </c>
    </row>
    <row r="75" spans="2:9" x14ac:dyDescent="0.25">
      <c r="B75" s="216"/>
      <c r="C75" s="58" t="s">
        <v>1032</v>
      </c>
      <c r="D75" s="60"/>
      <c r="E75" s="60">
        <v>0</v>
      </c>
      <c r="F75" s="60"/>
      <c r="G75" s="61"/>
      <c r="H75" s="60">
        <v>0</v>
      </c>
      <c r="I75" s="62">
        <v>-1</v>
      </c>
    </row>
    <row r="76" spans="2:9" x14ac:dyDescent="0.25">
      <c r="B76" s="216"/>
      <c r="C76" s="58" t="s">
        <v>1033</v>
      </c>
      <c r="D76" s="60">
        <v>597.4</v>
      </c>
      <c r="E76" s="60">
        <v>2</v>
      </c>
      <c r="F76" s="60">
        <v>55.300000000000004</v>
      </c>
      <c r="G76" s="61">
        <v>-0.90743220622698362</v>
      </c>
      <c r="H76" s="60">
        <v>1</v>
      </c>
      <c r="I76" s="62">
        <v>-2</v>
      </c>
    </row>
    <row r="77" spans="2:9" x14ac:dyDescent="0.25">
      <c r="B77" s="216"/>
      <c r="C77" s="58" t="s">
        <v>1034</v>
      </c>
      <c r="D77" s="60"/>
      <c r="E77" s="60">
        <v>0</v>
      </c>
      <c r="F77" s="60"/>
      <c r="G77" s="61"/>
      <c r="H77" s="60">
        <v>0</v>
      </c>
      <c r="I77" s="62">
        <v>-1</v>
      </c>
    </row>
    <row r="78" spans="2:9" x14ac:dyDescent="0.25">
      <c r="B78" s="216"/>
      <c r="C78" s="58" t="s">
        <v>1035</v>
      </c>
      <c r="D78" s="60">
        <v>16749.5</v>
      </c>
      <c r="E78" s="60">
        <v>8</v>
      </c>
      <c r="F78" s="60">
        <v>11265.8</v>
      </c>
      <c r="G78" s="61">
        <v>-0.32739484760739135</v>
      </c>
      <c r="H78" s="60">
        <v>6</v>
      </c>
      <c r="I78" s="62">
        <v>-3</v>
      </c>
    </row>
    <row r="79" spans="2:9" x14ac:dyDescent="0.25">
      <c r="B79" s="216"/>
      <c r="C79" s="58" t="s">
        <v>1036</v>
      </c>
      <c r="D79" s="60"/>
      <c r="E79" s="60">
        <v>0</v>
      </c>
      <c r="F79" s="60"/>
      <c r="G79" s="61"/>
      <c r="H79" s="60">
        <v>0</v>
      </c>
      <c r="I79" s="62">
        <v>-1</v>
      </c>
    </row>
    <row r="80" spans="2:9" x14ac:dyDescent="0.25">
      <c r="B80" s="216"/>
      <c r="C80" s="58" t="s">
        <v>1037</v>
      </c>
      <c r="D80" s="60">
        <v>3060.6000000000004</v>
      </c>
      <c r="E80" s="60">
        <v>3</v>
      </c>
      <c r="F80" s="60">
        <v>1515.4</v>
      </c>
      <c r="G80" s="61">
        <v>-0.50486832647193358</v>
      </c>
      <c r="H80" s="60">
        <v>1</v>
      </c>
      <c r="I80" s="62">
        <v>-3</v>
      </c>
    </row>
    <row r="81" spans="2:9" x14ac:dyDescent="0.25">
      <c r="B81" s="216"/>
      <c r="C81" s="58" t="s">
        <v>1038</v>
      </c>
      <c r="D81" s="60">
        <v>104519.40000000001</v>
      </c>
      <c r="E81" s="60">
        <v>83</v>
      </c>
      <c r="F81" s="60">
        <v>99916.7</v>
      </c>
      <c r="G81" s="61">
        <v>-4.4036800823579303E-2</v>
      </c>
      <c r="H81" s="60">
        <v>76</v>
      </c>
      <c r="I81" s="62">
        <v>-8</v>
      </c>
    </row>
    <row r="82" spans="2:9" x14ac:dyDescent="0.25">
      <c r="B82" s="216"/>
      <c r="C82" s="58" t="s">
        <v>1039</v>
      </c>
      <c r="D82" s="60">
        <v>3686.3</v>
      </c>
      <c r="E82" s="60">
        <v>3</v>
      </c>
      <c r="F82" s="60">
        <v>739.2</v>
      </c>
      <c r="G82" s="61">
        <v>-0.79947372704337683</v>
      </c>
      <c r="H82" s="60">
        <v>1</v>
      </c>
      <c r="I82" s="62">
        <v>-3</v>
      </c>
    </row>
    <row r="83" spans="2:9" x14ac:dyDescent="0.25">
      <c r="B83" s="216"/>
      <c r="C83" s="58" t="s">
        <v>1040</v>
      </c>
      <c r="D83" s="60"/>
      <c r="E83" s="60">
        <v>0</v>
      </c>
      <c r="F83" s="60"/>
      <c r="G83" s="61"/>
      <c r="H83" s="60">
        <v>0</v>
      </c>
      <c r="I83" s="62">
        <v>-1</v>
      </c>
    </row>
    <row r="84" spans="2:9" x14ac:dyDescent="0.25">
      <c r="B84" s="216"/>
      <c r="C84" s="58" t="s">
        <v>1041</v>
      </c>
      <c r="D84" s="60">
        <v>6339.4000000000005</v>
      </c>
      <c r="E84" s="60">
        <v>8</v>
      </c>
      <c r="F84" s="60">
        <v>4107.5</v>
      </c>
      <c r="G84" s="61">
        <v>-0.35206801905543117</v>
      </c>
      <c r="H84" s="60">
        <v>4</v>
      </c>
      <c r="I84" s="62">
        <v>-5</v>
      </c>
    </row>
    <row r="85" spans="2:9" x14ac:dyDescent="0.25">
      <c r="B85" s="216"/>
      <c r="C85" s="58" t="s">
        <v>1042</v>
      </c>
      <c r="D85" s="60">
        <v>31187.199999999997</v>
      </c>
      <c r="E85" s="60">
        <v>29</v>
      </c>
      <c r="F85" s="60">
        <v>45582.6</v>
      </c>
      <c r="G85" s="61">
        <v>0.46158039195567424</v>
      </c>
      <c r="H85" s="60">
        <v>34</v>
      </c>
      <c r="I85" s="62">
        <v>4</v>
      </c>
    </row>
    <row r="86" spans="2:9" x14ac:dyDescent="0.25">
      <c r="B86" s="217"/>
      <c r="C86" s="59" t="s">
        <v>1043</v>
      </c>
      <c r="D86" s="63">
        <v>60379.899999999987</v>
      </c>
      <c r="E86" s="63">
        <v>39</v>
      </c>
      <c r="F86" s="63">
        <v>43288.299999999996</v>
      </c>
      <c r="G86" s="64">
        <v>-0.28306770961859817</v>
      </c>
      <c r="H86" s="63">
        <v>29</v>
      </c>
      <c r="I86" s="65">
        <v>-11</v>
      </c>
    </row>
  </sheetData>
  <mergeCells count="13">
    <mergeCell ref="G2:I3"/>
    <mergeCell ref="B54:B67"/>
    <mergeCell ref="B68:B86"/>
    <mergeCell ref="B7:B13"/>
    <mergeCell ref="B14:B20"/>
    <mergeCell ref="B21:B28"/>
    <mergeCell ref="B29:B35"/>
    <mergeCell ref="B36:B50"/>
    <mergeCell ref="B51:B53"/>
    <mergeCell ref="B5:B6"/>
    <mergeCell ref="C5:C6"/>
    <mergeCell ref="D5:E5"/>
    <mergeCell ref="F5:I5"/>
  </mergeCells>
  <conditionalFormatting sqref="G7:G86 I7:I86">
    <cfRule type="cellIs" dxfId="5" priority="1" operator="lessThan">
      <formula>0</formula>
    </cfRule>
    <cfRule type="cellIs" dxfId="4" priority="2" operator="greaterThan">
      <formula>0</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75A20C-D022-4546-8CB0-058401C0699C}">
  <dimension ref="A1:R94"/>
  <sheetViews>
    <sheetView workbookViewId="0">
      <selection activeCell="L10" sqref="L10"/>
    </sheetView>
  </sheetViews>
  <sheetFormatPr defaultRowHeight="15" x14ac:dyDescent="0.25"/>
  <cols>
    <col min="2" max="2" width="24.42578125" bestFit="1" customWidth="1"/>
    <col min="3" max="3" width="10.7109375" bestFit="1" customWidth="1"/>
    <col min="5" max="5" width="10.7109375" bestFit="1" customWidth="1"/>
    <col min="9" max="9" width="4.7109375" customWidth="1"/>
    <col min="10" max="10" width="14.85546875" bestFit="1" customWidth="1"/>
    <col min="11" max="11" width="15.85546875" bestFit="1" customWidth="1"/>
    <col min="12" max="12" width="16.42578125" bestFit="1" customWidth="1"/>
    <col min="13" max="13" width="19.140625" bestFit="1" customWidth="1"/>
    <col min="14" max="14" width="5.140625" customWidth="1"/>
    <col min="15" max="15" width="26" bestFit="1" customWidth="1"/>
  </cols>
  <sheetData>
    <row r="1" spans="1:17" ht="15.75" x14ac:dyDescent="0.25">
      <c r="A1" s="81" t="s">
        <v>1047</v>
      </c>
      <c r="B1" s="74"/>
      <c r="C1" s="75"/>
      <c r="D1" s="75"/>
      <c r="E1" s="73"/>
      <c r="F1" s="73"/>
      <c r="G1" s="73"/>
      <c r="H1" s="73"/>
      <c r="I1" s="73"/>
      <c r="J1" s="73"/>
      <c r="K1" s="73"/>
      <c r="L1" s="73"/>
      <c r="M1" s="73"/>
      <c r="N1" s="73"/>
      <c r="O1" s="73"/>
      <c r="P1" s="73"/>
      <c r="Q1" s="73"/>
    </row>
    <row r="2" spans="1:17" ht="15.75" x14ac:dyDescent="0.25">
      <c r="A2" s="82" t="s">
        <v>1049</v>
      </c>
      <c r="B2" s="74"/>
      <c r="C2" s="75"/>
      <c r="D2" s="75"/>
      <c r="E2" s="73"/>
      <c r="F2" s="73"/>
      <c r="G2" s="73"/>
      <c r="H2" s="73"/>
      <c r="I2" s="73"/>
      <c r="J2" s="73"/>
      <c r="K2" s="73"/>
      <c r="L2" s="73"/>
      <c r="M2" s="73"/>
      <c r="N2" s="73"/>
      <c r="O2" s="76" t="s">
        <v>952</v>
      </c>
      <c r="P2" s="77">
        <v>2024</v>
      </c>
      <c r="Q2" s="77">
        <v>2025</v>
      </c>
    </row>
    <row r="3" spans="1:17" x14ac:dyDescent="0.25">
      <c r="A3" s="74"/>
      <c r="B3" s="74"/>
      <c r="C3" s="75"/>
      <c r="D3" s="75"/>
      <c r="E3" s="73"/>
      <c r="F3" s="73"/>
      <c r="G3" s="73"/>
      <c r="H3" s="73"/>
      <c r="I3" s="73"/>
      <c r="J3" s="73"/>
      <c r="K3" s="73"/>
      <c r="L3" s="73"/>
      <c r="M3" s="73"/>
      <c r="N3" s="73"/>
      <c r="O3" s="78" t="s">
        <v>951</v>
      </c>
      <c r="P3" s="79">
        <v>5.125291922451649E-2</v>
      </c>
      <c r="Q3" s="99">
        <v>4.7677268828845813E-2</v>
      </c>
    </row>
    <row r="4" spans="1:17" x14ac:dyDescent="0.25">
      <c r="A4" s="74" t="s">
        <v>1052</v>
      </c>
      <c r="B4" s="74"/>
      <c r="C4" s="75"/>
      <c r="D4" s="75"/>
      <c r="E4" s="73"/>
      <c r="F4" s="73"/>
      <c r="G4" s="73"/>
      <c r="H4" s="73"/>
      <c r="I4" s="73"/>
      <c r="J4" s="73"/>
      <c r="K4" s="73"/>
      <c r="L4" s="73"/>
      <c r="M4" s="73"/>
      <c r="N4" s="73"/>
      <c r="O4" s="80"/>
      <c r="P4" s="80"/>
      <c r="Q4" s="80"/>
    </row>
    <row r="5" spans="1:17" x14ac:dyDescent="0.25">
      <c r="A5" s="73"/>
      <c r="B5" s="73"/>
      <c r="C5" s="73"/>
      <c r="D5" s="73"/>
      <c r="E5" s="73"/>
      <c r="F5" s="73"/>
      <c r="G5" s="73"/>
      <c r="H5" s="73"/>
      <c r="I5" s="73"/>
      <c r="J5" s="73"/>
      <c r="K5" s="73"/>
      <c r="L5" s="73"/>
      <c r="M5" s="73"/>
      <c r="N5" s="73"/>
      <c r="O5" s="97" t="s">
        <v>1046</v>
      </c>
      <c r="P5" s="70">
        <v>4.3408923376882486E-2</v>
      </c>
      <c r="Q5" s="70">
        <v>3.828645406995114E-2</v>
      </c>
    </row>
    <row r="6" spans="1:17" x14ac:dyDescent="0.25">
      <c r="A6" s="73"/>
      <c r="B6" s="73"/>
      <c r="C6" s="73"/>
      <c r="D6" s="73"/>
      <c r="E6" s="73"/>
      <c r="F6" s="73"/>
      <c r="G6" s="73"/>
      <c r="H6" s="73"/>
      <c r="I6" s="73"/>
      <c r="J6" s="73"/>
      <c r="K6" s="73"/>
      <c r="L6" s="73"/>
      <c r="M6" s="73"/>
      <c r="N6" s="73"/>
      <c r="O6" s="97" t="s">
        <v>1048</v>
      </c>
      <c r="P6" s="72">
        <v>6.9194017123383203E-2</v>
      </c>
      <c r="Q6" s="72">
        <v>6.5699889665740779E-2</v>
      </c>
    </row>
    <row r="7" spans="1:17" x14ac:dyDescent="0.25">
      <c r="A7" s="73"/>
      <c r="B7" s="73"/>
      <c r="C7" s="73"/>
      <c r="D7" s="73"/>
      <c r="E7" s="73"/>
      <c r="F7" s="73"/>
      <c r="G7" s="73"/>
      <c r="H7" s="73"/>
      <c r="I7" s="73"/>
      <c r="J7" s="73"/>
      <c r="K7" s="73"/>
      <c r="L7" s="73"/>
      <c r="M7" s="73"/>
      <c r="N7" s="73"/>
      <c r="O7" s="97" t="s">
        <v>1050</v>
      </c>
      <c r="P7" s="70">
        <v>4.6398514832352841E-2</v>
      </c>
      <c r="Q7" s="70">
        <v>4.6686891162656438E-2</v>
      </c>
    </row>
    <row r="8" spans="1:17" ht="15.75" thickBot="1" x14ac:dyDescent="0.3">
      <c r="A8" s="73"/>
      <c r="B8" s="73"/>
      <c r="C8" s="73"/>
      <c r="D8" s="73"/>
      <c r="E8" s="73"/>
      <c r="F8" s="73"/>
      <c r="G8" s="73"/>
      <c r="H8" s="73"/>
      <c r="I8" s="73"/>
      <c r="J8" s="73"/>
      <c r="K8" s="73"/>
      <c r="L8" s="73"/>
      <c r="M8" s="73"/>
      <c r="N8" s="73"/>
      <c r="O8" s="97" t="s">
        <v>1051</v>
      </c>
      <c r="P8" s="72">
        <v>7.6356892271507604E-2</v>
      </c>
      <c r="Q8" s="72">
        <v>7.3232704034319446E-2</v>
      </c>
    </row>
    <row r="9" spans="1:17" ht="37.5" x14ac:dyDescent="0.25">
      <c r="A9" s="73"/>
      <c r="B9" s="73"/>
      <c r="C9" s="73"/>
      <c r="D9" s="73"/>
      <c r="E9" s="73"/>
      <c r="F9" s="73"/>
      <c r="G9" s="73"/>
      <c r="H9" s="73"/>
      <c r="I9" s="73"/>
      <c r="J9" s="104" t="s">
        <v>1069</v>
      </c>
      <c r="K9" s="105" t="s">
        <v>440</v>
      </c>
      <c r="L9" s="106" t="s">
        <v>94</v>
      </c>
      <c r="M9" s="116" t="s">
        <v>8</v>
      </c>
      <c r="N9" s="73"/>
      <c r="O9" s="97" t="s">
        <v>1053</v>
      </c>
      <c r="P9" s="72">
        <v>8.1842082931731244E-2</v>
      </c>
      <c r="Q9" s="72">
        <v>7.6331624802064929E-2</v>
      </c>
    </row>
    <row r="10" spans="1:17" x14ac:dyDescent="0.25">
      <c r="A10" s="73"/>
      <c r="B10" s="83" t="s">
        <v>1056</v>
      </c>
      <c r="C10" s="84">
        <v>2024</v>
      </c>
      <c r="D10" s="84">
        <v>2025</v>
      </c>
      <c r="E10" s="73"/>
      <c r="F10" s="73"/>
      <c r="G10" s="73"/>
      <c r="H10" s="73"/>
      <c r="I10" s="73"/>
      <c r="J10" s="111" t="s">
        <v>1070</v>
      </c>
      <c r="K10" s="112" t="s">
        <v>1071</v>
      </c>
      <c r="L10" s="113" t="s">
        <v>1072</v>
      </c>
      <c r="M10" s="115" t="s">
        <v>3634</v>
      </c>
      <c r="N10" s="73"/>
      <c r="O10" s="97" t="s">
        <v>1054</v>
      </c>
      <c r="P10" s="70">
        <v>1.7579566337786942E-2</v>
      </c>
      <c r="Q10" s="70">
        <v>1.6178908870620942E-2</v>
      </c>
    </row>
    <row r="11" spans="1:17" x14ac:dyDescent="0.25">
      <c r="A11" s="73"/>
      <c r="B11" s="85" t="s">
        <v>951</v>
      </c>
      <c r="C11" s="86">
        <v>5.125291922451649E-2</v>
      </c>
      <c r="D11" s="87">
        <v>4.7677268828845813E-2</v>
      </c>
      <c r="E11" s="73"/>
      <c r="F11" s="73"/>
      <c r="G11" s="73"/>
      <c r="H11" s="73"/>
      <c r="I11" s="73"/>
      <c r="J11" s="110" t="s">
        <v>3629</v>
      </c>
      <c r="K11" s="110" t="s">
        <v>3627</v>
      </c>
      <c r="L11" s="110" t="s">
        <v>3631</v>
      </c>
      <c r="M11" s="115" t="s">
        <v>3635</v>
      </c>
      <c r="N11" s="73"/>
      <c r="O11" s="97" t="s">
        <v>1055</v>
      </c>
      <c r="P11" s="70">
        <v>4.6153674710610736E-2</v>
      </c>
      <c r="Q11" s="70">
        <v>2.8592319107343014E-2</v>
      </c>
    </row>
    <row r="12" spans="1:17" x14ac:dyDescent="0.25">
      <c r="A12" s="73"/>
      <c r="B12" s="73"/>
      <c r="C12" s="73"/>
      <c r="D12" s="73"/>
      <c r="E12" s="73"/>
      <c r="F12" s="73"/>
      <c r="G12" s="73"/>
      <c r="H12" s="73"/>
      <c r="I12" s="73"/>
      <c r="J12" s="110" t="s">
        <v>3630</v>
      </c>
      <c r="K12" s="110" t="s">
        <v>3628</v>
      </c>
      <c r="L12" s="110" t="s">
        <v>3632</v>
      </c>
      <c r="M12" s="110"/>
      <c r="N12" s="73"/>
      <c r="O12" s="97" t="s">
        <v>949</v>
      </c>
      <c r="P12" s="72">
        <v>7.2996256567377307E-2</v>
      </c>
      <c r="Q12" s="72">
        <v>6.8302981204746038E-2</v>
      </c>
    </row>
    <row r="13" spans="1:17" ht="15.75" thickBot="1" x14ac:dyDescent="0.3">
      <c r="A13" s="215" t="s">
        <v>952</v>
      </c>
      <c r="B13" s="220" t="s">
        <v>1056</v>
      </c>
      <c r="C13" s="221">
        <v>2024</v>
      </c>
      <c r="D13" s="221"/>
      <c r="E13" s="221">
        <v>2025</v>
      </c>
      <c r="F13" s="221"/>
      <c r="G13" s="221"/>
      <c r="H13" s="221"/>
      <c r="I13" s="100"/>
      <c r="J13" s="109"/>
      <c r="K13" s="109"/>
      <c r="L13" s="109" t="s">
        <v>3633</v>
      </c>
      <c r="M13" s="109"/>
      <c r="N13" s="100"/>
      <c r="O13" s="97" t="s">
        <v>1057</v>
      </c>
      <c r="P13" s="70">
        <v>3.2407228418730838E-2</v>
      </c>
      <c r="Q13" s="70">
        <v>2.8396955864888444E-2</v>
      </c>
    </row>
    <row r="14" spans="1:17" ht="24" x14ac:dyDescent="0.25">
      <c r="A14" s="217"/>
      <c r="B14" s="220"/>
      <c r="C14" s="88" t="s">
        <v>953</v>
      </c>
      <c r="D14" s="88" t="s">
        <v>954</v>
      </c>
      <c r="E14" s="88" t="s">
        <v>953</v>
      </c>
      <c r="F14" s="89" t="s">
        <v>955</v>
      </c>
      <c r="G14" s="88" t="s">
        <v>954</v>
      </c>
      <c r="H14" s="89" t="s">
        <v>955</v>
      </c>
      <c r="I14" s="101"/>
      <c r="J14" s="101"/>
      <c r="K14" s="101"/>
      <c r="L14" s="101"/>
      <c r="M14" s="101"/>
      <c r="N14" s="101"/>
      <c r="O14" s="97" t="s">
        <v>1058</v>
      </c>
      <c r="P14" s="70">
        <v>4.9390633686331016E-2</v>
      </c>
      <c r="Q14" s="70">
        <v>4.6385249519751232E-2</v>
      </c>
    </row>
    <row r="15" spans="1:17" x14ac:dyDescent="0.25">
      <c r="A15" s="218" t="s">
        <v>956</v>
      </c>
      <c r="B15" s="90" t="s">
        <v>957</v>
      </c>
      <c r="C15" s="91">
        <v>312540794.60000002</v>
      </c>
      <c r="D15" s="91">
        <v>8315</v>
      </c>
      <c r="E15" s="91">
        <v>301203192.89999992</v>
      </c>
      <c r="F15" s="92">
        <v>-3.6275589925821805E-2</v>
      </c>
      <c r="G15" s="91">
        <v>8146</v>
      </c>
      <c r="H15" s="93">
        <v>-169</v>
      </c>
      <c r="I15" s="102"/>
      <c r="J15" s="102"/>
      <c r="K15" s="102"/>
      <c r="L15" s="102"/>
      <c r="M15" s="102"/>
      <c r="N15" s="102"/>
      <c r="O15" s="97" t="s">
        <v>1059</v>
      </c>
      <c r="P15" s="70">
        <v>4.9617582877082664E-2</v>
      </c>
      <c r="Q15" s="70">
        <v>5.0016743422411677E-2</v>
      </c>
    </row>
    <row r="16" spans="1:17" x14ac:dyDescent="0.25">
      <c r="A16" s="213"/>
      <c r="B16" s="94" t="s">
        <v>958</v>
      </c>
      <c r="C16" s="91">
        <v>280930094.79999995</v>
      </c>
      <c r="D16" s="91">
        <v>8312</v>
      </c>
      <c r="E16" s="91">
        <v>269988433.70000005</v>
      </c>
      <c r="F16" s="92">
        <v>-3.8947984934791346E-2</v>
      </c>
      <c r="G16" s="91">
        <v>8144</v>
      </c>
      <c r="H16" s="93">
        <v>-168</v>
      </c>
      <c r="I16" s="102"/>
      <c r="J16" s="102"/>
      <c r="K16" s="102"/>
      <c r="L16" s="102"/>
      <c r="M16" s="102"/>
      <c r="N16" s="102"/>
      <c r="O16" s="97" t="s">
        <v>1060</v>
      </c>
      <c r="P16" s="72">
        <v>5.4458543618387686E-2</v>
      </c>
      <c r="Q16" s="70">
        <v>5.0752932829567263E-2</v>
      </c>
    </row>
    <row r="17" spans="1:18" x14ac:dyDescent="0.25">
      <c r="A17" s="213"/>
      <c r="B17" s="103" t="s">
        <v>959</v>
      </c>
      <c r="C17" s="91">
        <v>16018628.100000001</v>
      </c>
      <c r="D17" s="91">
        <v>3134</v>
      </c>
      <c r="E17" s="91">
        <v>14360545.599999998</v>
      </c>
      <c r="F17" s="92">
        <v>-0.10350964449945643</v>
      </c>
      <c r="G17" s="91">
        <v>2691</v>
      </c>
      <c r="H17" s="93">
        <v>-443</v>
      </c>
      <c r="I17" s="102"/>
      <c r="J17" s="102"/>
      <c r="K17" s="102"/>
      <c r="L17" s="102"/>
      <c r="M17" s="102"/>
      <c r="N17" s="102"/>
      <c r="O17" s="97" t="s">
        <v>1061</v>
      </c>
      <c r="P17" s="70">
        <v>4.7164449708778144E-2</v>
      </c>
      <c r="Q17" s="70">
        <v>4.5636981836771118E-2</v>
      </c>
      <c r="R17" s="73"/>
    </row>
    <row r="18" spans="1:18" x14ac:dyDescent="0.25">
      <c r="A18" s="213"/>
      <c r="B18" s="94" t="s">
        <v>960</v>
      </c>
      <c r="C18" s="91">
        <v>9355299.8000000007</v>
      </c>
      <c r="D18" s="91">
        <v>1987</v>
      </c>
      <c r="E18" s="91">
        <v>9093699.6000000015</v>
      </c>
      <c r="F18" s="92">
        <v>-2.7962781053793573E-2</v>
      </c>
      <c r="G18" s="91">
        <v>2071</v>
      </c>
      <c r="H18" s="93">
        <v>84</v>
      </c>
      <c r="I18" s="102"/>
      <c r="J18" s="114"/>
      <c r="K18" s="102"/>
      <c r="L18" s="102"/>
      <c r="M18" s="102"/>
      <c r="N18" s="102"/>
      <c r="O18" s="97" t="s">
        <v>1062</v>
      </c>
      <c r="P18" s="72">
        <v>5.8969086621235234E-2</v>
      </c>
      <c r="Q18" s="72">
        <v>5.1544093452705733E-2</v>
      </c>
      <c r="R18" s="73"/>
    </row>
    <row r="19" spans="1:18" x14ac:dyDescent="0.25">
      <c r="A19" s="213"/>
      <c r="B19" s="94" t="s">
        <v>961</v>
      </c>
      <c r="C19" s="91">
        <v>65275950.399999991</v>
      </c>
      <c r="D19" s="91">
        <v>5546</v>
      </c>
      <c r="E19" s="91">
        <v>56944374.599999994</v>
      </c>
      <c r="F19" s="92">
        <v>-0.12763622358534055</v>
      </c>
      <c r="G19" s="91">
        <v>5290</v>
      </c>
      <c r="H19" s="93">
        <v>-256</v>
      </c>
      <c r="I19" s="102"/>
      <c r="J19" s="102"/>
      <c r="K19" s="102"/>
      <c r="L19" s="102"/>
      <c r="M19" s="102"/>
      <c r="N19" s="102"/>
      <c r="O19" s="97" t="s">
        <v>1063</v>
      </c>
      <c r="P19" s="72">
        <v>5.2296451452067759E-2</v>
      </c>
      <c r="Q19" s="70">
        <v>4.349148432957322E-2</v>
      </c>
      <c r="R19" s="73"/>
    </row>
    <row r="20" spans="1:18" x14ac:dyDescent="0.25">
      <c r="A20" s="213"/>
      <c r="B20" s="94" t="s">
        <v>962</v>
      </c>
      <c r="C20" s="91">
        <v>107700788.5</v>
      </c>
      <c r="D20" s="91">
        <v>7657</v>
      </c>
      <c r="E20" s="91">
        <v>106964271.00000001</v>
      </c>
      <c r="F20" s="92">
        <v>-6.8385525329741625E-3</v>
      </c>
      <c r="G20" s="91">
        <v>7561</v>
      </c>
      <c r="H20" s="93">
        <v>-96</v>
      </c>
      <c r="I20" s="102"/>
      <c r="J20" s="102"/>
      <c r="K20" s="102"/>
      <c r="L20" s="102"/>
      <c r="M20" s="102"/>
      <c r="N20" s="102"/>
      <c r="O20" s="97" t="s">
        <v>1064</v>
      </c>
      <c r="P20" s="70">
        <v>4.5816081864050416E-2</v>
      </c>
      <c r="Q20" s="70">
        <v>4.349148432957322E-2</v>
      </c>
      <c r="R20" s="73"/>
    </row>
    <row r="21" spans="1:18" x14ac:dyDescent="0.25">
      <c r="A21" s="213"/>
      <c r="B21" s="94" t="s">
        <v>963</v>
      </c>
      <c r="C21" s="91">
        <v>114189775.30000001</v>
      </c>
      <c r="D21" s="91">
        <v>8217</v>
      </c>
      <c r="E21" s="91">
        <v>113839161.10000001</v>
      </c>
      <c r="F21" s="92">
        <v>-3.0704517902664374E-3</v>
      </c>
      <c r="G21" s="91">
        <v>8049</v>
      </c>
      <c r="H21" s="93">
        <v>-168</v>
      </c>
      <c r="I21" s="102"/>
      <c r="J21" s="102"/>
      <c r="K21" s="102"/>
      <c r="L21" s="102"/>
      <c r="M21" s="102"/>
      <c r="N21" s="102"/>
      <c r="O21" s="97" t="s">
        <v>1065</v>
      </c>
      <c r="P21" s="70">
        <v>4.9433429780335082E-2</v>
      </c>
      <c r="Q21" s="70">
        <v>4.9934006358110558E-2</v>
      </c>
      <c r="R21" s="73"/>
    </row>
    <row r="22" spans="1:18" x14ac:dyDescent="0.25">
      <c r="A22" s="213" t="s">
        <v>964</v>
      </c>
      <c r="B22" s="94" t="s">
        <v>965</v>
      </c>
      <c r="C22" s="91">
        <v>176140602.40000001</v>
      </c>
      <c r="D22" s="91">
        <v>8292</v>
      </c>
      <c r="E22" s="91">
        <v>167665470</v>
      </c>
      <c r="F22" s="92">
        <v>-4.8115722806225669E-2</v>
      </c>
      <c r="G22" s="91">
        <v>8122</v>
      </c>
      <c r="H22" s="93">
        <v>-170</v>
      </c>
      <c r="I22" s="102"/>
      <c r="J22" s="102"/>
      <c r="K22" s="102"/>
      <c r="L22" s="102"/>
      <c r="M22" s="102"/>
      <c r="N22" s="102"/>
      <c r="O22" s="97" t="s">
        <v>1066</v>
      </c>
      <c r="P22" s="72">
        <v>6.2246763935184815E-2</v>
      </c>
      <c r="Q22" s="72">
        <v>6.2134625591710617E-2</v>
      </c>
      <c r="R22" s="73"/>
    </row>
    <row r="23" spans="1:18" x14ac:dyDescent="0.25">
      <c r="A23" s="213"/>
      <c r="B23" s="94" t="s">
        <v>966</v>
      </c>
      <c r="C23" s="91">
        <v>68309799.300000012</v>
      </c>
      <c r="D23" s="91">
        <v>6476</v>
      </c>
      <c r="E23" s="91">
        <v>61078713.700000003</v>
      </c>
      <c r="F23" s="92">
        <v>-0.10585722215699744</v>
      </c>
      <c r="G23" s="91">
        <v>6260</v>
      </c>
      <c r="H23" s="93">
        <v>-216</v>
      </c>
      <c r="I23" s="102"/>
      <c r="J23" s="102"/>
      <c r="K23" s="102"/>
      <c r="L23" s="102"/>
      <c r="M23" s="102"/>
      <c r="N23" s="102"/>
      <c r="O23" s="97" t="s">
        <v>1067</v>
      </c>
      <c r="P23" s="72">
        <v>5.4214282647782198E-2</v>
      </c>
      <c r="Q23" s="72">
        <v>5.4551717033617442E-2</v>
      </c>
      <c r="R23" s="73"/>
    </row>
    <row r="24" spans="1:18" x14ac:dyDescent="0.25">
      <c r="A24" s="213"/>
      <c r="B24" s="103" t="s">
        <v>967</v>
      </c>
      <c r="C24" s="91">
        <v>21826.800000000003</v>
      </c>
      <c r="D24" s="91">
        <v>7</v>
      </c>
      <c r="E24" s="91">
        <v>29962.6</v>
      </c>
      <c r="F24" s="92">
        <v>0.37274359961148651</v>
      </c>
      <c r="G24" s="91">
        <v>12</v>
      </c>
      <c r="H24" s="93">
        <v>5</v>
      </c>
      <c r="I24" s="102"/>
      <c r="J24" s="102"/>
      <c r="K24" s="102"/>
      <c r="L24" s="102"/>
      <c r="M24" s="102"/>
      <c r="N24" s="102"/>
      <c r="O24" s="98" t="s">
        <v>1068</v>
      </c>
      <c r="P24" s="71">
        <v>5.052812271352277E-2</v>
      </c>
      <c r="Q24" s="71">
        <v>1.9332983040166379E-2</v>
      </c>
      <c r="R24" s="73"/>
    </row>
    <row r="25" spans="1:18" x14ac:dyDescent="0.25">
      <c r="A25" s="213"/>
      <c r="B25" s="94" t="s">
        <v>968</v>
      </c>
      <c r="C25" s="91">
        <v>32917624.600000005</v>
      </c>
      <c r="D25" s="91">
        <v>3665</v>
      </c>
      <c r="E25" s="91">
        <v>28957905.300000001</v>
      </c>
      <c r="F25" s="92">
        <v>-0.1202917691697597</v>
      </c>
      <c r="G25" s="91">
        <v>3484</v>
      </c>
      <c r="H25" s="93">
        <v>-181</v>
      </c>
      <c r="I25" s="102"/>
      <c r="J25" s="102"/>
      <c r="K25" s="102"/>
      <c r="L25" s="102"/>
      <c r="M25" s="102"/>
      <c r="N25" s="102"/>
      <c r="O25" s="73"/>
      <c r="P25" s="73"/>
      <c r="Q25" s="73"/>
      <c r="R25" s="73"/>
    </row>
    <row r="26" spans="1:18" x14ac:dyDescent="0.25">
      <c r="A26" s="213"/>
      <c r="B26" s="94" t="s">
        <v>969</v>
      </c>
      <c r="C26" s="91">
        <v>2476603.7000000002</v>
      </c>
      <c r="D26" s="91">
        <v>441</v>
      </c>
      <c r="E26" s="91">
        <v>2222127.7999999998</v>
      </c>
      <c r="F26" s="92">
        <v>-0.10275196633195705</v>
      </c>
      <c r="G26" s="91">
        <v>458</v>
      </c>
      <c r="H26" s="93">
        <v>17</v>
      </c>
      <c r="I26" s="102"/>
      <c r="J26" s="102"/>
      <c r="K26" s="102"/>
      <c r="L26" s="102"/>
      <c r="M26" s="102"/>
      <c r="N26" s="102"/>
      <c r="O26" s="73"/>
      <c r="P26" s="73"/>
      <c r="Q26" s="73"/>
      <c r="R26" s="73"/>
    </row>
    <row r="27" spans="1:18" x14ac:dyDescent="0.25">
      <c r="A27" s="213"/>
      <c r="B27" s="94" t="s">
        <v>970</v>
      </c>
      <c r="C27" s="91">
        <v>25447024.200000003</v>
      </c>
      <c r="D27" s="91">
        <v>3263</v>
      </c>
      <c r="E27" s="91">
        <v>22575373</v>
      </c>
      <c r="F27" s="92">
        <v>-0.1128482127195054</v>
      </c>
      <c r="G27" s="91">
        <v>3100</v>
      </c>
      <c r="H27" s="93">
        <v>-163</v>
      </c>
      <c r="I27" s="102"/>
      <c r="J27" s="102"/>
      <c r="K27" s="102"/>
      <c r="L27" s="102"/>
      <c r="M27" s="102"/>
      <c r="N27" s="102"/>
      <c r="O27" s="73"/>
      <c r="P27" s="73"/>
      <c r="Q27" s="73"/>
      <c r="R27" s="73"/>
    </row>
    <row r="28" spans="1:18" x14ac:dyDescent="0.25">
      <c r="A28" s="213"/>
      <c r="B28" s="94" t="s">
        <v>971</v>
      </c>
      <c r="C28" s="91">
        <v>6889335.4999999991</v>
      </c>
      <c r="D28" s="91">
        <v>375</v>
      </c>
      <c r="E28" s="91">
        <v>6678194.5999999978</v>
      </c>
      <c r="F28" s="92">
        <v>-3.0647498586765187E-2</v>
      </c>
      <c r="G28" s="91">
        <v>360</v>
      </c>
      <c r="H28" s="93">
        <v>-15</v>
      </c>
      <c r="I28" s="102"/>
      <c r="J28" s="102"/>
      <c r="K28" s="102"/>
      <c r="L28" s="102"/>
      <c r="M28" s="102"/>
      <c r="N28" s="102"/>
      <c r="O28" s="73"/>
      <c r="P28" s="73"/>
      <c r="Q28" s="73"/>
      <c r="R28" s="73"/>
    </row>
    <row r="29" spans="1:18" x14ac:dyDescent="0.25">
      <c r="A29" s="213" t="s">
        <v>972</v>
      </c>
      <c r="B29" s="94" t="s">
        <v>973</v>
      </c>
      <c r="C29" s="91">
        <v>23183876.999999996</v>
      </c>
      <c r="D29" s="91">
        <v>4834</v>
      </c>
      <c r="E29" s="91">
        <v>19782740.600000001</v>
      </c>
      <c r="F29" s="92">
        <v>-0.14670265892111123</v>
      </c>
      <c r="G29" s="91">
        <v>4390</v>
      </c>
      <c r="H29" s="93">
        <v>-444</v>
      </c>
      <c r="I29" s="102"/>
      <c r="J29" s="102"/>
      <c r="K29" s="102"/>
      <c r="L29" s="102"/>
      <c r="M29" s="102"/>
      <c r="N29" s="102"/>
      <c r="O29" s="73"/>
      <c r="P29" s="73"/>
      <c r="Q29" s="73"/>
      <c r="R29" s="73"/>
    </row>
    <row r="30" spans="1:18" x14ac:dyDescent="0.25">
      <c r="A30" s="213"/>
      <c r="B30" s="94" t="s">
        <v>974</v>
      </c>
      <c r="C30" s="91">
        <v>9990738.5999999996</v>
      </c>
      <c r="D30" s="91">
        <v>2417</v>
      </c>
      <c r="E30" s="91">
        <v>9059362.7999999989</v>
      </c>
      <c r="F30" s="92">
        <v>-9.3223918399786831E-2</v>
      </c>
      <c r="G30" s="91">
        <v>2299</v>
      </c>
      <c r="H30" s="93">
        <v>-118</v>
      </c>
      <c r="I30" s="102"/>
      <c r="J30" s="102"/>
      <c r="K30" s="102"/>
      <c r="L30" s="102"/>
      <c r="M30" s="102"/>
      <c r="N30" s="102"/>
      <c r="O30" s="73"/>
      <c r="P30" s="73"/>
      <c r="Q30" s="73"/>
      <c r="R30" s="73"/>
    </row>
    <row r="31" spans="1:18" x14ac:dyDescent="0.25">
      <c r="A31" s="213"/>
      <c r="B31" s="103" t="s">
        <v>975</v>
      </c>
      <c r="C31" s="91">
        <v>157992.69999999998</v>
      </c>
      <c r="D31" s="91">
        <v>40</v>
      </c>
      <c r="E31" s="91">
        <v>123215</v>
      </c>
      <c r="F31" s="92">
        <v>-0.22012219551916001</v>
      </c>
      <c r="G31" s="91">
        <v>31</v>
      </c>
      <c r="H31" s="93">
        <v>-9</v>
      </c>
      <c r="I31" s="102"/>
      <c r="J31" s="102"/>
      <c r="K31" s="102"/>
      <c r="L31" s="102"/>
      <c r="M31" s="102"/>
      <c r="N31" s="102"/>
      <c r="O31" s="73"/>
      <c r="P31" s="73"/>
      <c r="Q31" s="73"/>
      <c r="R31" s="73"/>
    </row>
    <row r="32" spans="1:18" x14ac:dyDescent="0.25">
      <c r="A32" s="213"/>
      <c r="B32" s="94" t="s">
        <v>976</v>
      </c>
      <c r="C32" s="91">
        <v>10584640</v>
      </c>
      <c r="D32" s="91">
        <v>2038</v>
      </c>
      <c r="E32" s="91">
        <v>8556331.0999999996</v>
      </c>
      <c r="F32" s="92">
        <v>-0.19162757543005715</v>
      </c>
      <c r="G32" s="91">
        <v>1754</v>
      </c>
      <c r="H32" s="93">
        <v>-284</v>
      </c>
      <c r="I32" s="102"/>
      <c r="J32" s="102"/>
      <c r="K32" s="102"/>
      <c r="L32" s="102"/>
      <c r="M32" s="102"/>
      <c r="N32" s="102"/>
      <c r="O32" s="73"/>
      <c r="P32" s="73"/>
      <c r="Q32" s="73"/>
      <c r="R32" s="91"/>
    </row>
    <row r="33" spans="1:14" x14ac:dyDescent="0.25">
      <c r="A33" s="213"/>
      <c r="B33" s="94" t="s">
        <v>977</v>
      </c>
      <c r="C33" s="91">
        <v>23881.399999999998</v>
      </c>
      <c r="D33" s="91">
        <v>8</v>
      </c>
      <c r="E33" s="91">
        <v>23885.899999999998</v>
      </c>
      <c r="F33" s="92">
        <v>1.8843116400213411E-4</v>
      </c>
      <c r="G33" s="91">
        <v>13</v>
      </c>
      <c r="H33" s="93">
        <v>5</v>
      </c>
      <c r="I33" s="102"/>
      <c r="J33" s="102"/>
      <c r="K33" s="102"/>
      <c r="L33" s="102"/>
      <c r="M33" s="102"/>
      <c r="N33" s="102"/>
    </row>
    <row r="34" spans="1:14" x14ac:dyDescent="0.25">
      <c r="A34" s="213"/>
      <c r="B34" s="94" t="s">
        <v>978</v>
      </c>
      <c r="C34" s="91">
        <v>342810.99999999994</v>
      </c>
      <c r="D34" s="91">
        <v>142</v>
      </c>
      <c r="E34" s="91">
        <v>71268.800000000003</v>
      </c>
      <c r="F34" s="92">
        <v>-0.79210468742251561</v>
      </c>
      <c r="G34" s="91">
        <v>5</v>
      </c>
      <c r="H34" s="93">
        <v>-137</v>
      </c>
      <c r="I34" s="102"/>
      <c r="J34" s="102"/>
      <c r="K34" s="102"/>
      <c r="L34" s="102"/>
      <c r="M34" s="102"/>
      <c r="N34" s="102"/>
    </row>
    <row r="35" spans="1:14" x14ac:dyDescent="0.25">
      <c r="A35" s="213"/>
      <c r="B35" s="94" t="s">
        <v>979</v>
      </c>
      <c r="C35" s="91">
        <v>0</v>
      </c>
      <c r="D35" s="91">
        <v>0</v>
      </c>
      <c r="E35" s="91">
        <v>0</v>
      </c>
      <c r="F35" s="92">
        <v>0</v>
      </c>
      <c r="G35" s="91">
        <v>0</v>
      </c>
      <c r="H35" s="93">
        <v>0</v>
      </c>
      <c r="I35" s="102"/>
      <c r="J35" s="102"/>
      <c r="K35" s="102"/>
      <c r="L35" s="102"/>
      <c r="M35" s="102"/>
      <c r="N35" s="102"/>
    </row>
    <row r="36" spans="1:14" x14ac:dyDescent="0.25">
      <c r="A36" s="213"/>
      <c r="B36" s="94" t="s">
        <v>980</v>
      </c>
      <c r="C36" s="91">
        <v>2074048.6</v>
      </c>
      <c r="D36" s="91">
        <v>523</v>
      </c>
      <c r="E36" s="91">
        <v>1927002.5</v>
      </c>
      <c r="F36" s="92">
        <v>-7.0898097566276963E-2</v>
      </c>
      <c r="G36" s="91">
        <v>512</v>
      </c>
      <c r="H36" s="93">
        <v>-11</v>
      </c>
      <c r="I36" s="102"/>
      <c r="J36" s="102"/>
      <c r="K36" s="102"/>
      <c r="L36" s="102"/>
      <c r="M36" s="102"/>
      <c r="N36" s="102"/>
    </row>
    <row r="37" spans="1:14" x14ac:dyDescent="0.25">
      <c r="A37" s="213" t="s">
        <v>981</v>
      </c>
      <c r="B37" s="94" t="s">
        <v>982</v>
      </c>
      <c r="C37" s="91">
        <v>17466646.299999997</v>
      </c>
      <c r="D37" s="91">
        <v>3528</v>
      </c>
      <c r="E37" s="91">
        <v>16805372.700000003</v>
      </c>
      <c r="F37" s="92">
        <v>-3.7859219717524928E-2</v>
      </c>
      <c r="G37" s="91">
        <v>3539</v>
      </c>
      <c r="H37" s="93">
        <v>11</v>
      </c>
      <c r="I37" s="102"/>
      <c r="J37" s="102"/>
      <c r="K37" s="102"/>
      <c r="L37" s="102"/>
      <c r="M37" s="102"/>
      <c r="N37" s="102"/>
    </row>
    <row r="38" spans="1:14" x14ac:dyDescent="0.25">
      <c r="A38" s="213"/>
      <c r="B38" s="103" t="s">
        <v>983</v>
      </c>
      <c r="C38" s="91">
        <v>131253.4</v>
      </c>
      <c r="D38" s="91">
        <v>43</v>
      </c>
      <c r="E38" s="91">
        <v>122606.80000000002</v>
      </c>
      <c r="F38" s="92">
        <v>-6.5877150610955448E-2</v>
      </c>
      <c r="G38" s="91">
        <v>37</v>
      </c>
      <c r="H38" s="93">
        <v>-6</v>
      </c>
      <c r="I38" s="102"/>
      <c r="J38" s="102"/>
      <c r="K38" s="102"/>
      <c r="L38" s="102"/>
      <c r="M38" s="102"/>
      <c r="N38" s="102"/>
    </row>
    <row r="39" spans="1:14" x14ac:dyDescent="0.25">
      <c r="A39" s="213"/>
      <c r="B39" s="94" t="s">
        <v>984</v>
      </c>
      <c r="C39" s="91">
        <v>1976826.2</v>
      </c>
      <c r="D39" s="91">
        <v>357</v>
      </c>
      <c r="E39" s="91">
        <v>1835532.4</v>
      </c>
      <c r="F39" s="92">
        <v>-7.14750745412015E-2</v>
      </c>
      <c r="G39" s="91">
        <v>347</v>
      </c>
      <c r="H39" s="93">
        <v>-10</v>
      </c>
      <c r="I39" s="102"/>
      <c r="J39" s="102"/>
      <c r="K39" s="102"/>
      <c r="L39" s="102"/>
      <c r="M39" s="102"/>
      <c r="N39" s="102"/>
    </row>
    <row r="40" spans="1:14" x14ac:dyDescent="0.25">
      <c r="A40" s="213"/>
      <c r="B40" s="94" t="s">
        <v>985</v>
      </c>
      <c r="C40" s="91">
        <v>3386888.0000000005</v>
      </c>
      <c r="D40" s="91">
        <v>982</v>
      </c>
      <c r="E40" s="91">
        <v>3168372.0000000009</v>
      </c>
      <c r="F40" s="92">
        <v>-6.4518224399507607E-2</v>
      </c>
      <c r="G40" s="91">
        <v>1019</v>
      </c>
      <c r="H40" s="93">
        <v>37</v>
      </c>
      <c r="I40" s="102"/>
      <c r="J40" s="102"/>
      <c r="K40" s="102"/>
      <c r="L40" s="102"/>
      <c r="M40" s="102"/>
      <c r="N40" s="102"/>
    </row>
    <row r="41" spans="1:14" x14ac:dyDescent="0.25">
      <c r="A41" s="213"/>
      <c r="B41" s="94" t="s">
        <v>986</v>
      </c>
      <c r="C41" s="91">
        <v>3526785.3000000007</v>
      </c>
      <c r="D41" s="91">
        <v>853</v>
      </c>
      <c r="E41" s="91">
        <v>3510402.5999999992</v>
      </c>
      <c r="F41" s="92">
        <v>-4.6452218114897414E-3</v>
      </c>
      <c r="G41" s="91">
        <v>1003</v>
      </c>
      <c r="H41" s="93">
        <v>150</v>
      </c>
      <c r="I41" s="102"/>
      <c r="J41" s="102"/>
      <c r="K41" s="102"/>
      <c r="L41" s="102"/>
      <c r="M41" s="102"/>
      <c r="N41" s="102"/>
    </row>
    <row r="42" spans="1:14" x14ac:dyDescent="0.25">
      <c r="A42" s="213"/>
      <c r="B42" s="103" t="s">
        <v>987</v>
      </c>
      <c r="C42" s="91">
        <v>5729886.2000000002</v>
      </c>
      <c r="D42" s="91">
        <v>1137</v>
      </c>
      <c r="E42" s="91">
        <v>4334185.8999999994</v>
      </c>
      <c r="F42" s="92">
        <v>-0.24358255143007912</v>
      </c>
      <c r="G42" s="91">
        <v>776</v>
      </c>
      <c r="H42" s="93">
        <v>-361</v>
      </c>
      <c r="I42" s="102"/>
      <c r="J42" s="102"/>
      <c r="K42" s="102"/>
      <c r="L42" s="102"/>
      <c r="M42" s="102"/>
      <c r="N42" s="102"/>
    </row>
    <row r="43" spans="1:14" x14ac:dyDescent="0.25">
      <c r="A43" s="213"/>
      <c r="B43" s="103" t="s">
        <v>988</v>
      </c>
      <c r="C43" s="91">
        <v>7894130.0000000009</v>
      </c>
      <c r="D43" s="91">
        <v>1615</v>
      </c>
      <c r="E43" s="91">
        <v>7670847.7000000002</v>
      </c>
      <c r="F43" s="92">
        <v>-2.8284598809495298E-2</v>
      </c>
      <c r="G43" s="91">
        <v>1523</v>
      </c>
      <c r="H43" s="93">
        <v>-92</v>
      </c>
      <c r="I43" s="102"/>
      <c r="J43" s="102"/>
      <c r="K43" s="102"/>
      <c r="L43" s="102"/>
      <c r="M43" s="102"/>
      <c r="N43" s="102"/>
    </row>
    <row r="44" spans="1:14" x14ac:dyDescent="0.25">
      <c r="A44" s="213" t="s">
        <v>989</v>
      </c>
      <c r="B44" s="94" t="s">
        <v>990</v>
      </c>
      <c r="C44" s="91">
        <v>67179978.399999991</v>
      </c>
      <c r="D44" s="91">
        <v>7815</v>
      </c>
      <c r="E44" s="91">
        <v>69989018.699999973</v>
      </c>
      <c r="F44" s="92">
        <v>4.1813652920138278E-2</v>
      </c>
      <c r="G44" s="91">
        <v>7735</v>
      </c>
      <c r="H44" s="93">
        <v>-80</v>
      </c>
      <c r="I44" s="102"/>
      <c r="J44" s="102"/>
      <c r="K44" s="102"/>
      <c r="L44" s="102"/>
      <c r="M44" s="102"/>
      <c r="N44" s="102"/>
    </row>
    <row r="45" spans="1:14" x14ac:dyDescent="0.25">
      <c r="A45" s="213"/>
      <c r="B45" s="94" t="s">
        <v>991</v>
      </c>
      <c r="C45" s="91">
        <v>660577.9</v>
      </c>
      <c r="D45" s="91">
        <v>186</v>
      </c>
      <c r="E45" s="91">
        <v>908336.79999999993</v>
      </c>
      <c r="F45" s="92">
        <v>0.37506386453437202</v>
      </c>
      <c r="G45" s="91">
        <v>251</v>
      </c>
      <c r="H45" s="93">
        <v>65</v>
      </c>
      <c r="I45" s="102"/>
      <c r="J45" s="102"/>
      <c r="K45" s="102"/>
      <c r="L45" s="102"/>
      <c r="M45" s="102"/>
      <c r="N45" s="102"/>
    </row>
    <row r="46" spans="1:14" x14ac:dyDescent="0.25">
      <c r="A46" s="213"/>
      <c r="B46" s="94" t="s">
        <v>992</v>
      </c>
      <c r="C46" s="91">
        <v>27244987.400000006</v>
      </c>
      <c r="D46" s="91">
        <v>5250</v>
      </c>
      <c r="E46" s="91">
        <v>25247525.400000002</v>
      </c>
      <c r="F46" s="92">
        <v>-7.3314843962820286E-2</v>
      </c>
      <c r="G46" s="91">
        <v>5158</v>
      </c>
      <c r="H46" s="93">
        <v>-92</v>
      </c>
      <c r="I46" s="102"/>
      <c r="J46" s="102"/>
      <c r="K46" s="102"/>
      <c r="L46" s="102"/>
      <c r="M46" s="102"/>
      <c r="N46" s="102"/>
    </row>
    <row r="47" spans="1:14" x14ac:dyDescent="0.25">
      <c r="A47" s="213"/>
      <c r="B47" s="103" t="s">
        <v>993</v>
      </c>
      <c r="C47" s="91">
        <v>758521.89999999979</v>
      </c>
      <c r="D47" s="91">
        <v>319</v>
      </c>
      <c r="E47" s="91">
        <v>729929.8</v>
      </c>
      <c r="F47" s="92">
        <v>-3.7694495043583798E-2</v>
      </c>
      <c r="G47" s="91">
        <v>288</v>
      </c>
      <c r="H47" s="93">
        <v>-31</v>
      </c>
      <c r="I47" s="102"/>
      <c r="J47" s="102"/>
      <c r="K47" s="102"/>
      <c r="L47" s="102"/>
      <c r="M47" s="102"/>
      <c r="N47" s="102"/>
    </row>
    <row r="48" spans="1:14" x14ac:dyDescent="0.25">
      <c r="A48" s="213"/>
      <c r="B48" s="94" t="s">
        <v>994</v>
      </c>
      <c r="C48" s="91">
        <v>167434.9</v>
      </c>
      <c r="D48" s="91">
        <v>56</v>
      </c>
      <c r="E48" s="91">
        <v>181868.59999999998</v>
      </c>
      <c r="F48" s="92">
        <v>8.6204847376502691E-2</v>
      </c>
      <c r="G48" s="91">
        <v>72</v>
      </c>
      <c r="H48" s="93">
        <v>16</v>
      </c>
      <c r="I48" s="102"/>
      <c r="J48" s="102"/>
      <c r="K48" s="102"/>
      <c r="L48" s="102"/>
      <c r="M48" s="102"/>
      <c r="N48" s="102"/>
    </row>
    <row r="49" spans="1:14" x14ac:dyDescent="0.25">
      <c r="A49" s="213"/>
      <c r="B49" s="94" t="s">
        <v>995</v>
      </c>
      <c r="C49" s="91">
        <v>262536.59999999998</v>
      </c>
      <c r="D49" s="91">
        <v>136</v>
      </c>
      <c r="E49" s="91">
        <v>241782.69999999995</v>
      </c>
      <c r="F49" s="92">
        <v>-7.9051454159153489E-2</v>
      </c>
      <c r="G49" s="91">
        <v>119</v>
      </c>
      <c r="H49" s="93">
        <v>-17</v>
      </c>
      <c r="I49" s="102"/>
      <c r="J49" s="102"/>
      <c r="K49" s="102"/>
      <c r="L49" s="102"/>
      <c r="M49" s="102"/>
      <c r="N49" s="102"/>
    </row>
    <row r="50" spans="1:14" x14ac:dyDescent="0.25">
      <c r="A50" s="213"/>
      <c r="B50" s="94" t="s">
        <v>996</v>
      </c>
      <c r="C50" s="91">
        <v>1377722.9000000001</v>
      </c>
      <c r="D50" s="91">
        <v>259</v>
      </c>
      <c r="E50" s="91">
        <v>1209338.4000000001</v>
      </c>
      <c r="F50" s="92">
        <v>-0.12221942453014312</v>
      </c>
      <c r="G50" s="91">
        <v>247</v>
      </c>
      <c r="H50" s="93">
        <v>-12</v>
      </c>
      <c r="I50" s="102"/>
      <c r="J50" s="102"/>
      <c r="K50" s="102"/>
      <c r="L50" s="102"/>
      <c r="M50" s="102"/>
      <c r="N50" s="102"/>
    </row>
    <row r="51" spans="1:14" x14ac:dyDescent="0.25">
      <c r="A51" s="213"/>
      <c r="B51" s="94" t="s">
        <v>997</v>
      </c>
      <c r="C51" s="91">
        <v>13626631.299999999</v>
      </c>
      <c r="D51" s="91">
        <v>2671</v>
      </c>
      <c r="E51" s="91">
        <v>11604135.699999999</v>
      </c>
      <c r="F51" s="92">
        <v>-0.14842227366935512</v>
      </c>
      <c r="G51" s="91">
        <v>2350</v>
      </c>
      <c r="H51" s="93">
        <v>-321</v>
      </c>
      <c r="I51" s="102"/>
      <c r="J51" s="102"/>
      <c r="K51" s="102"/>
      <c r="L51" s="102"/>
      <c r="M51" s="102"/>
      <c r="N51" s="102"/>
    </row>
    <row r="52" spans="1:14" x14ac:dyDescent="0.25">
      <c r="A52" s="213"/>
      <c r="B52" s="103" t="s">
        <v>998</v>
      </c>
      <c r="C52" s="91">
        <v>4596.2</v>
      </c>
      <c r="D52" s="91">
        <v>2</v>
      </c>
      <c r="E52" s="91">
        <v>22997.000000000004</v>
      </c>
      <c r="F52" s="92">
        <v>4.0034811365910983</v>
      </c>
      <c r="G52" s="91">
        <v>15</v>
      </c>
      <c r="H52" s="93">
        <v>13</v>
      </c>
      <c r="I52" s="102"/>
      <c r="J52" s="102"/>
      <c r="K52" s="102"/>
      <c r="L52" s="102"/>
      <c r="M52" s="102"/>
      <c r="N52" s="102"/>
    </row>
    <row r="53" spans="1:14" x14ac:dyDescent="0.25">
      <c r="A53" s="213"/>
      <c r="B53" s="94" t="s">
        <v>999</v>
      </c>
      <c r="C53" s="91">
        <v>2304312.6999999997</v>
      </c>
      <c r="D53" s="91">
        <v>499</v>
      </c>
      <c r="E53" s="91">
        <v>2240841.7000000002</v>
      </c>
      <c r="F53" s="92">
        <v>-2.7544438738717814E-2</v>
      </c>
      <c r="G53" s="91">
        <v>476</v>
      </c>
      <c r="H53" s="93">
        <v>-23</v>
      </c>
      <c r="I53" s="102"/>
      <c r="J53" s="102"/>
      <c r="K53" s="102"/>
      <c r="L53" s="102"/>
      <c r="M53" s="102"/>
      <c r="N53" s="102"/>
    </row>
    <row r="54" spans="1:14" x14ac:dyDescent="0.25">
      <c r="A54" s="213"/>
      <c r="B54" s="94" t="s">
        <v>1000</v>
      </c>
      <c r="C54" s="91">
        <v>7078.7</v>
      </c>
      <c r="D54" s="91">
        <v>7</v>
      </c>
      <c r="E54" s="91">
        <v>7701.1</v>
      </c>
      <c r="F54" s="92">
        <v>8.7925749078220594E-2</v>
      </c>
      <c r="G54" s="91">
        <v>6</v>
      </c>
      <c r="H54" s="93">
        <v>-1</v>
      </c>
      <c r="I54" s="102"/>
      <c r="J54" s="102"/>
      <c r="K54" s="102"/>
      <c r="L54" s="102"/>
      <c r="M54" s="102"/>
      <c r="N54" s="102"/>
    </row>
    <row r="55" spans="1:14" x14ac:dyDescent="0.25">
      <c r="A55" s="213"/>
      <c r="B55" s="94" t="s">
        <v>1001</v>
      </c>
      <c r="C55" s="91">
        <v>993294.7</v>
      </c>
      <c r="D55" s="91">
        <v>261</v>
      </c>
      <c r="E55" s="91">
        <v>1246223.2</v>
      </c>
      <c r="F55" s="92">
        <v>0.25463591016845255</v>
      </c>
      <c r="G55" s="91">
        <v>345</v>
      </c>
      <c r="H55" s="93">
        <v>84</v>
      </c>
      <c r="I55" s="102"/>
      <c r="J55" s="102"/>
      <c r="K55" s="102"/>
      <c r="L55" s="102"/>
      <c r="M55" s="102"/>
      <c r="N55" s="102"/>
    </row>
    <row r="56" spans="1:14" x14ac:dyDescent="0.25">
      <c r="A56" s="213"/>
      <c r="B56" s="94" t="s">
        <v>1002</v>
      </c>
      <c r="C56" s="91">
        <v>30362.400000000001</v>
      </c>
      <c r="D56" s="91">
        <v>8</v>
      </c>
      <c r="E56" s="91">
        <v>25864</v>
      </c>
      <c r="F56" s="92">
        <v>-0.14815693094090066</v>
      </c>
      <c r="G56" s="91">
        <v>7</v>
      </c>
      <c r="H56" s="93">
        <v>-1</v>
      </c>
      <c r="I56" s="102"/>
      <c r="J56" s="102"/>
      <c r="K56" s="102"/>
      <c r="L56" s="102"/>
      <c r="M56" s="102"/>
      <c r="N56" s="102"/>
    </row>
    <row r="57" spans="1:14" x14ac:dyDescent="0.25">
      <c r="A57" s="213"/>
      <c r="B57" s="94" t="s">
        <v>1003</v>
      </c>
      <c r="C57" s="91">
        <v>1308349.5</v>
      </c>
      <c r="D57" s="91">
        <v>431</v>
      </c>
      <c r="E57" s="91">
        <v>1398299.8999999997</v>
      </c>
      <c r="F57" s="92">
        <v>6.8751048553922001E-2</v>
      </c>
      <c r="G57" s="91">
        <v>516</v>
      </c>
      <c r="H57" s="93">
        <v>85</v>
      </c>
      <c r="I57" s="102"/>
      <c r="J57" s="102"/>
      <c r="K57" s="102"/>
      <c r="L57" s="102"/>
      <c r="M57" s="102"/>
      <c r="N57" s="102"/>
    </row>
    <row r="58" spans="1:14" x14ac:dyDescent="0.25">
      <c r="A58" s="213"/>
      <c r="B58" s="94" t="s">
        <v>1004</v>
      </c>
      <c r="C58" s="91">
        <v>26134.1</v>
      </c>
      <c r="D58" s="91">
        <v>14</v>
      </c>
      <c r="E58" s="91">
        <v>17084.3</v>
      </c>
      <c r="F58" s="92">
        <v>-0.34628320852832117</v>
      </c>
      <c r="G58" s="91">
        <v>9</v>
      </c>
      <c r="H58" s="93">
        <v>-5</v>
      </c>
      <c r="I58" s="102"/>
      <c r="J58" s="102"/>
      <c r="K58" s="102"/>
      <c r="L58" s="102"/>
      <c r="M58" s="102"/>
      <c r="N58" s="102"/>
    </row>
    <row r="59" spans="1:14" x14ac:dyDescent="0.25">
      <c r="A59" s="219" t="s">
        <v>1005</v>
      </c>
      <c r="B59" s="94" t="s">
        <v>1006</v>
      </c>
      <c r="C59" s="91">
        <v>2819844.9000000004</v>
      </c>
      <c r="D59" s="91">
        <v>1106</v>
      </c>
      <c r="E59" s="91">
        <v>3148896.6</v>
      </c>
      <c r="F59" s="92">
        <v>0.11669141802799143</v>
      </c>
      <c r="G59" s="91">
        <v>1186</v>
      </c>
      <c r="H59" s="93">
        <v>80</v>
      </c>
      <c r="I59" s="102"/>
      <c r="J59" s="102"/>
      <c r="K59" s="102"/>
      <c r="L59" s="102"/>
      <c r="M59" s="102"/>
      <c r="N59" s="102"/>
    </row>
    <row r="60" spans="1:14" x14ac:dyDescent="0.25">
      <c r="A60" s="219"/>
      <c r="B60" s="103" t="s">
        <v>1007</v>
      </c>
      <c r="C60" s="91">
        <v>1457.4</v>
      </c>
      <c r="D60" s="91">
        <v>2</v>
      </c>
      <c r="E60" s="91">
        <v>488.9</v>
      </c>
      <c r="F60" s="92">
        <v>-0.66453959105255933</v>
      </c>
      <c r="G60" s="91">
        <v>0</v>
      </c>
      <c r="H60" s="93">
        <v>-2</v>
      </c>
      <c r="I60" s="102"/>
      <c r="J60" s="102"/>
      <c r="K60" s="102"/>
      <c r="L60" s="102"/>
      <c r="M60" s="102"/>
      <c r="N60" s="102"/>
    </row>
    <row r="61" spans="1:14" x14ac:dyDescent="0.25">
      <c r="A61" s="219"/>
      <c r="B61" s="103" t="s">
        <v>1008</v>
      </c>
      <c r="C61" s="91">
        <v>34803.4</v>
      </c>
      <c r="D61" s="91">
        <v>32</v>
      </c>
      <c r="E61" s="91">
        <v>30975.700000000004</v>
      </c>
      <c r="F61" s="92">
        <v>-0.10998063407598102</v>
      </c>
      <c r="G61" s="91">
        <v>24</v>
      </c>
      <c r="H61" s="93">
        <v>-8</v>
      </c>
      <c r="I61" s="102"/>
      <c r="J61" s="102"/>
      <c r="K61" s="102"/>
      <c r="L61" s="102"/>
      <c r="M61" s="102"/>
      <c r="N61" s="102"/>
    </row>
    <row r="62" spans="1:14" x14ac:dyDescent="0.25">
      <c r="A62" s="213" t="s">
        <v>1009</v>
      </c>
      <c r="B62" s="94" t="s">
        <v>1010</v>
      </c>
      <c r="C62" s="91">
        <v>60223501.199999988</v>
      </c>
      <c r="D62" s="91">
        <v>7844</v>
      </c>
      <c r="E62" s="91">
        <v>55477538.000000007</v>
      </c>
      <c r="F62" s="92">
        <v>-7.8805833361278887E-2</v>
      </c>
      <c r="G62" s="91">
        <v>7625</v>
      </c>
      <c r="H62" s="93">
        <v>-219</v>
      </c>
      <c r="I62" s="102"/>
      <c r="J62" s="102"/>
      <c r="K62" s="102"/>
      <c r="L62" s="102"/>
      <c r="M62" s="102"/>
      <c r="N62" s="102"/>
    </row>
    <row r="63" spans="1:14" x14ac:dyDescent="0.25">
      <c r="A63" s="213"/>
      <c r="B63" s="94" t="s">
        <v>1012</v>
      </c>
      <c r="C63" s="91">
        <v>15827308.1</v>
      </c>
      <c r="D63" s="91">
        <v>4198</v>
      </c>
      <c r="E63" s="91">
        <v>14067071.699999999</v>
      </c>
      <c r="F63" s="92">
        <v>-0.11121514719233905</v>
      </c>
      <c r="G63" s="91">
        <v>3904</v>
      </c>
      <c r="H63" s="93">
        <v>-294</v>
      </c>
      <c r="I63" s="102"/>
      <c r="J63" s="102"/>
      <c r="K63" s="102"/>
      <c r="L63" s="102"/>
      <c r="M63" s="102"/>
      <c r="N63" s="102"/>
    </row>
    <row r="64" spans="1:14" x14ac:dyDescent="0.25">
      <c r="A64" s="213"/>
      <c r="B64" s="94" t="s">
        <v>1014</v>
      </c>
      <c r="C64" s="91">
        <v>43886841.299999997</v>
      </c>
      <c r="D64" s="91">
        <v>6201</v>
      </c>
      <c r="E64" s="91">
        <v>40956807.300000004</v>
      </c>
      <c r="F64" s="92">
        <v>-6.6763383128236042E-2</v>
      </c>
      <c r="G64" s="91">
        <v>6049</v>
      </c>
      <c r="H64" s="93">
        <v>-152</v>
      </c>
      <c r="I64" s="102"/>
      <c r="J64" s="102"/>
      <c r="K64" s="102"/>
      <c r="L64" s="102"/>
      <c r="M64" s="102"/>
      <c r="N64" s="102"/>
    </row>
    <row r="65" spans="1:14" x14ac:dyDescent="0.25">
      <c r="A65" s="213"/>
      <c r="B65" s="94" t="s">
        <v>1013</v>
      </c>
      <c r="C65" s="91">
        <v>508941.9</v>
      </c>
      <c r="D65" s="91">
        <v>211</v>
      </c>
      <c r="E65" s="91">
        <v>439406.1</v>
      </c>
      <c r="F65" s="92">
        <v>-0.13662816914858067</v>
      </c>
      <c r="G65" s="91">
        <v>174</v>
      </c>
      <c r="H65" s="93">
        <v>-37</v>
      </c>
      <c r="I65" s="102"/>
      <c r="J65" s="102"/>
      <c r="K65" s="102"/>
      <c r="L65" s="102"/>
      <c r="M65" s="102"/>
      <c r="N65" s="102"/>
    </row>
    <row r="66" spans="1:14" x14ac:dyDescent="0.25">
      <c r="A66" s="213"/>
      <c r="B66" s="94" t="s">
        <v>1011</v>
      </c>
      <c r="C66" s="91">
        <v>9444311.8000000026</v>
      </c>
      <c r="D66" s="91">
        <v>3834</v>
      </c>
      <c r="E66" s="91">
        <v>8903779.0999999996</v>
      </c>
      <c r="F66" s="92">
        <v>-5.7233677947820749E-2</v>
      </c>
      <c r="G66" s="91">
        <v>3873</v>
      </c>
      <c r="H66" s="93">
        <v>39</v>
      </c>
      <c r="I66" s="102"/>
      <c r="J66" s="102"/>
      <c r="K66" s="102"/>
      <c r="L66" s="102"/>
      <c r="M66" s="102"/>
      <c r="N66" s="102"/>
    </row>
    <row r="67" spans="1:14" x14ac:dyDescent="0.25">
      <c r="A67" s="213"/>
      <c r="B67" s="94" t="s">
        <v>1016</v>
      </c>
      <c r="C67" s="91">
        <v>23595.300000000003</v>
      </c>
      <c r="D67" s="91">
        <v>15</v>
      </c>
      <c r="E67" s="91">
        <v>16955</v>
      </c>
      <c r="F67" s="92">
        <v>-0.28142469051039831</v>
      </c>
      <c r="G67" s="91">
        <v>16</v>
      </c>
      <c r="H67" s="93">
        <v>1</v>
      </c>
      <c r="I67" s="102"/>
      <c r="J67" s="102"/>
      <c r="K67" s="102"/>
      <c r="L67" s="102"/>
      <c r="M67" s="102"/>
      <c r="N67" s="102"/>
    </row>
    <row r="68" spans="1:14" x14ac:dyDescent="0.25">
      <c r="A68" s="213"/>
      <c r="B68" s="103" t="s">
        <v>1017</v>
      </c>
      <c r="C68" s="91">
        <v>458690.60000000003</v>
      </c>
      <c r="D68" s="91">
        <v>379</v>
      </c>
      <c r="E68" s="91">
        <v>509163.8</v>
      </c>
      <c r="F68" s="92">
        <v>0.11003757216738252</v>
      </c>
      <c r="G68" s="91">
        <v>358</v>
      </c>
      <c r="H68" s="93">
        <v>-21</v>
      </c>
      <c r="I68" s="102"/>
      <c r="J68" s="102"/>
      <c r="K68" s="102"/>
      <c r="L68" s="102"/>
      <c r="M68" s="102"/>
      <c r="N68" s="102"/>
    </row>
    <row r="69" spans="1:14" x14ac:dyDescent="0.25">
      <c r="A69" s="213"/>
      <c r="B69" s="94" t="s">
        <v>1015</v>
      </c>
      <c r="C69" s="91">
        <v>5599253.5</v>
      </c>
      <c r="D69" s="91">
        <v>2410</v>
      </c>
      <c r="E69" s="91">
        <v>4983939.2</v>
      </c>
      <c r="F69" s="92">
        <v>-0.10989220259450649</v>
      </c>
      <c r="G69" s="91">
        <v>2193</v>
      </c>
      <c r="H69" s="93">
        <v>-217</v>
      </c>
      <c r="I69" s="102"/>
      <c r="J69" s="102"/>
      <c r="K69" s="102"/>
      <c r="L69" s="102"/>
      <c r="M69" s="102"/>
      <c r="N69" s="102"/>
    </row>
    <row r="70" spans="1:14" x14ac:dyDescent="0.25">
      <c r="A70" s="213"/>
      <c r="B70" s="94" t="s">
        <v>1019</v>
      </c>
      <c r="C70" s="91">
        <v>181859.3</v>
      </c>
      <c r="D70" s="91">
        <v>41</v>
      </c>
      <c r="E70" s="91">
        <v>151647.5</v>
      </c>
      <c r="F70" s="92">
        <v>-0.16612733030425164</v>
      </c>
      <c r="G70" s="91">
        <v>34</v>
      </c>
      <c r="H70" s="93">
        <v>-7</v>
      </c>
      <c r="I70" s="102"/>
      <c r="J70" s="102"/>
      <c r="K70" s="102"/>
      <c r="L70" s="102"/>
      <c r="M70" s="102"/>
      <c r="N70" s="102"/>
    </row>
    <row r="71" spans="1:14" x14ac:dyDescent="0.25">
      <c r="A71" s="213"/>
      <c r="B71" s="94" t="s">
        <v>1018</v>
      </c>
      <c r="C71" s="91">
        <v>333.60000000000008</v>
      </c>
      <c r="D71" s="91">
        <v>1</v>
      </c>
      <c r="E71" s="91">
        <v>0</v>
      </c>
      <c r="F71" s="92">
        <v>0</v>
      </c>
      <c r="G71" s="91">
        <v>0</v>
      </c>
      <c r="H71" s="93">
        <v>-1</v>
      </c>
      <c r="I71" s="102"/>
      <c r="J71" s="102"/>
      <c r="K71" s="102"/>
      <c r="L71" s="102"/>
      <c r="M71" s="102"/>
      <c r="N71" s="102"/>
    </row>
    <row r="72" spans="1:14" x14ac:dyDescent="0.25">
      <c r="A72" s="213"/>
      <c r="B72" s="94" t="s">
        <v>1020</v>
      </c>
      <c r="C72" s="91">
        <v>2265.1</v>
      </c>
      <c r="D72" s="91">
        <v>0</v>
      </c>
      <c r="E72" s="91">
        <v>313.09999999999997</v>
      </c>
      <c r="F72" s="92">
        <v>-0.86177210719173547</v>
      </c>
      <c r="G72" s="91">
        <v>0</v>
      </c>
      <c r="H72" s="93">
        <v>0</v>
      </c>
      <c r="I72" s="102"/>
      <c r="J72" s="102"/>
      <c r="K72" s="102"/>
      <c r="L72" s="102"/>
      <c r="M72" s="102"/>
      <c r="N72" s="102"/>
    </row>
    <row r="73" spans="1:14" x14ac:dyDescent="0.25">
      <c r="A73" s="213"/>
      <c r="B73" s="94" t="s">
        <v>1021</v>
      </c>
      <c r="C73" s="91">
        <v>25794.699999999997</v>
      </c>
      <c r="D73" s="91">
        <v>20</v>
      </c>
      <c r="E73" s="91">
        <v>21634.799999999996</v>
      </c>
      <c r="F73" s="92">
        <v>-0.16126956312730922</v>
      </c>
      <c r="G73" s="91">
        <v>14</v>
      </c>
      <c r="H73" s="93">
        <v>-6</v>
      </c>
      <c r="I73" s="102"/>
      <c r="J73" s="102"/>
      <c r="K73" s="102"/>
      <c r="L73" s="102"/>
      <c r="M73" s="102"/>
      <c r="N73" s="102"/>
    </row>
    <row r="74" spans="1:14" x14ac:dyDescent="0.25">
      <c r="A74" s="213"/>
      <c r="B74" s="94" t="s">
        <v>1022</v>
      </c>
      <c r="C74" s="91">
        <v>12117.600000000002</v>
      </c>
      <c r="D74" s="91">
        <v>7</v>
      </c>
      <c r="E74" s="91">
        <v>11374.499999999998</v>
      </c>
      <c r="F74" s="92">
        <v>-6.1324024559318957E-2</v>
      </c>
      <c r="G74" s="91">
        <v>9</v>
      </c>
      <c r="H74" s="93">
        <v>2</v>
      </c>
      <c r="I74" s="102"/>
      <c r="J74" s="102"/>
      <c r="K74" s="102"/>
      <c r="L74" s="102"/>
      <c r="M74" s="102"/>
      <c r="N74" s="102"/>
    </row>
    <row r="75" spans="1:14" x14ac:dyDescent="0.25">
      <c r="A75" s="214"/>
      <c r="B75" s="94" t="s">
        <v>1023</v>
      </c>
      <c r="C75" s="91">
        <v>32301349.900000006</v>
      </c>
      <c r="D75" s="91">
        <v>7874</v>
      </c>
      <c r="E75" s="91">
        <v>34792211.899999999</v>
      </c>
      <c r="F75" s="92">
        <v>7.7113247827453657E-2</v>
      </c>
      <c r="G75" s="91">
        <v>7869</v>
      </c>
      <c r="H75" s="93">
        <v>-5</v>
      </c>
      <c r="I75" s="102"/>
      <c r="J75" s="102"/>
      <c r="K75" s="102"/>
      <c r="L75" s="102"/>
      <c r="M75" s="102"/>
      <c r="N75" s="102"/>
    </row>
    <row r="76" spans="1:14" x14ac:dyDescent="0.25">
      <c r="A76" s="215" t="s">
        <v>1024</v>
      </c>
      <c r="B76" s="95" t="s">
        <v>1025</v>
      </c>
      <c r="C76" s="91">
        <v>31610593.400000002</v>
      </c>
      <c r="D76" s="91">
        <v>8082</v>
      </c>
      <c r="E76" s="91">
        <v>31214669.900000002</v>
      </c>
      <c r="F76" s="92">
        <v>-1.2525025866803263E-2</v>
      </c>
      <c r="G76" s="91">
        <v>7909</v>
      </c>
      <c r="H76" s="93">
        <v>-173</v>
      </c>
      <c r="I76" s="102"/>
      <c r="J76" s="102"/>
      <c r="K76" s="102"/>
      <c r="L76" s="102"/>
      <c r="M76" s="102"/>
      <c r="N76" s="102"/>
    </row>
    <row r="77" spans="1:14" x14ac:dyDescent="0.25">
      <c r="A77" s="216"/>
      <c r="B77" s="95" t="s">
        <v>1026</v>
      </c>
      <c r="C77" s="91">
        <v>26596156.100000005</v>
      </c>
      <c r="D77" s="91">
        <v>8043</v>
      </c>
      <c r="E77" s="91">
        <v>26565328.400000006</v>
      </c>
      <c r="F77" s="92">
        <v>-1.1591035894092938E-3</v>
      </c>
      <c r="G77" s="91">
        <v>7871</v>
      </c>
      <c r="H77" s="93">
        <v>-172</v>
      </c>
      <c r="I77" s="102"/>
      <c r="J77" s="102"/>
      <c r="K77" s="102"/>
      <c r="L77" s="102"/>
      <c r="M77" s="102"/>
      <c r="N77" s="102"/>
    </row>
    <row r="78" spans="1:14" x14ac:dyDescent="0.25">
      <c r="A78" s="216"/>
      <c r="B78" s="95" t="s">
        <v>1027</v>
      </c>
      <c r="C78" s="91">
        <v>2426270.3000000003</v>
      </c>
      <c r="D78" s="91">
        <v>1115</v>
      </c>
      <c r="E78" s="91">
        <v>2449353.7999999998</v>
      </c>
      <c r="F78" s="92">
        <v>9.5139853131778196E-3</v>
      </c>
      <c r="G78" s="91">
        <v>1092</v>
      </c>
      <c r="H78" s="93">
        <v>-23</v>
      </c>
      <c r="I78" s="102"/>
      <c r="J78" s="102"/>
      <c r="K78" s="102"/>
      <c r="L78" s="102"/>
      <c r="M78" s="102"/>
      <c r="N78" s="102"/>
    </row>
    <row r="79" spans="1:14" x14ac:dyDescent="0.25">
      <c r="A79" s="216"/>
      <c r="B79" s="95" t="s">
        <v>1028</v>
      </c>
      <c r="C79" s="91">
        <v>204.50000000000003</v>
      </c>
      <c r="D79" s="91">
        <v>0</v>
      </c>
      <c r="E79" s="91">
        <v>0</v>
      </c>
      <c r="F79" s="92">
        <v>0</v>
      </c>
      <c r="G79" s="91">
        <v>0</v>
      </c>
      <c r="H79" s="93">
        <v>0</v>
      </c>
      <c r="I79" s="102"/>
      <c r="J79" s="102"/>
      <c r="K79" s="102"/>
      <c r="L79" s="102"/>
      <c r="M79" s="102"/>
      <c r="N79" s="102"/>
    </row>
    <row r="80" spans="1:14" x14ac:dyDescent="0.25">
      <c r="A80" s="216"/>
      <c r="B80" s="95" t="s">
        <v>1029</v>
      </c>
      <c r="C80" s="91">
        <v>198216.59999999998</v>
      </c>
      <c r="D80" s="91">
        <v>147</v>
      </c>
      <c r="E80" s="91">
        <v>164948.30000000002</v>
      </c>
      <c r="F80" s="92">
        <v>-0.16783811244870495</v>
      </c>
      <c r="G80" s="91">
        <v>104</v>
      </c>
      <c r="H80" s="93">
        <v>-43</v>
      </c>
      <c r="I80" s="102"/>
      <c r="J80" s="102"/>
      <c r="K80" s="102"/>
      <c r="L80" s="102"/>
      <c r="M80" s="102"/>
      <c r="N80" s="102"/>
    </row>
    <row r="81" spans="1:14" x14ac:dyDescent="0.25">
      <c r="A81" s="216"/>
      <c r="B81" s="95" t="s">
        <v>1030</v>
      </c>
      <c r="C81" s="91">
        <v>495447.10000000003</v>
      </c>
      <c r="D81" s="91">
        <v>225</v>
      </c>
      <c r="E81" s="91">
        <v>359051.69999999995</v>
      </c>
      <c r="F81" s="92">
        <v>-0.27529760493098065</v>
      </c>
      <c r="G81" s="91">
        <v>173</v>
      </c>
      <c r="H81" s="93">
        <v>-52</v>
      </c>
      <c r="I81" s="102"/>
      <c r="J81" s="102"/>
      <c r="K81" s="102"/>
      <c r="L81" s="102"/>
      <c r="M81" s="102"/>
      <c r="N81" s="102"/>
    </row>
    <row r="82" spans="1:14" x14ac:dyDescent="0.25">
      <c r="A82" s="216"/>
      <c r="B82" s="95" t="s">
        <v>1031</v>
      </c>
      <c r="C82" s="91">
        <v>6209595.5</v>
      </c>
      <c r="D82" s="91">
        <v>2450</v>
      </c>
      <c r="E82" s="91">
        <v>5475036.9000000004</v>
      </c>
      <c r="F82" s="92">
        <v>-0.11829411432677051</v>
      </c>
      <c r="G82" s="91">
        <v>2195</v>
      </c>
      <c r="H82" s="93">
        <v>-255</v>
      </c>
      <c r="I82" s="102"/>
      <c r="J82" s="102"/>
      <c r="K82" s="102"/>
      <c r="L82" s="102"/>
      <c r="M82" s="102"/>
      <c r="N82" s="102"/>
    </row>
    <row r="83" spans="1:14" x14ac:dyDescent="0.25">
      <c r="A83" s="216"/>
      <c r="B83" s="95" t="s">
        <v>1032</v>
      </c>
      <c r="C83" s="91">
        <v>15103.2</v>
      </c>
      <c r="D83" s="91">
        <v>5</v>
      </c>
      <c r="E83" s="91">
        <v>10253.900000000001</v>
      </c>
      <c r="F83" s="92">
        <v>-0.32107765241803055</v>
      </c>
      <c r="G83" s="91">
        <v>4</v>
      </c>
      <c r="H83" s="93">
        <v>-1</v>
      </c>
      <c r="I83" s="102"/>
      <c r="J83" s="102"/>
      <c r="K83" s="102"/>
      <c r="L83" s="102"/>
      <c r="M83" s="102"/>
      <c r="N83" s="102"/>
    </row>
    <row r="84" spans="1:14" x14ac:dyDescent="0.25">
      <c r="A84" s="216"/>
      <c r="B84" s="95" t="s">
        <v>1033</v>
      </c>
      <c r="C84" s="91">
        <v>1233133.3999999999</v>
      </c>
      <c r="D84" s="91">
        <v>506</v>
      </c>
      <c r="E84" s="91">
        <v>977183.6</v>
      </c>
      <c r="F84" s="92">
        <v>-0.20756051210680038</v>
      </c>
      <c r="G84" s="91">
        <v>410</v>
      </c>
      <c r="H84" s="93">
        <v>-96</v>
      </c>
      <c r="I84" s="102"/>
      <c r="J84" s="102"/>
      <c r="K84" s="102"/>
      <c r="L84" s="102"/>
      <c r="M84" s="102"/>
      <c r="N84" s="102"/>
    </row>
    <row r="85" spans="1:14" x14ac:dyDescent="0.25">
      <c r="A85" s="216"/>
      <c r="B85" s="95" t="s">
        <v>1034</v>
      </c>
      <c r="C85" s="91">
        <v>5296.3</v>
      </c>
      <c r="D85" s="91">
        <v>3</v>
      </c>
      <c r="E85" s="91">
        <v>5050.0000000000009</v>
      </c>
      <c r="F85" s="92">
        <v>-4.6504163283801803E-2</v>
      </c>
      <c r="G85" s="91">
        <v>2</v>
      </c>
      <c r="H85" s="93">
        <v>-1</v>
      </c>
      <c r="I85" s="102"/>
      <c r="J85" s="102"/>
      <c r="K85" s="102"/>
      <c r="L85" s="102"/>
      <c r="M85" s="102"/>
      <c r="N85" s="102"/>
    </row>
    <row r="86" spans="1:14" x14ac:dyDescent="0.25">
      <c r="A86" s="216"/>
      <c r="B86" s="95" t="s">
        <v>1035</v>
      </c>
      <c r="C86" s="91">
        <v>5133059.4000000004</v>
      </c>
      <c r="D86" s="91">
        <v>1340</v>
      </c>
      <c r="E86" s="91">
        <v>4942874.6999999993</v>
      </c>
      <c r="F86" s="92">
        <v>-3.7050944705607991E-2</v>
      </c>
      <c r="G86" s="91">
        <v>1312</v>
      </c>
      <c r="H86" s="93">
        <v>-28</v>
      </c>
      <c r="I86" s="102"/>
      <c r="J86" s="102"/>
      <c r="K86" s="102"/>
      <c r="L86" s="102"/>
      <c r="M86" s="102"/>
      <c r="N86" s="102"/>
    </row>
    <row r="87" spans="1:14" x14ac:dyDescent="0.25">
      <c r="A87" s="216"/>
      <c r="B87" s="95" t="s">
        <v>1036</v>
      </c>
      <c r="C87" s="91">
        <v>207977.39999999997</v>
      </c>
      <c r="D87" s="91">
        <v>78</v>
      </c>
      <c r="E87" s="91">
        <v>193543.90000000002</v>
      </c>
      <c r="F87" s="92">
        <v>-6.9399367431268733E-2</v>
      </c>
      <c r="G87" s="91">
        <v>74</v>
      </c>
      <c r="H87" s="93">
        <v>-4</v>
      </c>
      <c r="I87" s="102"/>
      <c r="J87" s="102"/>
      <c r="K87" s="102"/>
      <c r="L87" s="102"/>
      <c r="M87" s="102"/>
      <c r="N87" s="102"/>
    </row>
    <row r="88" spans="1:14" x14ac:dyDescent="0.25">
      <c r="A88" s="216"/>
      <c r="B88" s="95" t="s">
        <v>1037</v>
      </c>
      <c r="C88" s="91">
        <v>1196511.4000000004</v>
      </c>
      <c r="D88" s="91">
        <v>537</v>
      </c>
      <c r="E88" s="91">
        <v>1077736.7000000004</v>
      </c>
      <c r="F88" s="92">
        <v>-9.9267503844927774E-2</v>
      </c>
      <c r="G88" s="91">
        <v>501</v>
      </c>
      <c r="H88" s="93">
        <v>-36</v>
      </c>
      <c r="I88" s="102"/>
      <c r="J88" s="102"/>
      <c r="K88" s="102"/>
      <c r="L88" s="102"/>
      <c r="M88" s="102"/>
      <c r="N88" s="102"/>
    </row>
    <row r="89" spans="1:14" x14ac:dyDescent="0.25">
      <c r="A89" s="216"/>
      <c r="B89" s="95" t="s">
        <v>1038</v>
      </c>
      <c r="C89" s="91">
        <v>5014174.8999999994</v>
      </c>
      <c r="D89" s="91">
        <v>3444</v>
      </c>
      <c r="E89" s="91">
        <v>4646197.4000000004</v>
      </c>
      <c r="F89" s="92">
        <v>-7.3387448052519844E-2</v>
      </c>
      <c r="G89" s="91">
        <v>3218</v>
      </c>
      <c r="H89" s="93">
        <v>-226</v>
      </c>
      <c r="I89" s="102"/>
      <c r="J89" s="102"/>
      <c r="K89" s="102"/>
      <c r="L89" s="102"/>
      <c r="M89" s="102"/>
      <c r="N89" s="102"/>
    </row>
    <row r="90" spans="1:14" x14ac:dyDescent="0.25">
      <c r="A90" s="216"/>
      <c r="B90" s="95" t="s">
        <v>1039</v>
      </c>
      <c r="C90" s="91">
        <v>197952.40000000002</v>
      </c>
      <c r="D90" s="91">
        <v>145</v>
      </c>
      <c r="E90" s="91">
        <v>138461.4</v>
      </c>
      <c r="F90" s="92">
        <v>-0.30053184502941122</v>
      </c>
      <c r="G90" s="91">
        <v>100</v>
      </c>
      <c r="H90" s="93">
        <v>-45</v>
      </c>
      <c r="I90" s="102"/>
      <c r="J90" s="102"/>
      <c r="K90" s="102"/>
      <c r="L90" s="102"/>
      <c r="M90" s="102"/>
      <c r="N90" s="102"/>
    </row>
    <row r="91" spans="1:14" x14ac:dyDescent="0.25">
      <c r="A91" s="216"/>
      <c r="B91" s="95" t="s">
        <v>1040</v>
      </c>
      <c r="C91" s="91">
        <v>0</v>
      </c>
      <c r="D91" s="91">
        <v>0</v>
      </c>
      <c r="E91" s="91">
        <v>0</v>
      </c>
      <c r="F91" s="92">
        <v>0</v>
      </c>
      <c r="G91" s="91">
        <v>0</v>
      </c>
      <c r="H91" s="93">
        <v>0</v>
      </c>
      <c r="I91" s="102"/>
      <c r="J91" s="102"/>
      <c r="K91" s="102"/>
      <c r="L91" s="102"/>
      <c r="M91" s="102"/>
      <c r="N91" s="102"/>
    </row>
    <row r="92" spans="1:14" x14ac:dyDescent="0.25">
      <c r="A92" s="216"/>
      <c r="B92" s="95" t="s">
        <v>1041</v>
      </c>
      <c r="C92" s="91">
        <v>243125.30000000002</v>
      </c>
      <c r="D92" s="91">
        <v>267</v>
      </c>
      <c r="E92" s="91">
        <v>198897.69999999995</v>
      </c>
      <c r="F92" s="92">
        <v>-0.18191278324386673</v>
      </c>
      <c r="G92" s="91">
        <v>198</v>
      </c>
      <c r="H92" s="93">
        <v>-69</v>
      </c>
      <c r="I92" s="102"/>
      <c r="J92" s="102"/>
      <c r="K92" s="102"/>
      <c r="L92" s="102"/>
      <c r="M92" s="102"/>
      <c r="N92" s="102"/>
    </row>
    <row r="93" spans="1:14" x14ac:dyDescent="0.25">
      <c r="A93" s="216"/>
      <c r="B93" s="95" t="s">
        <v>1042</v>
      </c>
      <c r="C93" s="91">
        <v>1150439.5</v>
      </c>
      <c r="D93" s="91">
        <v>839</v>
      </c>
      <c r="E93" s="91">
        <v>1418361.2</v>
      </c>
      <c r="F93" s="92">
        <v>0.23288638820207397</v>
      </c>
      <c r="G93" s="91">
        <v>928</v>
      </c>
      <c r="H93" s="93">
        <v>89</v>
      </c>
      <c r="I93" s="102"/>
      <c r="J93" s="102"/>
      <c r="K93" s="102"/>
      <c r="L93" s="102"/>
      <c r="M93" s="102"/>
      <c r="N93" s="102"/>
    </row>
    <row r="94" spans="1:14" x14ac:dyDescent="0.25">
      <c r="A94" s="217"/>
      <c r="B94" s="96" t="s">
        <v>1043</v>
      </c>
      <c r="C94" s="91">
        <v>2879526.8000000003</v>
      </c>
      <c r="D94" s="91">
        <v>1886</v>
      </c>
      <c r="E94" s="91">
        <v>2172769.6</v>
      </c>
      <c r="F94" s="92">
        <v>-0.24544213306158502</v>
      </c>
      <c r="G94" s="91">
        <v>1468</v>
      </c>
      <c r="H94" s="93">
        <v>-418</v>
      </c>
      <c r="I94" s="102"/>
      <c r="J94" s="102"/>
      <c r="K94" s="102"/>
      <c r="L94" s="102"/>
      <c r="M94" s="102"/>
      <c r="N94" s="102"/>
    </row>
  </sheetData>
  <mergeCells count="12">
    <mergeCell ref="A76:A94"/>
    <mergeCell ref="A15:A21"/>
    <mergeCell ref="A22:A28"/>
    <mergeCell ref="A29:A36"/>
    <mergeCell ref="A37:A43"/>
    <mergeCell ref="A44:A58"/>
    <mergeCell ref="A59:A61"/>
    <mergeCell ref="A13:A14"/>
    <mergeCell ref="B13:B14"/>
    <mergeCell ref="C13:D13"/>
    <mergeCell ref="E13:H13"/>
    <mergeCell ref="A62:A75"/>
  </mergeCells>
  <conditionalFormatting sqref="H15:I24 K15:N24 F15:F94 H25:N94">
    <cfRule type="cellIs" dxfId="3" priority="3" operator="lessThan">
      <formula>0</formula>
    </cfRule>
    <cfRule type="cellIs" dxfId="2" priority="4" operator="greaterThan">
      <formula>0</formula>
    </cfRule>
  </conditionalFormatting>
  <conditionalFormatting sqref="J15:J17">
    <cfRule type="cellIs" dxfId="1" priority="1" operator="lessThan">
      <formula>0</formula>
    </cfRule>
    <cfRule type="cellIs" dxfId="0" priority="2" operator="greaterThan">
      <formula>0</formula>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9BE90E-6080-4B32-A30F-6EDA3A8523C5}">
  <sheetPr>
    <tabColor rgb="FFFF0000"/>
  </sheetPr>
  <dimension ref="A1"/>
  <sheetViews>
    <sheetView workbookViewId="0">
      <selection activeCell="L53" sqref="L53"/>
    </sheetView>
  </sheetViews>
  <sheetFormatPr defaultRowHeight="15" x14ac:dyDescent="0.25"/>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91BF26-DCAC-45A0-8390-DA94F941319F}">
  <dimension ref="A1:N49"/>
  <sheetViews>
    <sheetView zoomScale="85" zoomScaleNormal="85" workbookViewId="0">
      <pane ySplit="1" topLeftCell="A43" activePane="bottomLeft" state="frozen"/>
      <selection pane="bottomLeft" activeCell="L45" sqref="L45"/>
    </sheetView>
  </sheetViews>
  <sheetFormatPr defaultRowHeight="15" x14ac:dyDescent="0.25"/>
  <cols>
    <col min="1" max="1" width="15.28515625" style="2" customWidth="1"/>
    <col min="2" max="2" width="9.140625" style="2"/>
    <col min="3" max="3" width="6" style="2" customWidth="1"/>
    <col min="4" max="4" width="8" style="2" bestFit="1" customWidth="1"/>
    <col min="5" max="5" width="8.5703125" style="2" customWidth="1"/>
    <col min="6" max="6" width="9.5703125" style="2" customWidth="1"/>
    <col min="7" max="7" width="13.42578125" style="2" customWidth="1"/>
    <col min="8" max="8" width="9.5703125" style="2" customWidth="1"/>
    <col min="9" max="9" width="7.5703125" style="2" customWidth="1"/>
    <col min="10" max="10" width="9" style="2" customWidth="1"/>
    <col min="11" max="11" width="32.42578125" style="2" customWidth="1"/>
    <col min="12" max="12" width="12.28515625" style="2" customWidth="1"/>
    <col min="13" max="13" width="9.140625" style="2"/>
    <col min="14" max="14" width="36.42578125" style="2" bestFit="1" customWidth="1"/>
    <col min="15" max="16384" width="9.140625" style="226"/>
  </cols>
  <sheetData>
    <row r="1" spans="1:14" s="228" customFormat="1" ht="60" x14ac:dyDescent="0.25">
      <c r="A1" s="42" t="s">
        <v>461</v>
      </c>
      <c r="B1" s="42" t="s">
        <v>500</v>
      </c>
      <c r="C1" s="42" t="s">
        <v>6233</v>
      </c>
      <c r="D1" s="42" t="s">
        <v>6232</v>
      </c>
      <c r="E1" s="42" t="s">
        <v>470</v>
      </c>
      <c r="F1" s="42" t="s">
        <v>471</v>
      </c>
      <c r="G1" s="42" t="s">
        <v>480</v>
      </c>
      <c r="H1" s="42" t="s">
        <v>660</v>
      </c>
      <c r="I1" s="42" t="s">
        <v>214</v>
      </c>
      <c r="J1" s="42" t="s">
        <v>481</v>
      </c>
      <c r="K1" s="42" t="s">
        <v>478</v>
      </c>
      <c r="L1" s="42" t="s">
        <v>477</v>
      </c>
      <c r="M1" s="42" t="s">
        <v>3664</v>
      </c>
      <c r="N1" s="42" t="s">
        <v>491</v>
      </c>
    </row>
    <row r="2" spans="1:14" ht="60" x14ac:dyDescent="0.25">
      <c r="A2" s="2" t="s">
        <v>650</v>
      </c>
      <c r="B2" s="2" t="s">
        <v>285</v>
      </c>
      <c r="C2" s="45" t="str">
        <f>LEFT(B2,2)</f>
        <v>NR</v>
      </c>
      <c r="D2" s="45" t="str">
        <f>_xlfn.TEXTBEFORE(B2, " ")</f>
        <v>NR34</v>
      </c>
      <c r="E2" s="2" t="s">
        <v>475</v>
      </c>
      <c r="F2" s="2" t="s">
        <v>653</v>
      </c>
      <c r="G2" s="43" t="s">
        <v>938</v>
      </c>
      <c r="H2" s="43"/>
      <c r="I2" s="44">
        <v>770107725</v>
      </c>
      <c r="K2" s="44" t="s">
        <v>939</v>
      </c>
      <c r="M2" s="2" t="s">
        <v>3667</v>
      </c>
      <c r="N2" s="119" t="s">
        <v>6417</v>
      </c>
    </row>
    <row r="3" spans="1:14" ht="30" x14ac:dyDescent="0.25">
      <c r="A3" s="2" t="s">
        <v>3648</v>
      </c>
      <c r="B3" s="2" t="s">
        <v>656</v>
      </c>
      <c r="C3" s="45" t="str">
        <f>LEFT(B3,2)</f>
        <v>nr</v>
      </c>
      <c r="D3" s="45" t="str">
        <f>_xlfn.TEXTBEFORE(B3, " ")</f>
        <v>nr17</v>
      </c>
      <c r="E3" s="2" t="s">
        <v>2</v>
      </c>
      <c r="F3" s="2" t="s">
        <v>647</v>
      </c>
      <c r="G3" s="2" t="s">
        <v>403</v>
      </c>
      <c r="I3" s="2" t="s">
        <v>3659</v>
      </c>
      <c r="J3" s="1"/>
      <c r="K3" s="2" t="s">
        <v>3670</v>
      </c>
      <c r="L3" s="1"/>
      <c r="M3" s="1" t="s">
        <v>3666</v>
      </c>
      <c r="N3" s="122" t="s">
        <v>6478</v>
      </c>
    </row>
    <row r="4" spans="1:14" ht="30" x14ac:dyDescent="0.25">
      <c r="A4" s="2" t="s">
        <v>3663</v>
      </c>
      <c r="B4" s="2" t="s">
        <v>655</v>
      </c>
      <c r="C4" s="45" t="str">
        <f>LEFT(B4,2)</f>
        <v>co</v>
      </c>
      <c r="D4" s="45" t="str">
        <f>_xlfn.TEXTBEFORE(B4, " ")</f>
        <v>co14</v>
      </c>
      <c r="E4" s="2" t="s">
        <v>2</v>
      </c>
      <c r="F4" s="2" t="s">
        <v>362</v>
      </c>
      <c r="G4" s="2" t="s">
        <v>3660</v>
      </c>
      <c r="M4" s="2" t="s">
        <v>3666</v>
      </c>
      <c r="N4" s="119"/>
    </row>
    <row r="5" spans="1:14" ht="60" x14ac:dyDescent="0.25">
      <c r="A5" s="2" t="s">
        <v>643</v>
      </c>
      <c r="B5" s="2" t="s">
        <v>644</v>
      </c>
      <c r="C5" s="45" t="str">
        <f>LEFT(B5,2)</f>
        <v>nr</v>
      </c>
      <c r="D5" s="45" t="str">
        <f>_xlfn.TEXTBEFORE(B5, " ")</f>
        <v>nr2</v>
      </c>
      <c r="E5" s="2" t="s">
        <v>7</v>
      </c>
      <c r="F5" s="2" t="s">
        <v>641</v>
      </c>
      <c r="G5" s="2" t="s">
        <v>105</v>
      </c>
      <c r="I5" s="44">
        <v>7545340923</v>
      </c>
      <c r="J5" s="43" t="s">
        <v>482</v>
      </c>
      <c r="K5" s="43" t="s">
        <v>645</v>
      </c>
      <c r="L5" s="2" t="s">
        <v>6477</v>
      </c>
      <c r="M5" s="2" t="s">
        <v>6482</v>
      </c>
      <c r="N5" s="119"/>
    </row>
    <row r="6" spans="1:14" ht="45" x14ac:dyDescent="0.25">
      <c r="A6" s="2" t="s">
        <v>358</v>
      </c>
      <c r="B6" s="2" t="s">
        <v>359</v>
      </c>
      <c r="C6" s="45" t="str">
        <f>LEFT(B6,2)</f>
        <v>IP</v>
      </c>
      <c r="D6" s="45" t="str">
        <f>_xlfn.TEXTBEFORE(B6, " ")</f>
        <v>IP2</v>
      </c>
      <c r="E6" s="2" t="s">
        <v>7</v>
      </c>
      <c r="F6" s="2" t="s">
        <v>3658</v>
      </c>
      <c r="G6" s="2" t="s">
        <v>3652</v>
      </c>
      <c r="I6" s="2" t="s">
        <v>360</v>
      </c>
      <c r="M6" s="2" t="s">
        <v>3665</v>
      </c>
      <c r="N6" s="119"/>
    </row>
    <row r="7" spans="1:14" ht="30" x14ac:dyDescent="0.25">
      <c r="A7" s="43" t="s">
        <v>198</v>
      </c>
      <c r="B7" s="120" t="s">
        <v>108</v>
      </c>
      <c r="C7" s="45" t="str">
        <f>LEFT(B7,2)</f>
        <v>NR</v>
      </c>
      <c r="D7" s="45" t="str">
        <f>_xlfn.TEXTBEFORE(B7, " ")</f>
        <v>NR19</v>
      </c>
      <c r="E7" s="43" t="s">
        <v>932</v>
      </c>
      <c r="F7" s="43" t="s">
        <v>933</v>
      </c>
      <c r="G7" s="43" t="s">
        <v>934</v>
      </c>
      <c r="H7" s="43"/>
      <c r="I7" s="43">
        <v>7920113861</v>
      </c>
      <c r="K7" s="43" t="s">
        <v>3671</v>
      </c>
      <c r="M7" s="2" t="s">
        <v>3666</v>
      </c>
      <c r="N7" s="119"/>
    </row>
    <row r="8" spans="1:14" ht="75" x14ac:dyDescent="0.25">
      <c r="A8" s="2" t="s">
        <v>39</v>
      </c>
      <c r="B8" s="2" t="s">
        <v>40</v>
      </c>
      <c r="C8" s="45" t="str">
        <f>LEFT(B8,2)</f>
        <v>CO</v>
      </c>
      <c r="D8" s="45" t="str">
        <f>_xlfn.TEXTBEFORE(B8, " ")</f>
        <v>CO10</v>
      </c>
      <c r="E8" s="43" t="s">
        <v>7</v>
      </c>
      <c r="G8" s="2" t="s">
        <v>41</v>
      </c>
      <c r="H8" s="2" t="s">
        <v>42</v>
      </c>
      <c r="J8" s="43" t="s">
        <v>482</v>
      </c>
      <c r="K8" s="43" t="s">
        <v>518</v>
      </c>
      <c r="M8" s="2" t="s">
        <v>3665</v>
      </c>
      <c r="N8" s="119"/>
    </row>
    <row r="9" spans="1:14" x14ac:dyDescent="0.25">
      <c r="A9" s="2" t="s">
        <v>485</v>
      </c>
      <c r="B9" s="2" t="s">
        <v>6450</v>
      </c>
      <c r="C9" s="45" t="str">
        <f>LEFT(B9,2)</f>
        <v>ip</v>
      </c>
      <c r="D9" s="45" t="str">
        <f>_xlfn.TEXTBEFORE(B9, " ")</f>
        <v>ip14</v>
      </c>
      <c r="E9" s="43" t="s">
        <v>6429</v>
      </c>
      <c r="G9" s="2" t="s">
        <v>6451</v>
      </c>
      <c r="J9" s="43"/>
      <c r="K9" s="43"/>
      <c r="M9" s="119" t="s">
        <v>3666</v>
      </c>
      <c r="N9" s="119"/>
    </row>
    <row r="10" spans="1:14" ht="30" x14ac:dyDescent="0.25">
      <c r="A10" s="45" t="s">
        <v>485</v>
      </c>
      <c r="B10" s="45" t="s">
        <v>474</v>
      </c>
      <c r="C10" s="45" t="str">
        <f>LEFT(B10,2)</f>
        <v>CO</v>
      </c>
      <c r="D10" s="45" t="str">
        <f>_xlfn.TEXTBEFORE(B10, " ")</f>
        <v>CO11</v>
      </c>
      <c r="E10" s="45" t="s">
        <v>472</v>
      </c>
      <c r="F10" s="43" t="s">
        <v>476</v>
      </c>
      <c r="G10" s="43" t="s">
        <v>315</v>
      </c>
      <c r="H10" s="43"/>
      <c r="I10" s="43"/>
      <c r="J10" s="43" t="s">
        <v>482</v>
      </c>
      <c r="K10" s="43" t="s">
        <v>486</v>
      </c>
      <c r="L10" s="2" t="s">
        <v>484</v>
      </c>
      <c r="M10" s="119" t="s">
        <v>3667</v>
      </c>
      <c r="N10" s="119"/>
    </row>
    <row r="11" spans="1:14" x14ac:dyDescent="0.25">
      <c r="A11" s="2" t="s">
        <v>3650</v>
      </c>
      <c r="B11" s="2" t="s">
        <v>3661</v>
      </c>
      <c r="C11" s="45" t="str">
        <f>LEFT(B11,2)</f>
        <v>ip</v>
      </c>
      <c r="D11" s="45" t="str">
        <f>_xlfn.TEXTBEFORE(B11, " ")</f>
        <v>ip11</v>
      </c>
      <c r="E11" s="2" t="s">
        <v>498</v>
      </c>
      <c r="F11" s="2" t="s">
        <v>3657</v>
      </c>
      <c r="M11" s="2" t="s">
        <v>3665</v>
      </c>
      <c r="N11" s="2" t="s">
        <v>3668</v>
      </c>
    </row>
    <row r="12" spans="1:14" ht="30" x14ac:dyDescent="0.25">
      <c r="A12" s="2" t="s">
        <v>648</v>
      </c>
      <c r="B12" s="43" t="s">
        <v>935</v>
      </c>
      <c r="C12" s="45" t="str">
        <f>LEFT(B12,2)</f>
        <v>ip</v>
      </c>
      <c r="D12" s="45" t="str">
        <f>_xlfn.TEXTBEFORE(B12, " ")</f>
        <v>ip23</v>
      </c>
      <c r="E12" s="2" t="s">
        <v>475</v>
      </c>
      <c r="F12" s="2" t="s">
        <v>652</v>
      </c>
      <c r="G12" s="2" t="s">
        <v>101</v>
      </c>
      <c r="K12" s="43" t="s">
        <v>936</v>
      </c>
      <c r="M12" s="2" t="s">
        <v>3666</v>
      </c>
      <c r="N12" s="2" t="s">
        <v>3668</v>
      </c>
    </row>
    <row r="13" spans="1:14" x14ac:dyDescent="0.25">
      <c r="A13" s="2" t="s">
        <v>175</v>
      </c>
      <c r="B13" s="43" t="s">
        <v>6466</v>
      </c>
      <c r="C13" s="45" t="str">
        <f>LEFT(B13,2)</f>
        <v>ip</v>
      </c>
      <c r="D13" s="45" t="str">
        <f>_xlfn.TEXTBEFORE(B13, " ")</f>
        <v>ip31</v>
      </c>
      <c r="E13" s="2" t="s">
        <v>6429</v>
      </c>
      <c r="F13" s="2" t="s">
        <v>260</v>
      </c>
      <c r="G13" s="2" t="s">
        <v>6467</v>
      </c>
      <c r="K13" s="43" t="s">
        <v>6468</v>
      </c>
      <c r="M13" s="2" t="s">
        <v>3666</v>
      </c>
      <c r="N13" s="119" t="s">
        <v>6479</v>
      </c>
    </row>
    <row r="14" spans="1:14" ht="30" x14ac:dyDescent="0.25">
      <c r="A14" s="2" t="s">
        <v>6447</v>
      </c>
      <c r="B14" s="43" t="s">
        <v>6448</v>
      </c>
      <c r="C14" s="45" t="str">
        <f>LEFT(B14,2)</f>
        <v>nr</v>
      </c>
      <c r="D14" s="45" t="str">
        <f>_xlfn.TEXTBEFORE(B14, " ")</f>
        <v>nr16</v>
      </c>
      <c r="E14" s="2" t="s">
        <v>6429</v>
      </c>
      <c r="F14" s="2" t="s">
        <v>653</v>
      </c>
      <c r="K14" s="43" t="s">
        <v>6449</v>
      </c>
      <c r="M14" s="119" t="s">
        <v>3666</v>
      </c>
    </row>
    <row r="15" spans="1:14" ht="45" x14ac:dyDescent="0.25">
      <c r="A15" s="2" t="s">
        <v>3644</v>
      </c>
      <c r="B15" s="2" t="s">
        <v>746</v>
      </c>
      <c r="C15" s="45" t="str">
        <f>LEFT(B15,2)</f>
        <v>NR</v>
      </c>
      <c r="D15" s="45" t="str">
        <f>_xlfn.TEXTBEFORE(B15, " ")</f>
        <v>NR9</v>
      </c>
      <c r="E15" s="2" t="s">
        <v>2</v>
      </c>
      <c r="G15" s="2" t="s">
        <v>3651</v>
      </c>
      <c r="H15" s="2" t="s">
        <v>3656</v>
      </c>
      <c r="M15" s="2" t="s">
        <v>3667</v>
      </c>
      <c r="N15" s="119"/>
    </row>
    <row r="16" spans="1:14" ht="120" x14ac:dyDescent="0.25">
      <c r="A16" s="2" t="s">
        <v>501</v>
      </c>
      <c r="B16" s="2" t="s">
        <v>502</v>
      </c>
      <c r="C16" s="45" t="str">
        <f>LEFT(B16,2)</f>
        <v>nr</v>
      </c>
      <c r="D16" s="45" t="str">
        <f>_xlfn.TEXTBEFORE(B16, " ")</f>
        <v>nr3</v>
      </c>
      <c r="E16" s="43" t="s">
        <v>472</v>
      </c>
      <c r="F16" s="43" t="s">
        <v>503</v>
      </c>
      <c r="G16" s="43" t="s">
        <v>504</v>
      </c>
      <c r="H16" s="43"/>
      <c r="I16" s="2">
        <v>7897305379</v>
      </c>
      <c r="K16" s="43" t="s">
        <v>505</v>
      </c>
      <c r="M16" s="2" t="s">
        <v>3667</v>
      </c>
      <c r="N16" s="119"/>
    </row>
    <row r="17" spans="1:14" ht="75" x14ac:dyDescent="0.25">
      <c r="A17" s="2" t="s">
        <v>29</v>
      </c>
      <c r="B17" s="2" t="s">
        <v>30</v>
      </c>
      <c r="C17" s="45" t="str">
        <f>LEFT(B17,2)</f>
        <v>CO</v>
      </c>
      <c r="D17" s="45" t="str">
        <f>_xlfn.TEXTBEFORE(B17, " ")</f>
        <v>CO10</v>
      </c>
      <c r="E17" s="43" t="s">
        <v>472</v>
      </c>
      <c r="G17" s="2" t="s">
        <v>31</v>
      </c>
      <c r="H17" s="227" t="s">
        <v>32</v>
      </c>
      <c r="K17" s="43" t="s">
        <v>33</v>
      </c>
      <c r="M17" s="2" t="s">
        <v>3665</v>
      </c>
      <c r="N17" s="119"/>
    </row>
    <row r="18" spans="1:14" ht="75" x14ac:dyDescent="0.25">
      <c r="A18" s="45" t="s">
        <v>465</v>
      </c>
      <c r="B18" s="45" t="s">
        <v>27</v>
      </c>
      <c r="C18" s="45" t="str">
        <f>LEFT(B18,2)</f>
        <v>CO</v>
      </c>
      <c r="D18" s="45" t="str">
        <f>_xlfn.TEXTBEFORE(B18, " ")</f>
        <v>CO10</v>
      </c>
      <c r="E18" s="45" t="s">
        <v>472</v>
      </c>
      <c r="F18" s="43" t="s">
        <v>489</v>
      </c>
      <c r="G18" s="44" t="s">
        <v>28</v>
      </c>
      <c r="H18" s="44"/>
      <c r="K18" s="44" t="s">
        <v>490</v>
      </c>
      <c r="M18" s="2" t="s">
        <v>3665</v>
      </c>
      <c r="N18" s="225"/>
    </row>
    <row r="19" spans="1:14" ht="30" x14ac:dyDescent="0.25">
      <c r="A19" s="45" t="s">
        <v>6445</v>
      </c>
      <c r="B19" s="45" t="s">
        <v>6446</v>
      </c>
      <c r="C19" s="45" t="str">
        <f>LEFT(B19,2)</f>
        <v>ip</v>
      </c>
      <c r="D19" s="45" t="str">
        <f>_xlfn.TEXTBEFORE(B19, " ")</f>
        <v>ip8</v>
      </c>
      <c r="E19" s="45" t="s">
        <v>6429</v>
      </c>
      <c r="F19" s="43"/>
      <c r="G19" s="224" t="s">
        <v>6470</v>
      </c>
      <c r="H19" s="44"/>
      <c r="I19" s="2">
        <v>7768462492</v>
      </c>
      <c r="K19" s="44"/>
      <c r="M19" s="225" t="s">
        <v>3666</v>
      </c>
    </row>
    <row r="20" spans="1:14" ht="30" x14ac:dyDescent="0.25">
      <c r="A20" s="45" t="s">
        <v>6437</v>
      </c>
      <c r="B20" s="45" t="s">
        <v>6438</v>
      </c>
      <c r="C20" s="45" t="str">
        <f>LEFT(B20,2)</f>
        <v>ip</v>
      </c>
      <c r="D20" s="45" t="str">
        <f>_xlfn.TEXTBEFORE(B20, " ")</f>
        <v>ip29</v>
      </c>
      <c r="E20" s="45" t="s">
        <v>6429</v>
      </c>
      <c r="F20" s="43"/>
      <c r="G20" s="230" t="s">
        <v>6471</v>
      </c>
      <c r="H20" s="44"/>
      <c r="I20" s="2" t="s">
        <v>6472</v>
      </c>
      <c r="K20" s="44" t="s">
        <v>6439</v>
      </c>
      <c r="M20" s="225" t="s">
        <v>3666</v>
      </c>
    </row>
    <row r="21" spans="1:14" ht="30" x14ac:dyDescent="0.25">
      <c r="A21" s="45" t="s">
        <v>6441</v>
      </c>
      <c r="B21" s="45" t="s">
        <v>6443</v>
      </c>
      <c r="C21" s="45" t="str">
        <f>LEFT(B21,2)</f>
        <v xml:space="preserve">	
</v>
      </c>
      <c r="D21" s="45" t="str">
        <f>_xlfn.TEXTBEFORE(B21, " ")</f>
        <v xml:space="preserve">	
CO1</v>
      </c>
      <c r="E21" s="45" t="s">
        <v>6429</v>
      </c>
      <c r="F21" s="43" t="s">
        <v>6440</v>
      </c>
      <c r="G21" s="224" t="s">
        <v>6473</v>
      </c>
      <c r="H21" s="44"/>
      <c r="I21" s="2">
        <v>7974132616</v>
      </c>
      <c r="K21" s="44" t="s">
        <v>6444</v>
      </c>
      <c r="L21" s="229" t="s">
        <v>6442</v>
      </c>
      <c r="M21" s="225" t="s">
        <v>6435</v>
      </c>
    </row>
    <row r="22" spans="1:14" ht="30" x14ac:dyDescent="0.25">
      <c r="A22" s="45" t="s">
        <v>6463</v>
      </c>
      <c r="B22" s="222" t="s">
        <v>234</v>
      </c>
      <c r="C22" s="45"/>
      <c r="D22" s="45"/>
      <c r="E22" s="45" t="s">
        <v>7</v>
      </c>
      <c r="F22" s="43"/>
      <c r="G22" s="224"/>
      <c r="H22" s="44"/>
      <c r="K22" s="232" t="s">
        <v>6464</v>
      </c>
      <c r="L22" s="119"/>
      <c r="M22" s="225" t="s">
        <v>6465</v>
      </c>
    </row>
    <row r="23" spans="1:14" x14ac:dyDescent="0.25">
      <c r="A23" s="45" t="s">
        <v>113</v>
      </c>
      <c r="B23" s="45" t="s">
        <v>473</v>
      </c>
      <c r="C23" s="45" t="str">
        <f>LEFT(B23,2)</f>
        <v>CO</v>
      </c>
      <c r="D23" s="45" t="str">
        <f>_xlfn.TEXTBEFORE(B23, " ")</f>
        <v>CO10</v>
      </c>
      <c r="E23" s="45" t="s">
        <v>472</v>
      </c>
      <c r="F23" s="43" t="s">
        <v>489</v>
      </c>
      <c r="M23" s="2" t="s">
        <v>3665</v>
      </c>
      <c r="N23" s="119"/>
    </row>
    <row r="24" spans="1:14" ht="30" x14ac:dyDescent="0.25">
      <c r="A24" s="43" t="s">
        <v>494</v>
      </c>
      <c r="B24" s="43" t="s">
        <v>495</v>
      </c>
      <c r="C24" s="45" t="str">
        <f>LEFT(B24,2)</f>
        <v>NR</v>
      </c>
      <c r="D24" s="45" t="str">
        <f>_xlfn.TEXTBEFORE(B24, " ")</f>
        <v>NR12</v>
      </c>
      <c r="E24" s="45" t="s">
        <v>475</v>
      </c>
      <c r="F24" s="43" t="s">
        <v>496</v>
      </c>
      <c r="G24" s="43" t="s">
        <v>315</v>
      </c>
      <c r="H24" s="43"/>
      <c r="I24" s="43"/>
      <c r="K24" s="43" t="s">
        <v>497</v>
      </c>
      <c r="M24" s="2" t="s">
        <v>3667</v>
      </c>
    </row>
    <row r="25" spans="1:14" ht="45" x14ac:dyDescent="0.25">
      <c r="A25" s="43" t="s">
        <v>6452</v>
      </c>
      <c r="B25" s="43" t="s">
        <v>6453</v>
      </c>
      <c r="C25" s="45" t="str">
        <f>LEFT(B25,2)</f>
        <v>nr</v>
      </c>
      <c r="D25" s="45" t="str">
        <f>_xlfn.TEXTBEFORE(B25, " ")</f>
        <v>nr1</v>
      </c>
      <c r="E25" s="45" t="s">
        <v>6429</v>
      </c>
      <c r="F25" s="43"/>
      <c r="G25" s="43"/>
      <c r="H25" s="43"/>
      <c r="I25" s="43"/>
      <c r="K25" s="43" t="s">
        <v>6454</v>
      </c>
      <c r="L25" s="229" t="s">
        <v>6455</v>
      </c>
      <c r="M25" s="119" t="s">
        <v>6435</v>
      </c>
    </row>
    <row r="26" spans="1:14" x14ac:dyDescent="0.25">
      <c r="A26" s="2" t="s">
        <v>506</v>
      </c>
      <c r="B26" s="45" t="s">
        <v>507</v>
      </c>
      <c r="C26" s="45" t="str">
        <f>LEFT(B26,2)</f>
        <v>IP</v>
      </c>
      <c r="D26" s="45" t="str">
        <f>_xlfn.TEXTBEFORE(B26, " ")</f>
        <v>IP24</v>
      </c>
      <c r="E26" s="43" t="s">
        <v>472</v>
      </c>
      <c r="F26" s="43" t="s">
        <v>503</v>
      </c>
      <c r="G26" s="43" t="s">
        <v>508</v>
      </c>
      <c r="H26" s="43"/>
      <c r="I26" s="2">
        <v>7799491049</v>
      </c>
      <c r="K26" s="2" t="s">
        <v>509</v>
      </c>
      <c r="L26" s="2" t="s">
        <v>510</v>
      </c>
      <c r="M26" s="2" t="s">
        <v>3665</v>
      </c>
      <c r="N26" s="119"/>
    </row>
    <row r="27" spans="1:14" ht="75" x14ac:dyDescent="0.25">
      <c r="A27" s="2" t="s">
        <v>126</v>
      </c>
      <c r="B27" s="2" t="s">
        <v>127</v>
      </c>
      <c r="C27" s="45" t="str">
        <f>LEFT(B27,2)</f>
        <v>NR</v>
      </c>
      <c r="D27" s="45" t="str">
        <f>_xlfn.TEXTBEFORE(B27, " ")</f>
        <v>NR33</v>
      </c>
      <c r="E27" s="43" t="s">
        <v>7</v>
      </c>
      <c r="G27" s="43" t="s">
        <v>520</v>
      </c>
      <c r="H27" s="43"/>
      <c r="I27" s="2">
        <v>7780430669</v>
      </c>
      <c r="K27" s="43" t="s">
        <v>521</v>
      </c>
      <c r="M27" s="2" t="s">
        <v>3667</v>
      </c>
      <c r="N27" s="119"/>
    </row>
    <row r="28" spans="1:14" ht="30" x14ac:dyDescent="0.25">
      <c r="A28" s="43" t="s">
        <v>6420</v>
      </c>
      <c r="B28" s="43" t="s">
        <v>6421</v>
      </c>
      <c r="C28" s="45" t="s">
        <v>6422</v>
      </c>
      <c r="D28" s="45" t="str">
        <f>_xlfn.TEXTBEFORE(B28, " ")</f>
        <v xml:space="preserve">	
IP4</v>
      </c>
      <c r="E28" s="45" t="s">
        <v>475</v>
      </c>
      <c r="F28" s="43" t="s">
        <v>6423</v>
      </c>
      <c r="G28" s="43"/>
      <c r="H28" s="43"/>
      <c r="I28" s="43"/>
      <c r="K28" s="43"/>
      <c r="M28" s="2" t="s">
        <v>6465</v>
      </c>
      <c r="N28" s="119" t="s">
        <v>6480</v>
      </c>
    </row>
    <row r="29" spans="1:14" ht="345" x14ac:dyDescent="0.25">
      <c r="A29" s="2" t="s">
        <v>48</v>
      </c>
      <c r="B29" s="43" t="s">
        <v>49</v>
      </c>
      <c r="C29" s="45" t="str">
        <f>LEFT(B29,2)</f>
        <v>NR</v>
      </c>
      <c r="D29" s="45" t="str">
        <f>_xlfn.TEXTBEFORE(B29, " ")</f>
        <v>NR32</v>
      </c>
      <c r="E29" s="43" t="s">
        <v>21</v>
      </c>
      <c r="F29" s="43" t="s">
        <v>511</v>
      </c>
      <c r="G29" s="2" t="s">
        <v>51</v>
      </c>
      <c r="H29" s="2" t="s">
        <v>52</v>
      </c>
      <c r="K29" s="43" t="s">
        <v>515</v>
      </c>
      <c r="M29" s="119" t="s">
        <v>3667</v>
      </c>
      <c r="N29" s="119" t="s">
        <v>6424</v>
      </c>
    </row>
    <row r="30" spans="1:14" ht="105" x14ac:dyDescent="0.25">
      <c r="A30" s="2" t="s">
        <v>43</v>
      </c>
      <c r="B30" s="2" t="s">
        <v>44</v>
      </c>
      <c r="C30" s="45" t="str">
        <f>LEFT(B30,2)</f>
        <v>NR</v>
      </c>
      <c r="D30" s="45" t="str">
        <f>_xlfn.TEXTBEFORE(B30, " ")</f>
        <v>NR32</v>
      </c>
      <c r="E30" s="43" t="s">
        <v>517</v>
      </c>
      <c r="F30" s="43" t="s">
        <v>511</v>
      </c>
      <c r="G30" s="2" t="s">
        <v>46</v>
      </c>
      <c r="H30" s="2" t="s">
        <v>47</v>
      </c>
      <c r="J30" s="43" t="s">
        <v>482</v>
      </c>
      <c r="K30" s="43" t="s">
        <v>516</v>
      </c>
      <c r="M30" s="2" t="s">
        <v>3667</v>
      </c>
      <c r="N30" s="119"/>
    </row>
    <row r="31" spans="1:14" ht="30" x14ac:dyDescent="0.25">
      <c r="A31" s="2" t="s">
        <v>6458</v>
      </c>
      <c r="B31" s="2" t="s">
        <v>6459</v>
      </c>
      <c r="C31" s="45" t="str">
        <f>LEFT(B31,2)</f>
        <v>ip</v>
      </c>
      <c r="D31" s="45" t="str">
        <f>_xlfn.TEXTBEFORE(B31, " ")</f>
        <v>ip33</v>
      </c>
      <c r="E31" s="43" t="s">
        <v>6429</v>
      </c>
      <c r="F31" s="43" t="s">
        <v>260</v>
      </c>
      <c r="G31" s="2" t="s">
        <v>6460</v>
      </c>
      <c r="J31" s="43"/>
      <c r="K31" s="43" t="s">
        <v>6462</v>
      </c>
      <c r="L31" s="229" t="s">
        <v>6461</v>
      </c>
      <c r="M31" s="2" t="s">
        <v>6482</v>
      </c>
      <c r="N31" s="119" t="s">
        <v>6481</v>
      </c>
    </row>
    <row r="32" spans="1:14" ht="105" x14ac:dyDescent="0.25">
      <c r="A32" s="2" t="s">
        <v>945</v>
      </c>
      <c r="B32" s="121" t="s">
        <v>948</v>
      </c>
      <c r="C32" s="45" t="str">
        <f>LEFT(B32,2)</f>
        <v>IP</v>
      </c>
      <c r="D32" s="45" t="str">
        <f>_xlfn.TEXTBEFORE(B32, " ")</f>
        <v>IP14</v>
      </c>
      <c r="E32" s="119" t="s">
        <v>940</v>
      </c>
      <c r="G32" s="2" t="s">
        <v>944</v>
      </c>
      <c r="I32" s="2">
        <v>7702177636</v>
      </c>
      <c r="K32" s="2" t="s">
        <v>947</v>
      </c>
      <c r="L32" s="2" t="s">
        <v>946</v>
      </c>
      <c r="M32" s="2" t="s">
        <v>6482</v>
      </c>
      <c r="N32" s="119" t="s">
        <v>6418</v>
      </c>
    </row>
    <row r="33" spans="1:14" ht="120" x14ac:dyDescent="0.25">
      <c r="A33" s="2" t="s">
        <v>17</v>
      </c>
      <c r="B33" s="2" t="s">
        <v>18</v>
      </c>
      <c r="C33" s="45" t="str">
        <f>LEFT(B33,2)</f>
        <v>CO</v>
      </c>
      <c r="D33" s="45" t="str">
        <f>_xlfn.TEXTBEFORE(B33, " ")</f>
        <v>CO1</v>
      </c>
      <c r="E33" s="2" t="s">
        <v>21</v>
      </c>
      <c r="F33" s="43" t="s">
        <v>362</v>
      </c>
      <c r="G33" s="2" t="s">
        <v>19</v>
      </c>
      <c r="H33" s="2" t="s">
        <v>20</v>
      </c>
      <c r="K33" s="43" t="s">
        <v>22</v>
      </c>
      <c r="M33" s="2" t="s">
        <v>3665</v>
      </c>
      <c r="N33" s="119"/>
    </row>
    <row r="34" spans="1:14" ht="45" x14ac:dyDescent="0.25">
      <c r="A34" s="2" t="s">
        <v>149</v>
      </c>
      <c r="B34" s="2" t="s">
        <v>3645</v>
      </c>
      <c r="C34" s="45" t="str">
        <f>LEFT(B34,2)</f>
        <v>IP</v>
      </c>
      <c r="D34" s="45" t="str">
        <f>_xlfn.TEXTBEFORE(B34, " ")</f>
        <v>IP14</v>
      </c>
      <c r="E34" s="2" t="s">
        <v>2</v>
      </c>
      <c r="G34" s="2" t="s">
        <v>3654</v>
      </c>
      <c r="J34" s="1"/>
      <c r="K34" s="1"/>
      <c r="L34" s="1"/>
      <c r="M34" s="1" t="s">
        <v>3667</v>
      </c>
      <c r="N34" s="119" t="s">
        <v>6483</v>
      </c>
    </row>
    <row r="35" spans="1:14" x14ac:dyDescent="0.25">
      <c r="A35" s="2" t="s">
        <v>128</v>
      </c>
      <c r="B35" s="2" t="s">
        <v>129</v>
      </c>
      <c r="C35" s="45" t="str">
        <f>LEFT(B35,2)</f>
        <v>IP</v>
      </c>
      <c r="D35" s="45" t="str">
        <f>_xlfn.TEXTBEFORE(B35, " ")</f>
        <v>IP31</v>
      </c>
      <c r="E35" s="43" t="s">
        <v>498</v>
      </c>
      <c r="G35" s="43" t="s">
        <v>130</v>
      </c>
      <c r="H35" s="43"/>
      <c r="K35" s="43" t="s">
        <v>519</v>
      </c>
      <c r="M35" s="2" t="s">
        <v>3667</v>
      </c>
      <c r="N35" s="119"/>
    </row>
    <row r="36" spans="1:14" ht="30" x14ac:dyDescent="0.25">
      <c r="A36" s="2" t="s">
        <v>6431</v>
      </c>
      <c r="B36" s="2" t="s">
        <v>6432</v>
      </c>
      <c r="C36" s="45" t="str">
        <f>LEFT(B36,2)</f>
        <v>nr</v>
      </c>
      <c r="D36" s="45" t="str">
        <f>_xlfn.TEXTBEFORE(B36, " ")</f>
        <v>nr33</v>
      </c>
      <c r="E36" s="43" t="s">
        <v>6429</v>
      </c>
      <c r="G36" s="43"/>
      <c r="H36" s="43"/>
      <c r="K36" s="119" t="s">
        <v>6434</v>
      </c>
      <c r="L36" s="229" t="s">
        <v>6433</v>
      </c>
      <c r="M36" s="226" t="s">
        <v>6435</v>
      </c>
    </row>
    <row r="37" spans="1:14" ht="30" x14ac:dyDescent="0.25">
      <c r="A37" s="2" t="s">
        <v>3649</v>
      </c>
      <c r="B37" s="2" t="s">
        <v>3662</v>
      </c>
      <c r="C37" s="45" t="str">
        <f>LEFT(B37,2)</f>
        <v>co</v>
      </c>
      <c r="D37" s="45" t="str">
        <f>_xlfn.TEXTBEFORE(B37, " ")</f>
        <v>co15</v>
      </c>
      <c r="E37" s="2" t="s">
        <v>2</v>
      </c>
      <c r="F37" s="2" t="s">
        <v>362</v>
      </c>
      <c r="G37" s="2" t="s">
        <v>56</v>
      </c>
      <c r="J37" s="1"/>
      <c r="K37" s="1"/>
      <c r="L37" s="1"/>
      <c r="M37" s="1" t="s">
        <v>3666</v>
      </c>
      <c r="N37" s="119"/>
    </row>
    <row r="38" spans="1:14" ht="105" x14ac:dyDescent="0.25">
      <c r="A38" s="2" t="s">
        <v>34</v>
      </c>
      <c r="B38" s="2" t="s">
        <v>35</v>
      </c>
      <c r="C38" s="45" t="str">
        <f>LEFT(B38,2)</f>
        <v>CO</v>
      </c>
      <c r="D38" s="45" t="str">
        <f>_xlfn.TEXTBEFORE(B38, " ")</f>
        <v>CO10</v>
      </c>
      <c r="E38" s="43" t="s">
        <v>517</v>
      </c>
      <c r="G38" s="2" t="s">
        <v>36</v>
      </c>
      <c r="H38" s="227" t="s">
        <v>37</v>
      </c>
      <c r="J38" s="43" t="s">
        <v>482</v>
      </c>
      <c r="K38" s="2" t="s">
        <v>38</v>
      </c>
      <c r="M38" s="2" t="s">
        <v>3665</v>
      </c>
      <c r="N38" s="119"/>
    </row>
    <row r="39" spans="1:14" ht="45" x14ac:dyDescent="0.25">
      <c r="A39" s="2" t="s">
        <v>9</v>
      </c>
      <c r="B39" s="2" t="s">
        <v>3614</v>
      </c>
      <c r="C39" s="45" t="str">
        <f>LEFT(B39,2)</f>
        <v>IP</v>
      </c>
      <c r="D39" s="45" t="str">
        <f>_xlfn.TEXTBEFORE(B39, " ")</f>
        <v>IP21</v>
      </c>
      <c r="E39" s="2" t="s">
        <v>7</v>
      </c>
      <c r="F39" s="2" t="s">
        <v>3658</v>
      </c>
      <c r="G39" s="2" t="s">
        <v>3653</v>
      </c>
      <c r="J39" s="1"/>
      <c r="K39" s="1"/>
      <c r="L39" s="1"/>
      <c r="M39" s="2" t="s">
        <v>3665</v>
      </c>
      <c r="N39" s="1" t="s">
        <v>3668</v>
      </c>
    </row>
    <row r="40" spans="1:14" x14ac:dyDescent="0.25">
      <c r="A40" s="2" t="s">
        <v>6427</v>
      </c>
      <c r="B40" s="2" t="s">
        <v>6428</v>
      </c>
      <c r="C40" s="45" t="str">
        <f>LEFT(B40,2)</f>
        <v>ip</v>
      </c>
      <c r="D40" s="45" t="str">
        <f>_xlfn.TEXTBEFORE(B40, " ")</f>
        <v>ip21</v>
      </c>
      <c r="E40" s="2" t="s">
        <v>6429</v>
      </c>
      <c r="G40" s="2" t="s">
        <v>6476</v>
      </c>
      <c r="I40" s="224">
        <v>73941740453</v>
      </c>
      <c r="J40" s="1"/>
      <c r="K40" s="1" t="s">
        <v>6430</v>
      </c>
      <c r="L40" s="1"/>
      <c r="M40" s="119" t="s">
        <v>3666</v>
      </c>
    </row>
    <row r="41" spans="1:14" x14ac:dyDescent="0.25">
      <c r="A41" s="2" t="s">
        <v>9</v>
      </c>
      <c r="B41" s="2" t="s">
        <v>10</v>
      </c>
      <c r="C41" s="45" t="str">
        <f>LEFT(B41,2)</f>
        <v>IP</v>
      </c>
      <c r="D41" s="45" t="str">
        <f>_xlfn.TEXTBEFORE(B41, " ")</f>
        <v>IP6</v>
      </c>
      <c r="E41" s="43" t="s">
        <v>21</v>
      </c>
      <c r="F41" s="43" t="s">
        <v>511</v>
      </c>
      <c r="G41" s="43" t="s">
        <v>512</v>
      </c>
      <c r="H41" s="43"/>
      <c r="I41" s="43"/>
      <c r="J41" s="43" t="s">
        <v>482</v>
      </c>
      <c r="K41" s="43" t="s">
        <v>513</v>
      </c>
      <c r="M41" s="119" t="s">
        <v>3665</v>
      </c>
      <c r="N41" s="119" t="s">
        <v>6419</v>
      </c>
    </row>
    <row r="42" spans="1:14" ht="30" x14ac:dyDescent="0.25">
      <c r="A42" s="2" t="s">
        <v>3646</v>
      </c>
      <c r="B42" s="2" t="s">
        <v>3647</v>
      </c>
      <c r="C42" s="45" t="str">
        <f>LEFT(B42,2)</f>
        <v>NR</v>
      </c>
      <c r="D42" s="45" t="str">
        <f>_xlfn.TEXTBEFORE(B42, " ")</f>
        <v>NR12</v>
      </c>
      <c r="E42" s="2" t="s">
        <v>21</v>
      </c>
      <c r="G42" s="2" t="s">
        <v>3655</v>
      </c>
      <c r="J42" s="1"/>
      <c r="K42" s="1"/>
      <c r="L42" s="1"/>
      <c r="M42" s="1" t="s">
        <v>3667</v>
      </c>
      <c r="N42" s="119" t="s">
        <v>6484</v>
      </c>
    </row>
    <row r="43" spans="1:14" ht="30" x14ac:dyDescent="0.2">
      <c r="A43" s="2" t="s">
        <v>6425</v>
      </c>
      <c r="B43" s="222" t="s">
        <v>3585</v>
      </c>
      <c r="C43" s="45"/>
      <c r="D43" s="45"/>
      <c r="E43" s="2" t="s">
        <v>6426</v>
      </c>
      <c r="F43" s="2" t="s">
        <v>3657</v>
      </c>
      <c r="J43" s="1"/>
      <c r="K43" s="1" t="s">
        <v>6436</v>
      </c>
      <c r="L43" s="223" t="s">
        <v>642</v>
      </c>
      <c r="M43" s="226" t="s">
        <v>3667</v>
      </c>
      <c r="N43" s="119"/>
    </row>
    <row r="44" spans="1:14" ht="30" x14ac:dyDescent="0.2">
      <c r="A44" s="2" t="s">
        <v>6456</v>
      </c>
      <c r="B44" s="222" t="s">
        <v>6457</v>
      </c>
      <c r="C44" s="45"/>
      <c r="D44" s="45"/>
      <c r="E44" s="2" t="s">
        <v>6429</v>
      </c>
      <c r="G44" s="231" t="s">
        <v>6474</v>
      </c>
      <c r="I44" s="2" t="s">
        <v>6475</v>
      </c>
      <c r="J44" s="1"/>
      <c r="K44" s="1"/>
      <c r="L44" s="122"/>
      <c r="M44" s="119" t="s">
        <v>3666</v>
      </c>
    </row>
    <row r="45" spans="1:14" ht="165" x14ac:dyDescent="0.25">
      <c r="A45" s="45" t="s">
        <v>192</v>
      </c>
      <c r="B45" s="45" t="s">
        <v>181</v>
      </c>
      <c r="C45" s="45" t="str">
        <f>LEFT(B45,2)</f>
        <v>CO</v>
      </c>
      <c r="D45" s="45" t="str">
        <f>_xlfn.TEXTBEFORE(B45, " ")</f>
        <v>CO10</v>
      </c>
      <c r="E45" s="45" t="s">
        <v>472</v>
      </c>
      <c r="F45" s="43" t="s">
        <v>489</v>
      </c>
      <c r="G45" s="43" t="s">
        <v>492</v>
      </c>
      <c r="H45" s="43"/>
      <c r="I45" s="43"/>
      <c r="J45" s="43" t="s">
        <v>482</v>
      </c>
      <c r="K45" s="44" t="s">
        <v>493</v>
      </c>
      <c r="M45" s="2" t="s">
        <v>6465</v>
      </c>
      <c r="N45" s="225" t="s">
        <v>6469</v>
      </c>
    </row>
    <row r="46" spans="1:14" ht="45" x14ac:dyDescent="0.25">
      <c r="A46" s="2" t="s">
        <v>499</v>
      </c>
      <c r="B46" s="2" t="s">
        <v>3643</v>
      </c>
      <c r="C46" s="45" t="str">
        <f>LEFT(B46,2)</f>
        <v>nr</v>
      </c>
      <c r="D46" s="45" t="str">
        <f>_xlfn.TEXTBEFORE(B46, " ")</f>
        <v>nr14</v>
      </c>
      <c r="E46" s="119" t="s">
        <v>940</v>
      </c>
      <c r="F46" s="2" t="s">
        <v>943</v>
      </c>
      <c r="G46" s="2" t="s">
        <v>941</v>
      </c>
      <c r="I46" s="2">
        <v>7475418263</v>
      </c>
      <c r="K46" s="2" t="s">
        <v>942</v>
      </c>
      <c r="L46" s="2" t="s">
        <v>946</v>
      </c>
      <c r="M46" s="2" t="s">
        <v>3667</v>
      </c>
      <c r="N46" s="119"/>
    </row>
    <row r="47" spans="1:14" ht="105" x14ac:dyDescent="0.25">
      <c r="A47" s="2" t="s">
        <v>649</v>
      </c>
      <c r="B47" s="2" t="s">
        <v>274</v>
      </c>
      <c r="C47" s="45" t="str">
        <f>LEFT(B47,2)</f>
        <v>NR</v>
      </c>
      <c r="D47" s="45" t="str">
        <f>_xlfn.TEXTBEFORE(B47, " ")</f>
        <v>NR13</v>
      </c>
      <c r="E47" s="2" t="s">
        <v>475</v>
      </c>
      <c r="F47" s="119" t="s">
        <v>653</v>
      </c>
      <c r="G47" s="43" t="s">
        <v>937</v>
      </c>
      <c r="H47" s="43"/>
      <c r="K47" s="44" t="s">
        <v>275</v>
      </c>
      <c r="M47" s="2" t="s">
        <v>3666</v>
      </c>
      <c r="N47" s="119" t="s">
        <v>6485</v>
      </c>
    </row>
    <row r="48" spans="1:14" ht="90" x14ac:dyDescent="0.25">
      <c r="A48" s="2" t="s">
        <v>59</v>
      </c>
      <c r="B48" s="2" t="s">
        <v>60</v>
      </c>
      <c r="C48" s="45" t="str">
        <f>LEFT(B48,2)</f>
        <v>CO</v>
      </c>
      <c r="D48" s="45" t="str">
        <f>_xlfn.TEXTBEFORE(B48, " ")</f>
        <v>CO16</v>
      </c>
      <c r="E48" s="43" t="s">
        <v>21</v>
      </c>
      <c r="F48" s="43" t="s">
        <v>353</v>
      </c>
      <c r="G48" s="43" t="s">
        <v>514</v>
      </c>
      <c r="H48" s="227" t="s">
        <v>61</v>
      </c>
      <c r="K48" s="2" t="s">
        <v>62</v>
      </c>
      <c r="M48" s="2" t="s">
        <v>3665</v>
      </c>
      <c r="N48" s="119"/>
    </row>
    <row r="49" spans="1:14" ht="210" x14ac:dyDescent="0.25">
      <c r="A49" s="45" t="s">
        <v>467</v>
      </c>
      <c r="B49" s="45" t="s">
        <v>117</v>
      </c>
      <c r="C49" s="45" t="str">
        <f>LEFT(B49,2)</f>
        <v>CO</v>
      </c>
      <c r="D49" s="45" t="str">
        <f>_xlfn.TEXTBEFORE(B49, " ")</f>
        <v>CO7</v>
      </c>
      <c r="E49" s="45" t="s">
        <v>472</v>
      </c>
      <c r="F49" s="43" t="s">
        <v>476</v>
      </c>
      <c r="G49" s="43" t="s">
        <v>487</v>
      </c>
      <c r="H49" s="43"/>
      <c r="I49" s="43"/>
      <c r="K49" s="43" t="s">
        <v>488</v>
      </c>
      <c r="L49" s="2" t="s">
        <v>484</v>
      </c>
      <c r="M49" s="2" t="s">
        <v>3665</v>
      </c>
      <c r="N49" s="119"/>
    </row>
  </sheetData>
  <autoFilter ref="A1:N49" xr:uid="{0D91BF26-DCAC-45A0-8390-DA94F941319F}"/>
  <conditionalFormatting sqref="N15:N17 N1:N10">
    <cfRule type="colorScale" priority="38">
      <colorScale>
        <cfvo type="min"/>
        <cfvo type="percentile" val="50"/>
        <cfvo type="max"/>
        <color rgb="FFF8696B"/>
        <color rgb="FFFFEB84"/>
        <color rgb="FF63BE7B"/>
      </colorScale>
    </cfRule>
  </conditionalFormatting>
  <conditionalFormatting sqref="M9">
    <cfRule type="colorScale" priority="1">
      <colorScale>
        <cfvo type="min"/>
        <cfvo type="percentile" val="50"/>
        <cfvo type="max"/>
        <color rgb="FFF8696B"/>
        <color rgb="FFFFEB84"/>
        <color rgb="FF63BE7B"/>
      </colorScale>
    </cfRule>
  </conditionalFormatting>
  <hyperlinks>
    <hyperlink ref="H17" r:id="rId1" xr:uid="{B54821AF-448A-44A3-895A-F0F890421DB0}"/>
    <hyperlink ref="H48" r:id="rId2" xr:uid="{0466F01B-7173-4D95-A70B-BCCB8412EF31}"/>
    <hyperlink ref="H38" r:id="rId3" xr:uid="{689A9166-3C72-45E6-93CA-ED71249764EF}"/>
  </hyperlinks>
  <pageMargins left="0.7" right="0.7" top="0.75" bottom="0.75" header="0.3" footer="0.3"/>
  <pageSetup paperSize="9" orientation="portrait" horizontalDpi="4294967293" verticalDpi="0" r:id="rId4"/>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F50B5E-47FC-4999-AAEA-77581AC20CAC}">
  <dimension ref="A1:J52"/>
  <sheetViews>
    <sheetView topLeftCell="C1" workbookViewId="0">
      <pane ySplit="1" topLeftCell="A2" activePane="bottomLeft" state="frozen"/>
      <selection pane="bottomLeft" sqref="A1:J1048576"/>
    </sheetView>
  </sheetViews>
  <sheetFormatPr defaultColWidth="9.42578125" defaultRowHeight="15" x14ac:dyDescent="0.25"/>
  <cols>
    <col min="1" max="1" width="15.140625" style="181" bestFit="1" customWidth="1"/>
    <col min="2" max="2" width="35.140625" style="182" bestFit="1" customWidth="1"/>
    <col min="3" max="3" width="11.140625" style="182" bestFit="1" customWidth="1"/>
    <col min="4" max="4" width="35.140625" style="182" bestFit="1" customWidth="1"/>
    <col min="5" max="5" width="14.42578125" style="182" bestFit="1" customWidth="1"/>
    <col min="6" max="6" width="13.5703125" style="182" bestFit="1" customWidth="1"/>
    <col min="7" max="7" width="20" style="182" bestFit="1" customWidth="1"/>
    <col min="8" max="8" width="37.28515625" style="182" bestFit="1" customWidth="1"/>
    <col min="9" max="9" width="50.5703125" style="183" bestFit="1" customWidth="1"/>
    <col min="10" max="10" width="11.85546875" style="182" bestFit="1" customWidth="1"/>
    <col min="11" max="16384" width="9.42578125" style="182"/>
  </cols>
  <sheetData>
    <row r="1" spans="1:10" s="189" customFormat="1" x14ac:dyDescent="0.25">
      <c r="A1" s="187" t="s">
        <v>470</v>
      </c>
      <c r="B1" s="187" t="s">
        <v>658</v>
      </c>
      <c r="C1" s="187" t="s">
        <v>6236</v>
      </c>
      <c r="D1" s="187" t="s">
        <v>6237</v>
      </c>
      <c r="E1" s="187" t="s">
        <v>6238</v>
      </c>
      <c r="F1" s="187" t="s">
        <v>3583</v>
      </c>
      <c r="G1" s="187" t="s">
        <v>481</v>
      </c>
      <c r="H1" s="186" t="s">
        <v>6292</v>
      </c>
      <c r="I1" s="186" t="s">
        <v>478</v>
      </c>
      <c r="J1" s="188" t="s">
        <v>6333</v>
      </c>
    </row>
    <row r="2" spans="1:10" ht="45" x14ac:dyDescent="0.25">
      <c r="A2" s="130" t="s">
        <v>475</v>
      </c>
      <c r="B2" s="118" t="s">
        <v>4460</v>
      </c>
      <c r="C2" s="190" t="s">
        <v>387</v>
      </c>
      <c r="D2" s="184" t="s">
        <v>6239</v>
      </c>
      <c r="E2" s="191">
        <v>92.344600000000014</v>
      </c>
      <c r="F2" s="117"/>
      <c r="G2" s="135"/>
      <c r="H2" s="135" t="s">
        <v>6323</v>
      </c>
      <c r="I2" s="180" t="s">
        <v>6322</v>
      </c>
      <c r="J2" s="182" t="s">
        <v>3695</v>
      </c>
    </row>
    <row r="3" spans="1:10" ht="45" x14ac:dyDescent="0.25">
      <c r="A3" s="130" t="s">
        <v>475</v>
      </c>
      <c r="B3" s="118" t="s">
        <v>4369</v>
      </c>
      <c r="C3" s="190" t="s">
        <v>4662</v>
      </c>
      <c r="D3" s="184" t="s">
        <v>6241</v>
      </c>
      <c r="E3" s="191">
        <v>467.57260000000002</v>
      </c>
      <c r="F3" s="117"/>
      <c r="G3" s="135"/>
      <c r="H3" s="135"/>
      <c r="I3" s="147"/>
      <c r="J3" s="182" t="s">
        <v>6289</v>
      </c>
    </row>
    <row r="4" spans="1:10" ht="45" x14ac:dyDescent="0.25">
      <c r="A4" s="130" t="s">
        <v>475</v>
      </c>
      <c r="B4" s="118" t="s">
        <v>4357</v>
      </c>
      <c r="C4" s="190" t="s">
        <v>4652</v>
      </c>
      <c r="D4" s="184" t="s">
        <v>6242</v>
      </c>
      <c r="E4" s="191">
        <v>116.83840000000001</v>
      </c>
      <c r="F4" s="117"/>
      <c r="G4" s="135"/>
      <c r="H4" s="135"/>
      <c r="I4" s="147" t="s">
        <v>6331</v>
      </c>
      <c r="J4" s="183" t="s">
        <v>6332</v>
      </c>
    </row>
    <row r="5" spans="1:10" ht="30" x14ac:dyDescent="0.25">
      <c r="A5" s="130" t="s">
        <v>475</v>
      </c>
      <c r="B5" s="118" t="s">
        <v>4355</v>
      </c>
      <c r="C5" s="190" t="s">
        <v>4650</v>
      </c>
      <c r="D5" s="184" t="s">
        <v>6243</v>
      </c>
      <c r="E5" s="191">
        <v>204.3</v>
      </c>
      <c r="F5" s="117"/>
      <c r="G5" s="135"/>
      <c r="H5" s="135"/>
      <c r="I5" s="147" t="s">
        <v>6330</v>
      </c>
    </row>
    <row r="6" spans="1:10" ht="30" x14ac:dyDescent="0.25">
      <c r="A6" s="130" t="s">
        <v>475</v>
      </c>
      <c r="B6" s="118" t="s">
        <v>3640</v>
      </c>
      <c r="C6" s="190" t="s">
        <v>72</v>
      </c>
      <c r="D6" s="184" t="s">
        <v>6244</v>
      </c>
      <c r="E6" s="191">
        <v>96.05680000000001</v>
      </c>
      <c r="F6" s="117"/>
      <c r="G6" s="135"/>
      <c r="H6" s="135" t="s">
        <v>6324</v>
      </c>
      <c r="I6" s="147" t="s">
        <v>6325</v>
      </c>
    </row>
    <row r="7" spans="1:10" ht="45" x14ac:dyDescent="0.25">
      <c r="A7" s="130" t="s">
        <v>475</v>
      </c>
      <c r="B7" s="118" t="s">
        <v>6235</v>
      </c>
      <c r="C7" s="190" t="s">
        <v>400</v>
      </c>
      <c r="D7" s="184" t="s">
        <v>6246</v>
      </c>
      <c r="E7" s="191">
        <v>153.03140000000002</v>
      </c>
      <c r="F7" s="117"/>
      <c r="G7" s="135"/>
      <c r="H7" s="135" t="s">
        <v>6326</v>
      </c>
      <c r="I7" s="147" t="s">
        <v>6327</v>
      </c>
    </row>
    <row r="8" spans="1:10" ht="60" x14ac:dyDescent="0.25">
      <c r="A8" s="130" t="s">
        <v>475</v>
      </c>
      <c r="B8" s="118" t="s">
        <v>4303</v>
      </c>
      <c r="C8" s="190" t="s">
        <v>265</v>
      </c>
      <c r="D8" s="184" t="s">
        <v>6247</v>
      </c>
      <c r="E8" s="191">
        <v>171.68600000000001</v>
      </c>
      <c r="F8" s="117"/>
      <c r="G8" s="135" t="s">
        <v>6328</v>
      </c>
      <c r="H8" s="179" t="s">
        <v>266</v>
      </c>
      <c r="I8" s="147"/>
    </row>
    <row r="9" spans="1:10" ht="45" x14ac:dyDescent="0.25">
      <c r="A9" s="130" t="s">
        <v>475</v>
      </c>
      <c r="B9" s="118" t="s">
        <v>4833</v>
      </c>
      <c r="C9" s="190" t="s">
        <v>391</v>
      </c>
      <c r="D9" s="184" t="s">
        <v>6248</v>
      </c>
      <c r="E9" s="191">
        <v>127.32679999999999</v>
      </c>
      <c r="F9" s="117"/>
      <c r="G9" s="135"/>
      <c r="H9" s="179" t="s">
        <v>392</v>
      </c>
      <c r="I9" s="147" t="s">
        <v>6329</v>
      </c>
      <c r="J9" s="182" t="s">
        <v>3669</v>
      </c>
    </row>
    <row r="10" spans="1:10" ht="30" x14ac:dyDescent="0.25">
      <c r="A10" s="130" t="s">
        <v>475</v>
      </c>
      <c r="B10" s="118" t="s">
        <v>4273</v>
      </c>
      <c r="C10" s="190" t="s">
        <v>4592</v>
      </c>
      <c r="D10" s="184" t="s">
        <v>6244</v>
      </c>
      <c r="E10" s="191">
        <v>102.23560000000001</v>
      </c>
      <c r="F10" s="117"/>
      <c r="G10" s="135"/>
      <c r="H10" s="135"/>
      <c r="I10" s="147"/>
      <c r="J10" s="182" t="s">
        <v>6289</v>
      </c>
    </row>
    <row r="11" spans="1:10" ht="30" x14ac:dyDescent="0.25">
      <c r="A11" s="130" t="s">
        <v>475</v>
      </c>
      <c r="B11" s="118" t="s">
        <v>4765</v>
      </c>
      <c r="C11" s="190" t="s">
        <v>0</v>
      </c>
      <c r="D11" s="184" t="s">
        <v>6249</v>
      </c>
      <c r="E11" s="191">
        <v>90.3</v>
      </c>
      <c r="F11" s="117"/>
      <c r="G11" s="135"/>
      <c r="H11" s="135" t="s">
        <v>6335</v>
      </c>
      <c r="I11" s="147" t="s">
        <v>6334</v>
      </c>
    </row>
    <row r="12" spans="1:10" ht="30" x14ac:dyDescent="0.25">
      <c r="A12" s="130" t="s">
        <v>475</v>
      </c>
      <c r="B12" s="118" t="s">
        <v>4258</v>
      </c>
      <c r="C12" s="190" t="s">
        <v>4581</v>
      </c>
      <c r="D12" s="184" t="s">
        <v>6244</v>
      </c>
      <c r="E12" s="191">
        <v>90.159199999999998</v>
      </c>
      <c r="F12" s="117"/>
      <c r="G12" s="135"/>
      <c r="H12" s="135"/>
      <c r="I12" s="147"/>
      <c r="J12" s="182" t="s">
        <v>6289</v>
      </c>
    </row>
    <row r="13" spans="1:10" x14ac:dyDescent="0.25">
      <c r="A13" s="130" t="s">
        <v>475</v>
      </c>
      <c r="B13" s="118" t="s">
        <v>4250</v>
      </c>
      <c r="C13" s="190" t="s">
        <v>95</v>
      </c>
      <c r="D13" s="192" t="s">
        <v>6234</v>
      </c>
      <c r="E13" s="191">
        <v>91.826400000000007</v>
      </c>
      <c r="F13" s="117"/>
      <c r="G13" s="135"/>
      <c r="H13" s="135" t="s">
        <v>6336</v>
      </c>
      <c r="I13" s="179" t="s">
        <v>6337</v>
      </c>
    </row>
    <row r="14" spans="1:10" ht="60" x14ac:dyDescent="0.25">
      <c r="A14" s="130" t="s">
        <v>475</v>
      </c>
      <c r="B14" s="118" t="s">
        <v>4249</v>
      </c>
      <c r="C14" s="190" t="s">
        <v>311</v>
      </c>
      <c r="D14" s="184" t="s">
        <v>6244</v>
      </c>
      <c r="E14" s="191">
        <v>103.1262</v>
      </c>
      <c r="F14" s="117"/>
      <c r="G14" s="135"/>
      <c r="H14" s="135" t="s">
        <v>6338</v>
      </c>
      <c r="I14" s="147" t="s">
        <v>6339</v>
      </c>
    </row>
    <row r="15" spans="1:10" ht="45" x14ac:dyDescent="0.25">
      <c r="A15" s="130" t="s">
        <v>475</v>
      </c>
      <c r="B15" s="118" t="s">
        <v>4835</v>
      </c>
      <c r="C15" s="190" t="s">
        <v>4966</v>
      </c>
      <c r="D15" s="184" t="s">
        <v>6240</v>
      </c>
      <c r="E15" s="191">
        <v>91.187399999999997</v>
      </c>
      <c r="F15" s="117"/>
      <c r="G15" s="135"/>
      <c r="H15" s="135" t="s">
        <v>6340</v>
      </c>
      <c r="I15" s="180" t="s">
        <v>6341</v>
      </c>
      <c r="J15" s="182" t="s">
        <v>6343</v>
      </c>
    </row>
    <row r="16" spans="1:10" ht="30" x14ac:dyDescent="0.25">
      <c r="A16" s="130" t="s">
        <v>475</v>
      </c>
      <c r="B16" s="118" t="s">
        <v>4805</v>
      </c>
      <c r="C16" s="190" t="s">
        <v>4944</v>
      </c>
      <c r="D16" s="184" t="s">
        <v>6244</v>
      </c>
      <c r="E16" s="191">
        <v>112.4046</v>
      </c>
      <c r="F16" s="117"/>
      <c r="G16" s="135"/>
      <c r="H16" s="135"/>
      <c r="I16" s="147"/>
      <c r="J16" s="182" t="s">
        <v>6289</v>
      </c>
    </row>
    <row r="17" spans="1:10" ht="30" x14ac:dyDescent="0.25">
      <c r="A17" s="130" t="s">
        <v>475</v>
      </c>
      <c r="B17" s="118" t="s">
        <v>4188</v>
      </c>
      <c r="C17" s="190" t="s">
        <v>115</v>
      </c>
      <c r="D17" s="184" t="s">
        <v>6244</v>
      </c>
      <c r="E17" s="191">
        <v>116.01420000000002</v>
      </c>
      <c r="F17" s="117"/>
      <c r="G17" s="135"/>
      <c r="H17" s="179" t="s">
        <v>116</v>
      </c>
      <c r="I17" s="179" t="s">
        <v>6342</v>
      </c>
      <c r="J17" s="182" t="s">
        <v>3695</v>
      </c>
    </row>
    <row r="18" spans="1:10" ht="30" x14ac:dyDescent="0.25">
      <c r="A18" s="130" t="s">
        <v>475</v>
      </c>
      <c r="B18" s="118" t="s">
        <v>4276</v>
      </c>
      <c r="C18" s="190" t="s">
        <v>4595</v>
      </c>
      <c r="D18" s="184" t="s">
        <v>6250</v>
      </c>
      <c r="E18" s="191">
        <v>87.5</v>
      </c>
      <c r="F18" s="117"/>
      <c r="G18" s="135"/>
      <c r="H18" s="135"/>
      <c r="I18" s="147"/>
      <c r="J18" s="182" t="s">
        <v>6289</v>
      </c>
    </row>
    <row r="19" spans="1:10" ht="30" x14ac:dyDescent="0.25">
      <c r="A19" s="130" t="s">
        <v>475</v>
      </c>
      <c r="B19" s="118" t="s">
        <v>4265</v>
      </c>
      <c r="C19" s="190" t="s">
        <v>441</v>
      </c>
      <c r="D19" s="184" t="s">
        <v>6244</v>
      </c>
      <c r="E19" s="191">
        <v>85.599600000000009</v>
      </c>
      <c r="F19" s="117"/>
      <c r="G19" s="135"/>
      <c r="H19" s="135" t="s">
        <v>6344</v>
      </c>
      <c r="I19" s="147"/>
    </row>
    <row r="20" spans="1:10" ht="30" x14ac:dyDescent="0.25">
      <c r="A20" s="130" t="s">
        <v>475</v>
      </c>
      <c r="B20" s="118" t="s">
        <v>4253</v>
      </c>
      <c r="C20" s="190" t="s">
        <v>4577</v>
      </c>
      <c r="D20" s="192" t="s">
        <v>6234</v>
      </c>
      <c r="E20" s="191">
        <v>84.289000000000001</v>
      </c>
      <c r="F20" s="117"/>
      <c r="G20" s="135"/>
      <c r="H20" s="135"/>
      <c r="I20" s="147" t="s">
        <v>6345</v>
      </c>
    </row>
    <row r="21" spans="1:10" ht="30" x14ac:dyDescent="0.25">
      <c r="A21" s="130" t="s">
        <v>475</v>
      </c>
      <c r="B21" s="118" t="s">
        <v>4234</v>
      </c>
      <c r="C21" s="190" t="s">
        <v>336</v>
      </c>
      <c r="D21" s="184" t="s">
        <v>6245</v>
      </c>
      <c r="E21" s="191">
        <v>82.932199999999995</v>
      </c>
      <c r="F21" s="117"/>
      <c r="G21" s="135"/>
      <c r="H21" s="135" t="s">
        <v>6346</v>
      </c>
      <c r="I21" s="147" t="s">
        <v>6347</v>
      </c>
    </row>
    <row r="22" spans="1:10" ht="30" x14ac:dyDescent="0.25">
      <c r="A22" s="135" t="s">
        <v>3718</v>
      </c>
      <c r="B22" s="135" t="s">
        <v>338</v>
      </c>
      <c r="C22" s="135" t="s">
        <v>3758</v>
      </c>
      <c r="D22" s="147" t="s">
        <v>6256</v>
      </c>
      <c r="E22" s="193">
        <v>45.828913588830972</v>
      </c>
      <c r="F22" s="194">
        <v>0.93912511150523115</v>
      </c>
      <c r="G22" s="135"/>
      <c r="H22" s="135"/>
      <c r="I22" s="147" t="s">
        <v>6291</v>
      </c>
    </row>
    <row r="23" spans="1:10" ht="30" x14ac:dyDescent="0.25">
      <c r="A23" s="135" t="s">
        <v>498</v>
      </c>
      <c r="B23" s="135" t="s">
        <v>76</v>
      </c>
      <c r="C23" s="135" t="s">
        <v>3589</v>
      </c>
      <c r="D23" s="135" t="s">
        <v>8</v>
      </c>
      <c r="E23" s="193">
        <v>46.337347012438883</v>
      </c>
      <c r="F23" s="194">
        <v>1.8101428730595692</v>
      </c>
      <c r="G23" s="135"/>
      <c r="H23" s="147" t="s">
        <v>6290</v>
      </c>
      <c r="I23" s="147" t="s">
        <v>6289</v>
      </c>
    </row>
    <row r="24" spans="1:10" ht="30" x14ac:dyDescent="0.25">
      <c r="A24" s="135" t="s">
        <v>498</v>
      </c>
      <c r="B24" s="135" t="s">
        <v>3368</v>
      </c>
      <c r="C24" s="135" t="s">
        <v>3596</v>
      </c>
      <c r="D24" s="147" t="s">
        <v>6256</v>
      </c>
      <c r="E24" s="193">
        <v>121</v>
      </c>
      <c r="F24" s="194">
        <v>0.30754338171401041</v>
      </c>
      <c r="G24" s="135"/>
      <c r="H24" s="147" t="s">
        <v>6288</v>
      </c>
      <c r="I24" s="147" t="s">
        <v>6287</v>
      </c>
    </row>
    <row r="25" spans="1:10" ht="30" x14ac:dyDescent="0.25">
      <c r="A25" s="135" t="s">
        <v>498</v>
      </c>
      <c r="B25" s="135" t="s">
        <v>121</v>
      </c>
      <c r="C25" s="135" t="s">
        <v>122</v>
      </c>
      <c r="D25" s="147" t="s">
        <v>6256</v>
      </c>
      <c r="E25" s="193">
        <v>110</v>
      </c>
      <c r="F25" s="194">
        <v>0.85365135270525483</v>
      </c>
      <c r="G25" s="135"/>
      <c r="H25" s="147" t="s">
        <v>6286</v>
      </c>
      <c r="I25" s="147"/>
    </row>
    <row r="26" spans="1:10" x14ac:dyDescent="0.25">
      <c r="A26" s="135" t="s">
        <v>3718</v>
      </c>
      <c r="B26" s="135" t="s">
        <v>2074</v>
      </c>
      <c r="C26" s="135" t="s">
        <v>120</v>
      </c>
      <c r="D26" s="147" t="s">
        <v>8</v>
      </c>
      <c r="E26" s="193">
        <v>32</v>
      </c>
      <c r="F26" s="135" t="s">
        <v>3594</v>
      </c>
      <c r="G26" s="135"/>
      <c r="H26" s="135" t="s">
        <v>6311</v>
      </c>
      <c r="I26" s="147" t="s">
        <v>6285</v>
      </c>
    </row>
    <row r="27" spans="1:10" ht="45" x14ac:dyDescent="0.25">
      <c r="A27" s="135" t="s">
        <v>7</v>
      </c>
      <c r="B27" s="135" t="s">
        <v>3434</v>
      </c>
      <c r="C27" s="135" t="s">
        <v>324</v>
      </c>
      <c r="D27" s="147" t="s">
        <v>6284</v>
      </c>
      <c r="E27" s="193">
        <v>32</v>
      </c>
      <c r="F27" s="135" t="s">
        <v>3594</v>
      </c>
      <c r="G27" s="135"/>
      <c r="H27" s="147" t="s">
        <v>6301</v>
      </c>
      <c r="I27" s="147" t="s">
        <v>6302</v>
      </c>
    </row>
    <row r="28" spans="1:10" ht="45" x14ac:dyDescent="0.25">
      <c r="A28" s="135" t="s">
        <v>498</v>
      </c>
      <c r="B28" s="135" t="s">
        <v>232</v>
      </c>
      <c r="C28" s="135" t="s">
        <v>233</v>
      </c>
      <c r="D28" s="135" t="s">
        <v>63</v>
      </c>
      <c r="E28" s="193">
        <v>122.93591233109521</v>
      </c>
      <c r="F28" s="194">
        <v>0.48301763505908119</v>
      </c>
      <c r="G28" s="147" t="s">
        <v>6283</v>
      </c>
      <c r="H28" s="147" t="s">
        <v>6282</v>
      </c>
      <c r="I28" s="147" t="s">
        <v>6281</v>
      </c>
    </row>
    <row r="29" spans="1:10" ht="30" x14ac:dyDescent="0.25">
      <c r="A29" s="135" t="s">
        <v>498</v>
      </c>
      <c r="B29" s="135" t="s">
        <v>3</v>
      </c>
      <c r="C29" s="135" t="s">
        <v>4</v>
      </c>
      <c r="D29" s="147" t="s">
        <v>6277</v>
      </c>
      <c r="E29" s="193">
        <v>92</v>
      </c>
      <c r="F29" s="194">
        <v>-0.16233402790378496</v>
      </c>
      <c r="G29" s="147" t="s">
        <v>6280</v>
      </c>
      <c r="H29" s="147" t="s">
        <v>6279</v>
      </c>
      <c r="I29" s="147" t="s">
        <v>6278</v>
      </c>
    </row>
    <row r="30" spans="1:10" x14ac:dyDescent="0.25">
      <c r="A30" s="135" t="s">
        <v>4106</v>
      </c>
      <c r="B30" s="135" t="s">
        <v>418</v>
      </c>
      <c r="C30" s="135" t="s">
        <v>4932</v>
      </c>
      <c r="D30" s="147" t="s">
        <v>24</v>
      </c>
      <c r="E30" s="193">
        <v>38</v>
      </c>
      <c r="F30" s="195">
        <v>11.667</v>
      </c>
      <c r="G30" s="135"/>
      <c r="H30" s="135" t="s">
        <v>6293</v>
      </c>
      <c r="I30" s="147" t="s">
        <v>6289</v>
      </c>
    </row>
    <row r="31" spans="1:10" ht="30" x14ac:dyDescent="0.25">
      <c r="A31" s="135" t="s">
        <v>3718</v>
      </c>
      <c r="B31" s="135" t="s">
        <v>96</v>
      </c>
      <c r="C31" s="135" t="s">
        <v>178</v>
      </c>
      <c r="D31" s="147" t="s">
        <v>6263</v>
      </c>
      <c r="E31" s="193">
        <v>37</v>
      </c>
      <c r="F31" s="195">
        <v>4.0949999999999998</v>
      </c>
      <c r="G31" s="135"/>
      <c r="H31" s="135" t="s">
        <v>6259</v>
      </c>
      <c r="I31" s="147" t="s">
        <v>6312</v>
      </c>
    </row>
    <row r="32" spans="1:10" ht="45" x14ac:dyDescent="0.25">
      <c r="A32" s="135" t="s">
        <v>3718</v>
      </c>
      <c r="B32" s="135" t="s">
        <v>363</v>
      </c>
      <c r="C32" s="135" t="s">
        <v>345</v>
      </c>
      <c r="D32" s="147" t="s">
        <v>6314</v>
      </c>
      <c r="E32" s="193">
        <v>99.507756024816601</v>
      </c>
      <c r="F32" s="135" t="s">
        <v>3594</v>
      </c>
      <c r="G32" s="135"/>
      <c r="H32" s="135" t="s">
        <v>6313</v>
      </c>
      <c r="I32" s="147" t="s">
        <v>6315</v>
      </c>
    </row>
    <row r="33" spans="1:9" ht="60" x14ac:dyDescent="0.25">
      <c r="A33" s="135" t="s">
        <v>7</v>
      </c>
      <c r="B33" s="135" t="s">
        <v>3604</v>
      </c>
      <c r="C33" s="135" t="s">
        <v>878</v>
      </c>
      <c r="D33" s="147" t="s">
        <v>6275</v>
      </c>
      <c r="E33" s="193">
        <v>41.62925893496584</v>
      </c>
      <c r="F33" s="194">
        <v>0.60605262734858389</v>
      </c>
      <c r="G33" s="135" t="s">
        <v>6276</v>
      </c>
      <c r="H33" s="147" t="s">
        <v>6303</v>
      </c>
      <c r="I33" s="147" t="s">
        <v>6304</v>
      </c>
    </row>
    <row r="34" spans="1:9" ht="30" x14ac:dyDescent="0.25">
      <c r="A34" s="135" t="s">
        <v>498</v>
      </c>
      <c r="B34" s="135" t="s">
        <v>222</v>
      </c>
      <c r="C34" s="135" t="s">
        <v>223</v>
      </c>
      <c r="D34" s="147" t="s">
        <v>6256</v>
      </c>
      <c r="E34" s="193">
        <v>116</v>
      </c>
      <c r="F34" s="194">
        <v>0.74868442433165716</v>
      </c>
      <c r="G34" s="135"/>
      <c r="H34" s="147" t="s">
        <v>6274</v>
      </c>
      <c r="I34" s="147" t="s">
        <v>6273</v>
      </c>
    </row>
    <row r="35" spans="1:9" ht="30" x14ac:dyDescent="0.25">
      <c r="A35" s="135" t="s">
        <v>498</v>
      </c>
      <c r="B35" s="135" t="s">
        <v>3591</v>
      </c>
      <c r="C35" s="135" t="s">
        <v>238</v>
      </c>
      <c r="D35" s="135" t="s">
        <v>8</v>
      </c>
      <c r="E35" s="193">
        <v>42.69107729323067</v>
      </c>
      <c r="F35" s="194">
        <v>-6.0195094130427944E-2</v>
      </c>
      <c r="G35" s="135"/>
      <c r="H35" s="147" t="s">
        <v>6272</v>
      </c>
      <c r="I35" s="147" t="s">
        <v>6271</v>
      </c>
    </row>
    <row r="36" spans="1:9" ht="30" x14ac:dyDescent="0.25">
      <c r="A36" s="135" t="s">
        <v>4065</v>
      </c>
      <c r="B36" s="135" t="s">
        <v>236</v>
      </c>
      <c r="C36" s="135" t="s">
        <v>237</v>
      </c>
      <c r="D36" s="135" t="s">
        <v>63</v>
      </c>
      <c r="E36" s="193">
        <v>54.808362283394828</v>
      </c>
      <c r="F36" s="194">
        <v>15.606571359149047</v>
      </c>
      <c r="G36" s="135"/>
      <c r="H36" s="135" t="s">
        <v>6294</v>
      </c>
      <c r="I36" s="147" t="s">
        <v>6295</v>
      </c>
    </row>
    <row r="37" spans="1:9" ht="30" x14ac:dyDescent="0.25">
      <c r="A37" s="135" t="s">
        <v>3718</v>
      </c>
      <c r="B37" s="135" t="s">
        <v>175</v>
      </c>
      <c r="C37" s="135" t="s">
        <v>197</v>
      </c>
      <c r="D37" s="147" t="s">
        <v>6270</v>
      </c>
      <c r="E37" s="193">
        <v>55.869672278307675</v>
      </c>
      <c r="F37" s="194">
        <v>-0.15061872288833916</v>
      </c>
      <c r="G37" s="135"/>
      <c r="H37" s="135" t="s">
        <v>6316</v>
      </c>
      <c r="I37" s="147" t="s">
        <v>6317</v>
      </c>
    </row>
    <row r="38" spans="1:9" ht="30" x14ac:dyDescent="0.25">
      <c r="A38" s="135" t="s">
        <v>498</v>
      </c>
      <c r="B38" s="135" t="s">
        <v>200</v>
      </c>
      <c r="C38" s="135" t="s">
        <v>201</v>
      </c>
      <c r="D38" s="147" t="s">
        <v>6263</v>
      </c>
      <c r="E38" s="193">
        <v>73.963114974561591</v>
      </c>
      <c r="F38" s="194">
        <v>0.48051785530112989</v>
      </c>
      <c r="G38" s="135"/>
      <c r="H38" s="147" t="s">
        <v>6269</v>
      </c>
      <c r="I38" s="147" t="s">
        <v>6268</v>
      </c>
    </row>
    <row r="39" spans="1:9" ht="30" x14ac:dyDescent="0.25">
      <c r="A39" s="135" t="s">
        <v>498</v>
      </c>
      <c r="B39" s="135" t="s">
        <v>138</v>
      </c>
      <c r="C39" s="135" t="s">
        <v>139</v>
      </c>
      <c r="D39" s="147" t="s">
        <v>6265</v>
      </c>
      <c r="E39" s="193">
        <v>33</v>
      </c>
      <c r="F39" s="195">
        <v>1.7529999999999999</v>
      </c>
      <c r="G39" s="135"/>
      <c r="H39" s="147" t="s">
        <v>6267</v>
      </c>
      <c r="I39" s="147" t="s">
        <v>6266</v>
      </c>
    </row>
    <row r="40" spans="1:9" ht="60" x14ac:dyDescent="0.25">
      <c r="A40" s="135" t="s">
        <v>3718</v>
      </c>
      <c r="B40" s="135" t="s">
        <v>560</v>
      </c>
      <c r="C40" s="135" t="s">
        <v>98</v>
      </c>
      <c r="D40" s="147" t="s">
        <v>63</v>
      </c>
      <c r="E40" s="193">
        <v>36</v>
      </c>
      <c r="F40" s="135" t="s">
        <v>3594</v>
      </c>
      <c r="G40" s="135"/>
      <c r="H40" s="135" t="s">
        <v>6318</v>
      </c>
      <c r="I40" s="147" t="s">
        <v>6319</v>
      </c>
    </row>
    <row r="41" spans="1:9" ht="45" x14ac:dyDescent="0.25">
      <c r="A41" s="135" t="s">
        <v>3718</v>
      </c>
      <c r="B41" s="135" t="s">
        <v>3499</v>
      </c>
      <c r="C41" s="135" t="s">
        <v>348</v>
      </c>
      <c r="D41" s="147" t="s">
        <v>6256</v>
      </c>
      <c r="E41" s="193">
        <v>33</v>
      </c>
      <c r="F41" s="195">
        <v>0.375</v>
      </c>
      <c r="G41" s="135"/>
      <c r="H41" s="135" t="s">
        <v>6320</v>
      </c>
      <c r="I41" s="147" t="s">
        <v>6321</v>
      </c>
    </row>
    <row r="42" spans="1:9" x14ac:dyDescent="0.25">
      <c r="A42" s="135" t="s">
        <v>4065</v>
      </c>
      <c r="B42" s="135" t="s">
        <v>170</v>
      </c>
      <c r="C42" s="135" t="s">
        <v>4097</v>
      </c>
      <c r="D42" s="135" t="s">
        <v>8</v>
      </c>
      <c r="E42" s="193">
        <v>77.284165268375958</v>
      </c>
      <c r="F42" s="194">
        <v>-0.11458333333333334</v>
      </c>
      <c r="G42" s="135"/>
      <c r="H42" s="135" t="s">
        <v>6296</v>
      </c>
      <c r="I42" s="147"/>
    </row>
    <row r="43" spans="1:9" ht="30" x14ac:dyDescent="0.25">
      <c r="A43" s="135" t="s">
        <v>4065</v>
      </c>
      <c r="B43" s="135" t="s">
        <v>1922</v>
      </c>
      <c r="C43" s="135" t="s">
        <v>4098</v>
      </c>
      <c r="D43" s="135" t="s">
        <v>8</v>
      </c>
      <c r="E43" s="193">
        <v>44.552048213534611</v>
      </c>
      <c r="F43" s="194">
        <v>2.0833333333349194E-2</v>
      </c>
      <c r="G43" s="135"/>
      <c r="H43" s="135" t="s">
        <v>6297</v>
      </c>
      <c r="I43" s="147" t="s">
        <v>6298</v>
      </c>
    </row>
    <row r="44" spans="1:9" ht="30" x14ac:dyDescent="0.25">
      <c r="A44" s="135" t="s">
        <v>3718</v>
      </c>
      <c r="B44" s="135" t="s">
        <v>2443</v>
      </c>
      <c r="C44" s="135" t="s">
        <v>6254</v>
      </c>
      <c r="D44" s="147" t="s">
        <v>6263</v>
      </c>
      <c r="E44" s="193">
        <v>30</v>
      </c>
      <c r="F44" s="135" t="s">
        <v>3594</v>
      </c>
      <c r="G44" s="135"/>
      <c r="H44" s="135"/>
      <c r="I44" s="147" t="s">
        <v>6264</v>
      </c>
    </row>
    <row r="45" spans="1:9" ht="45" x14ac:dyDescent="0.25">
      <c r="A45" s="135" t="s">
        <v>7</v>
      </c>
      <c r="B45" s="135" t="s">
        <v>83</v>
      </c>
      <c r="C45" s="135" t="s">
        <v>84</v>
      </c>
      <c r="D45" s="147" t="s">
        <v>6262</v>
      </c>
      <c r="E45" s="193">
        <v>39</v>
      </c>
      <c r="F45" s="135" t="s">
        <v>3594</v>
      </c>
      <c r="G45" s="135"/>
      <c r="H45" s="147" t="s">
        <v>6305</v>
      </c>
      <c r="I45" s="147" t="s">
        <v>6306</v>
      </c>
    </row>
    <row r="46" spans="1:9" ht="30" x14ac:dyDescent="0.25">
      <c r="A46" s="135" t="s">
        <v>7</v>
      </c>
      <c r="B46" s="135" t="s">
        <v>3590</v>
      </c>
      <c r="C46" s="135" t="s">
        <v>57</v>
      </c>
      <c r="D46" s="135" t="s">
        <v>8</v>
      </c>
      <c r="E46" s="193">
        <v>45.006893261476371</v>
      </c>
      <c r="F46" s="194">
        <v>-4.2569183109893639E-2</v>
      </c>
      <c r="G46" s="135"/>
      <c r="H46" s="147" t="s">
        <v>6307</v>
      </c>
      <c r="I46" s="147" t="s">
        <v>6308</v>
      </c>
    </row>
    <row r="47" spans="1:9" x14ac:dyDescent="0.25">
      <c r="A47" s="135" t="s">
        <v>498</v>
      </c>
      <c r="B47" s="135" t="s">
        <v>53</v>
      </c>
      <c r="C47" s="135" t="s">
        <v>54</v>
      </c>
      <c r="D47" s="147" t="s">
        <v>8</v>
      </c>
      <c r="E47" s="193">
        <v>32</v>
      </c>
      <c r="F47" s="195">
        <v>0.25900000000000001</v>
      </c>
      <c r="G47" s="135"/>
      <c r="H47" s="147" t="s">
        <v>6261</v>
      </c>
      <c r="I47" s="147" t="s">
        <v>6260</v>
      </c>
    </row>
    <row r="48" spans="1:9" ht="30" x14ac:dyDescent="0.25">
      <c r="A48" s="135" t="s">
        <v>498</v>
      </c>
      <c r="B48" s="135" t="s">
        <v>267</v>
      </c>
      <c r="C48" s="135" t="s">
        <v>268</v>
      </c>
      <c r="D48" s="135" t="s">
        <v>8</v>
      </c>
      <c r="E48" s="193">
        <v>109.42892227439545</v>
      </c>
      <c r="F48" s="194">
        <v>-3.2344621867293942E-2</v>
      </c>
      <c r="G48" s="135"/>
      <c r="H48" s="147" t="s">
        <v>6259</v>
      </c>
      <c r="I48" s="147" t="s">
        <v>6258</v>
      </c>
    </row>
    <row r="49" spans="1:9" ht="60" x14ac:dyDescent="0.25">
      <c r="A49" s="135" t="s">
        <v>7</v>
      </c>
      <c r="B49" s="135" t="s">
        <v>6252</v>
      </c>
      <c r="C49" s="135" t="s">
        <v>246</v>
      </c>
      <c r="D49" s="147" t="s">
        <v>6257</v>
      </c>
      <c r="E49" s="193">
        <v>42.504538106761537</v>
      </c>
      <c r="F49" s="194">
        <v>41.497969302268359</v>
      </c>
      <c r="G49" s="135" t="s">
        <v>1531</v>
      </c>
      <c r="H49" s="185" t="s">
        <v>247</v>
      </c>
      <c r="I49" s="185" t="s">
        <v>6309</v>
      </c>
    </row>
    <row r="50" spans="1:9" ht="30" x14ac:dyDescent="0.25">
      <c r="A50" s="135" t="s">
        <v>4065</v>
      </c>
      <c r="B50" s="135" t="s">
        <v>383</v>
      </c>
      <c r="C50" s="135" t="s">
        <v>384</v>
      </c>
      <c r="D50" s="147" t="s">
        <v>6256</v>
      </c>
      <c r="E50" s="193">
        <v>69.646906958270577</v>
      </c>
      <c r="F50" s="194">
        <v>1.1823442383776661</v>
      </c>
      <c r="G50" s="135"/>
      <c r="H50" s="135" t="s">
        <v>6299</v>
      </c>
      <c r="I50" s="147" t="s">
        <v>6300</v>
      </c>
    </row>
    <row r="51" spans="1:9" ht="45" x14ac:dyDescent="0.25">
      <c r="A51" s="135" t="s">
        <v>7</v>
      </c>
      <c r="B51" s="135" t="s">
        <v>85</v>
      </c>
      <c r="C51" s="135" t="s">
        <v>86</v>
      </c>
      <c r="D51" s="147" t="s">
        <v>6255</v>
      </c>
      <c r="E51" s="193">
        <v>41.004883972767949</v>
      </c>
      <c r="F51" s="135" t="s">
        <v>3594</v>
      </c>
      <c r="G51" s="135"/>
      <c r="H51" s="147" t="s">
        <v>87</v>
      </c>
      <c r="I51" s="147" t="s">
        <v>6310</v>
      </c>
    </row>
    <row r="52" spans="1:9" x14ac:dyDescent="0.25">
      <c r="A52" s="130"/>
      <c r="B52" s="135"/>
      <c r="C52" s="135"/>
      <c r="D52" s="135"/>
      <c r="E52" s="135"/>
      <c r="F52" s="135"/>
      <c r="G52" s="135"/>
      <c r="H52" s="135"/>
      <c r="I52" s="147"/>
    </row>
  </sheetData>
  <autoFilter ref="A1:J1" xr:uid="{CFF50B5E-47FC-4999-AAEA-77581AC20CAC}"/>
  <conditionalFormatting sqref="E2:E51">
    <cfRule type="colorScale" priority="1">
      <colorScale>
        <cfvo type="min"/>
        <cfvo type="percentile" val="50"/>
        <cfvo type="max"/>
        <color rgb="FFF8696B"/>
        <color rgb="FFFFEB84"/>
        <color rgb="FF63BE7B"/>
      </colorScale>
    </cfRule>
  </conditionalFormatting>
  <conditionalFormatting sqref="E2:F21">
    <cfRule type="colorScale" priority="33">
      <colorScale>
        <cfvo type="min"/>
        <cfvo type="percentile" val="50"/>
        <cfvo type="max"/>
        <color rgb="FFF8696B"/>
        <color rgb="FFFFEB84"/>
        <color rgb="FF63BE7B"/>
      </colorScale>
    </cfRule>
  </conditionalFormatting>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C18143-3C4E-4A7C-850C-2D27CD9C08E2}">
  <dimension ref="A1:H70"/>
  <sheetViews>
    <sheetView zoomScale="145" zoomScaleNormal="145" workbookViewId="0">
      <pane ySplit="1" topLeftCell="A2" activePane="bottomLeft" state="frozen"/>
      <selection pane="bottomLeft" sqref="A1:H1048576"/>
    </sheetView>
  </sheetViews>
  <sheetFormatPr defaultRowHeight="15" x14ac:dyDescent="0.25"/>
  <cols>
    <col min="1" max="1" width="22.42578125" style="178" customWidth="1"/>
    <col min="2" max="2" width="15" style="178" bestFit="1" customWidth="1"/>
    <col min="3" max="3" width="10.7109375" style="178" bestFit="1" customWidth="1"/>
    <col min="4" max="4" width="10.7109375" style="196" customWidth="1"/>
    <col min="5" max="5" width="11.42578125" style="196" customWidth="1"/>
    <col min="6" max="6" width="20.7109375" style="205" bestFit="1" customWidth="1"/>
    <col min="7" max="7" width="11.42578125" style="196" bestFit="1" customWidth="1"/>
    <col min="8" max="8" width="13.28515625" style="178" bestFit="1" customWidth="1"/>
    <col min="9" max="16384" width="9.140625" style="178"/>
  </cols>
  <sheetData>
    <row r="1" spans="1:8" s="4" customFormat="1" ht="30" x14ac:dyDescent="0.25">
      <c r="A1" s="199" t="s">
        <v>3581</v>
      </c>
      <c r="B1" s="199" t="s">
        <v>3582</v>
      </c>
      <c r="C1" s="199" t="s">
        <v>6383</v>
      </c>
      <c r="D1" s="199" t="s">
        <v>6384</v>
      </c>
      <c r="E1" s="199" t="s">
        <v>6385</v>
      </c>
      <c r="F1" s="202" t="s">
        <v>6237</v>
      </c>
      <c r="G1" s="199" t="s">
        <v>6382</v>
      </c>
      <c r="H1" s="201" t="s">
        <v>478</v>
      </c>
    </row>
    <row r="2" spans="1:8" x14ac:dyDescent="0.25">
      <c r="A2" s="178" t="s">
        <v>3615</v>
      </c>
      <c r="B2" s="178" t="s">
        <v>303</v>
      </c>
      <c r="C2" s="178" t="s">
        <v>5</v>
      </c>
      <c r="D2" s="196">
        <v>1</v>
      </c>
      <c r="E2" s="197">
        <v>1</v>
      </c>
      <c r="F2" s="203" t="s">
        <v>1069</v>
      </c>
      <c r="G2" s="198">
        <v>2.5003455039088203</v>
      </c>
    </row>
    <row r="3" spans="1:8" x14ac:dyDescent="0.25">
      <c r="A3" s="178" t="s">
        <v>1480</v>
      </c>
      <c r="B3" s="178" t="s">
        <v>11</v>
      </c>
      <c r="C3" s="178" t="s">
        <v>5</v>
      </c>
      <c r="D3" s="196">
        <v>1</v>
      </c>
      <c r="E3" s="197">
        <v>1</v>
      </c>
      <c r="F3" s="203" t="s">
        <v>1069</v>
      </c>
      <c r="G3" s="198">
        <v>24.383464603819448</v>
      </c>
    </row>
    <row r="4" spans="1:8" x14ac:dyDescent="0.25">
      <c r="A4" s="178" t="s">
        <v>6381</v>
      </c>
      <c r="B4" s="178" t="s">
        <v>6380</v>
      </c>
      <c r="C4" s="178" t="s">
        <v>6348</v>
      </c>
      <c r="D4" s="196">
        <v>1</v>
      </c>
      <c r="E4" s="197">
        <v>1</v>
      </c>
      <c r="F4" s="203" t="s">
        <v>63</v>
      </c>
      <c r="G4" s="198">
        <v>25.28010945645465</v>
      </c>
    </row>
    <row r="5" spans="1:8" ht="30" x14ac:dyDescent="0.25">
      <c r="A5" s="178" t="s">
        <v>6379</v>
      </c>
      <c r="B5" s="178" t="s">
        <v>4531</v>
      </c>
      <c r="C5" s="178" t="s">
        <v>6348</v>
      </c>
      <c r="D5" s="196">
        <v>1</v>
      </c>
      <c r="E5" s="197">
        <v>2</v>
      </c>
      <c r="F5" s="200" t="s">
        <v>6256</v>
      </c>
      <c r="G5" s="198">
        <v>19.748382030963469</v>
      </c>
    </row>
    <row r="6" spans="1:8" ht="30" x14ac:dyDescent="0.25">
      <c r="A6" s="178" t="s">
        <v>458</v>
      </c>
      <c r="B6" s="178" t="s">
        <v>4534</v>
      </c>
      <c r="C6" s="178" t="s">
        <v>6348</v>
      </c>
      <c r="D6" s="196">
        <v>1</v>
      </c>
      <c r="E6" s="197">
        <v>2</v>
      </c>
      <c r="F6" s="200" t="s">
        <v>6265</v>
      </c>
      <c r="G6" s="198">
        <v>15.779485899019891</v>
      </c>
    </row>
    <row r="7" spans="1:8" x14ac:dyDescent="0.25">
      <c r="A7" s="178" t="s">
        <v>6378</v>
      </c>
      <c r="B7" s="178" t="s">
        <v>5004</v>
      </c>
      <c r="C7" s="178" t="s">
        <v>6348</v>
      </c>
      <c r="D7" s="196">
        <v>1</v>
      </c>
      <c r="E7" s="197">
        <v>1</v>
      </c>
      <c r="F7" s="203" t="s">
        <v>63</v>
      </c>
      <c r="G7" s="198">
        <v>7.0146918778307006</v>
      </c>
    </row>
    <row r="8" spans="1:8" x14ac:dyDescent="0.25">
      <c r="A8" s="178" t="s">
        <v>375</v>
      </c>
      <c r="B8" s="178" t="s">
        <v>376</v>
      </c>
      <c r="C8" s="178" t="s">
        <v>6348</v>
      </c>
      <c r="D8" s="196">
        <v>1</v>
      </c>
      <c r="E8" s="197">
        <v>1</v>
      </c>
      <c r="F8" s="203" t="s">
        <v>63</v>
      </c>
      <c r="G8" s="198">
        <v>14.502316511888928</v>
      </c>
    </row>
    <row r="9" spans="1:8" x14ac:dyDescent="0.25">
      <c r="A9" s="178" t="s">
        <v>6377</v>
      </c>
      <c r="B9" s="178" t="s">
        <v>180</v>
      </c>
      <c r="C9" s="178" t="s">
        <v>6348</v>
      </c>
      <c r="D9" s="196">
        <v>1</v>
      </c>
      <c r="E9" s="197">
        <v>1</v>
      </c>
      <c r="F9" s="200" t="s">
        <v>8</v>
      </c>
      <c r="G9" s="198">
        <v>21.42218579106401</v>
      </c>
    </row>
    <row r="10" spans="1:8" x14ac:dyDescent="0.25">
      <c r="A10" s="178" t="s">
        <v>6376</v>
      </c>
      <c r="B10" s="178" t="s">
        <v>4914</v>
      </c>
      <c r="C10" s="178" t="s">
        <v>6348</v>
      </c>
      <c r="D10" s="196">
        <v>1</v>
      </c>
      <c r="E10" s="197">
        <v>1</v>
      </c>
      <c r="F10" s="203" t="s">
        <v>63</v>
      </c>
      <c r="G10" s="198">
        <v>29.004006208751782</v>
      </c>
    </row>
    <row r="11" spans="1:8" x14ac:dyDescent="0.25">
      <c r="A11" s="178" t="s">
        <v>6375</v>
      </c>
      <c r="B11" s="178" t="s">
        <v>263</v>
      </c>
      <c r="C11" s="178" t="s">
        <v>6348</v>
      </c>
      <c r="D11" s="196">
        <v>1</v>
      </c>
      <c r="E11" s="197">
        <v>1</v>
      </c>
      <c r="F11" s="203" t="s">
        <v>63</v>
      </c>
      <c r="G11" s="198">
        <v>29.99162611229411</v>
      </c>
    </row>
    <row r="12" spans="1:8" ht="30" x14ac:dyDescent="0.25">
      <c r="A12" s="178" t="s">
        <v>2011</v>
      </c>
      <c r="B12" s="178" t="s">
        <v>5001</v>
      </c>
      <c r="C12" s="178" t="s">
        <v>6348</v>
      </c>
      <c r="D12" s="196">
        <v>1</v>
      </c>
      <c r="E12" s="197">
        <v>2</v>
      </c>
      <c r="F12" s="200" t="s">
        <v>6406</v>
      </c>
      <c r="G12" s="198">
        <v>49.509713197694261</v>
      </c>
    </row>
    <row r="13" spans="1:8" x14ac:dyDescent="0.25">
      <c r="A13" s="178" t="s">
        <v>6374</v>
      </c>
      <c r="B13" s="178" t="s">
        <v>4574</v>
      </c>
      <c r="C13" s="178" t="s">
        <v>6348</v>
      </c>
      <c r="D13" s="196">
        <v>1</v>
      </c>
      <c r="E13" s="197">
        <v>1</v>
      </c>
      <c r="F13" s="203" t="s">
        <v>146</v>
      </c>
      <c r="G13" s="198">
        <v>41.906697645223339</v>
      </c>
    </row>
    <row r="14" spans="1:8" x14ac:dyDescent="0.25">
      <c r="A14" s="178" t="s">
        <v>6373</v>
      </c>
      <c r="B14" s="178" t="s">
        <v>4575</v>
      </c>
      <c r="C14" s="178" t="s">
        <v>6348</v>
      </c>
      <c r="D14" s="196">
        <v>1</v>
      </c>
      <c r="E14" s="197">
        <v>1</v>
      </c>
      <c r="F14" s="203" t="s">
        <v>63</v>
      </c>
      <c r="G14" s="198">
        <v>4.0000029110874404</v>
      </c>
    </row>
    <row r="15" spans="1:8" x14ac:dyDescent="0.25">
      <c r="A15" s="178" t="s">
        <v>6372</v>
      </c>
      <c r="B15" s="178" t="s">
        <v>6371</v>
      </c>
      <c r="C15" s="178" t="s">
        <v>6348</v>
      </c>
      <c r="D15" s="196">
        <v>1</v>
      </c>
      <c r="E15" s="197">
        <v>1</v>
      </c>
      <c r="F15" s="203" t="s">
        <v>63</v>
      </c>
      <c r="G15" s="198">
        <v>2.9983230391435902</v>
      </c>
    </row>
    <row r="16" spans="1:8" x14ac:dyDescent="0.25">
      <c r="A16" s="178" t="s">
        <v>6370</v>
      </c>
      <c r="B16" s="178" t="s">
        <v>6369</v>
      </c>
      <c r="C16" s="178" t="s">
        <v>6348</v>
      </c>
      <c r="D16" s="196">
        <v>1</v>
      </c>
      <c r="E16" s="197">
        <v>1</v>
      </c>
      <c r="F16" s="203" t="s">
        <v>146</v>
      </c>
      <c r="G16" s="198">
        <v>10.000007277718401</v>
      </c>
    </row>
    <row r="17" spans="1:7" x14ac:dyDescent="0.25">
      <c r="A17" s="178" t="s">
        <v>175</v>
      </c>
      <c r="B17" s="178" t="s">
        <v>197</v>
      </c>
      <c r="C17" s="178" t="s">
        <v>5</v>
      </c>
      <c r="D17" s="196">
        <v>1</v>
      </c>
      <c r="E17" s="197">
        <v>1</v>
      </c>
      <c r="F17" s="203" t="s">
        <v>24</v>
      </c>
      <c r="G17" s="198">
        <v>60.877646123907681</v>
      </c>
    </row>
    <row r="18" spans="1:7" x14ac:dyDescent="0.25">
      <c r="A18" s="178" t="s">
        <v>203</v>
      </c>
      <c r="B18" s="178" t="s">
        <v>204</v>
      </c>
      <c r="C18" s="178" t="s">
        <v>6348</v>
      </c>
      <c r="D18" s="196">
        <v>1</v>
      </c>
      <c r="E18" s="197">
        <v>1</v>
      </c>
      <c r="F18" s="203" t="s">
        <v>3605</v>
      </c>
      <c r="G18" s="198">
        <v>62.762920123960868</v>
      </c>
    </row>
    <row r="19" spans="1:7" x14ac:dyDescent="0.25">
      <c r="A19" s="178" t="s">
        <v>6368</v>
      </c>
      <c r="B19" s="178" t="s">
        <v>6367</v>
      </c>
      <c r="C19" s="178" t="s">
        <v>6348</v>
      </c>
      <c r="D19" s="196">
        <v>1</v>
      </c>
      <c r="E19" s="197">
        <v>1</v>
      </c>
      <c r="F19" s="203" t="s">
        <v>63</v>
      </c>
      <c r="G19" s="198">
        <v>8.5056704336028002</v>
      </c>
    </row>
    <row r="20" spans="1:7" x14ac:dyDescent="0.25">
      <c r="A20" s="178" t="s">
        <v>6366</v>
      </c>
      <c r="B20" s="178" t="s">
        <v>6365</v>
      </c>
      <c r="C20" s="178" t="s">
        <v>6348</v>
      </c>
      <c r="D20" s="196">
        <v>1</v>
      </c>
      <c r="E20" s="197">
        <v>1</v>
      </c>
      <c r="F20" s="203" t="s">
        <v>63</v>
      </c>
      <c r="G20" s="198">
        <v>14.507980759431533</v>
      </c>
    </row>
    <row r="21" spans="1:7" x14ac:dyDescent="0.25">
      <c r="A21" s="178" t="s">
        <v>6364</v>
      </c>
      <c r="B21" s="178" t="s">
        <v>6363</v>
      </c>
      <c r="C21" s="178" t="s">
        <v>6348</v>
      </c>
      <c r="D21" s="196">
        <v>1</v>
      </c>
      <c r="E21" s="197">
        <v>1</v>
      </c>
      <c r="F21" s="203" t="s">
        <v>63</v>
      </c>
      <c r="G21" s="198">
        <v>8.5073495777741996</v>
      </c>
    </row>
    <row r="22" spans="1:7" x14ac:dyDescent="0.25">
      <c r="A22" s="178" t="s">
        <v>6362</v>
      </c>
      <c r="B22" s="178" t="s">
        <v>4617</v>
      </c>
      <c r="C22" s="178" t="s">
        <v>6348</v>
      </c>
      <c r="D22" s="196">
        <v>1</v>
      </c>
      <c r="E22" s="197">
        <v>1</v>
      </c>
      <c r="F22" s="203" t="s">
        <v>63</v>
      </c>
      <c r="G22" s="198">
        <v>18.50798367051933</v>
      </c>
    </row>
    <row r="23" spans="1:7" x14ac:dyDescent="0.25">
      <c r="A23" s="178" t="s">
        <v>637</v>
      </c>
      <c r="B23" s="178" t="s">
        <v>3734</v>
      </c>
      <c r="C23" s="178" t="s">
        <v>5</v>
      </c>
      <c r="D23" s="196">
        <v>1</v>
      </c>
      <c r="E23" s="197">
        <v>1</v>
      </c>
      <c r="F23" s="203" t="s">
        <v>8</v>
      </c>
      <c r="G23" s="198">
        <v>8.9191216923973506</v>
      </c>
    </row>
    <row r="24" spans="1:7" x14ac:dyDescent="0.25">
      <c r="A24" s="178" t="s">
        <v>318</v>
      </c>
      <c r="B24" s="178" t="s">
        <v>319</v>
      </c>
      <c r="C24" s="178" t="s">
        <v>6348</v>
      </c>
      <c r="D24" s="196">
        <v>1</v>
      </c>
      <c r="E24" s="197">
        <v>1</v>
      </c>
      <c r="F24" s="203" t="s">
        <v>8</v>
      </c>
      <c r="G24" s="198">
        <v>31.913223005895333</v>
      </c>
    </row>
    <row r="25" spans="1:7" x14ac:dyDescent="0.25">
      <c r="A25" s="178" t="s">
        <v>6361</v>
      </c>
      <c r="B25" s="178" t="s">
        <v>399</v>
      </c>
      <c r="C25" s="178" t="s">
        <v>6348</v>
      </c>
      <c r="D25" s="196">
        <v>1</v>
      </c>
      <c r="E25" s="197">
        <v>1</v>
      </c>
      <c r="F25" s="203" t="s">
        <v>8</v>
      </c>
      <c r="G25" s="198">
        <v>6.2667254204116798</v>
      </c>
    </row>
    <row r="26" spans="1:7" x14ac:dyDescent="0.25">
      <c r="A26" s="178" t="s">
        <v>74</v>
      </c>
      <c r="B26" s="178" t="s">
        <v>75</v>
      </c>
      <c r="C26" s="178" t="s">
        <v>6348</v>
      </c>
      <c r="D26" s="196">
        <v>1</v>
      </c>
      <c r="E26" s="197">
        <v>1</v>
      </c>
      <c r="F26" s="203" t="s">
        <v>63</v>
      </c>
      <c r="G26" s="198">
        <v>25.710767254171582</v>
      </c>
    </row>
    <row r="27" spans="1:7" x14ac:dyDescent="0.25">
      <c r="A27" s="178" t="s">
        <v>6360</v>
      </c>
      <c r="B27" s="178" t="s">
        <v>4642</v>
      </c>
      <c r="C27" s="178" t="s">
        <v>6348</v>
      </c>
      <c r="D27" s="196">
        <v>1</v>
      </c>
      <c r="E27" s="197">
        <v>1</v>
      </c>
      <c r="F27" s="203" t="s">
        <v>8</v>
      </c>
      <c r="G27" s="198">
        <v>14.279280303641491</v>
      </c>
    </row>
    <row r="28" spans="1:7" x14ac:dyDescent="0.25">
      <c r="A28" s="178" t="s">
        <v>4847</v>
      </c>
      <c r="B28" s="178" t="s">
        <v>4975</v>
      </c>
      <c r="C28" s="178" t="s">
        <v>6348</v>
      </c>
      <c r="D28" s="196">
        <v>1</v>
      </c>
      <c r="E28" s="197">
        <v>1</v>
      </c>
      <c r="F28" s="203" t="s">
        <v>63</v>
      </c>
      <c r="G28" s="198">
        <v>3.5000025472016003</v>
      </c>
    </row>
    <row r="29" spans="1:7" x14ac:dyDescent="0.25">
      <c r="A29" s="178" t="s">
        <v>242</v>
      </c>
      <c r="B29" s="178" t="s">
        <v>243</v>
      </c>
      <c r="C29" s="178" t="s">
        <v>6348</v>
      </c>
      <c r="D29" s="196">
        <v>1</v>
      </c>
      <c r="E29" s="197">
        <v>1</v>
      </c>
      <c r="F29" s="203" t="s">
        <v>146</v>
      </c>
      <c r="G29" s="198">
        <v>22.900518117994668</v>
      </c>
    </row>
    <row r="30" spans="1:7" x14ac:dyDescent="0.25">
      <c r="A30" s="178" t="s">
        <v>6253</v>
      </c>
      <c r="B30" s="178" t="s">
        <v>99</v>
      </c>
      <c r="C30" s="178" t="s">
        <v>5</v>
      </c>
      <c r="D30" s="196">
        <v>1</v>
      </c>
      <c r="E30" s="197">
        <v>1</v>
      </c>
      <c r="F30" s="203" t="s">
        <v>63</v>
      </c>
      <c r="G30" s="198">
        <v>29.006332779200061</v>
      </c>
    </row>
    <row r="31" spans="1:7" x14ac:dyDescent="0.25">
      <c r="A31" s="178" t="s">
        <v>6359</v>
      </c>
      <c r="B31" s="178" t="s">
        <v>269</v>
      </c>
      <c r="C31" s="178" t="s">
        <v>6348</v>
      </c>
      <c r="D31" s="196">
        <v>1</v>
      </c>
      <c r="E31" s="197">
        <v>1</v>
      </c>
      <c r="F31" s="203" t="s">
        <v>63</v>
      </c>
      <c r="G31" s="198">
        <v>37.611692555531349</v>
      </c>
    </row>
    <row r="32" spans="1:7" x14ac:dyDescent="0.25">
      <c r="A32" s="178" t="s">
        <v>298</v>
      </c>
      <c r="B32" s="178" t="s">
        <v>4950</v>
      </c>
      <c r="C32" s="178" t="s">
        <v>6348</v>
      </c>
      <c r="D32" s="196">
        <v>1</v>
      </c>
      <c r="E32" s="197">
        <v>1</v>
      </c>
      <c r="F32" s="203" t="s">
        <v>24</v>
      </c>
      <c r="G32" s="198">
        <v>27.006310712406698</v>
      </c>
    </row>
    <row r="33" spans="1:8" x14ac:dyDescent="0.25">
      <c r="A33" s="178" t="s">
        <v>1217</v>
      </c>
      <c r="B33" s="178" t="s">
        <v>4978</v>
      </c>
      <c r="C33" s="178" t="s">
        <v>6348</v>
      </c>
      <c r="D33" s="196">
        <v>1</v>
      </c>
      <c r="E33" s="197">
        <v>1</v>
      </c>
      <c r="F33" s="203" t="s">
        <v>63</v>
      </c>
      <c r="G33" s="198">
        <v>34.647381660101004</v>
      </c>
    </row>
    <row r="34" spans="1:8" x14ac:dyDescent="0.25">
      <c r="A34" s="178" t="s">
        <v>151</v>
      </c>
      <c r="B34" s="178" t="s">
        <v>3636</v>
      </c>
      <c r="C34" s="178" t="s">
        <v>6348</v>
      </c>
      <c r="D34" s="196">
        <v>1</v>
      </c>
      <c r="E34" s="197">
        <v>1</v>
      </c>
      <c r="F34" s="203" t="s">
        <v>24</v>
      </c>
      <c r="G34" s="198">
        <v>22.998964409605829</v>
      </c>
    </row>
    <row r="35" spans="1:8" x14ac:dyDescent="0.25">
      <c r="A35" s="178" t="s">
        <v>6358</v>
      </c>
      <c r="B35" s="178" t="s">
        <v>4682</v>
      </c>
      <c r="C35" s="178" t="s">
        <v>6348</v>
      </c>
      <c r="D35" s="196">
        <v>1</v>
      </c>
      <c r="E35" s="197">
        <v>1</v>
      </c>
      <c r="F35" s="203" t="s">
        <v>82</v>
      </c>
      <c r="G35" s="198">
        <v>21.497284173777338</v>
      </c>
    </row>
    <row r="36" spans="1:8" x14ac:dyDescent="0.25">
      <c r="A36" s="178" t="s">
        <v>6357</v>
      </c>
      <c r="B36" s="178" t="s">
        <v>6356</v>
      </c>
      <c r="C36" s="178" t="s">
        <v>6348</v>
      </c>
      <c r="D36" s="196">
        <v>1</v>
      </c>
      <c r="E36" s="197">
        <v>1</v>
      </c>
      <c r="F36" s="203" t="s">
        <v>8</v>
      </c>
      <c r="G36" s="198">
        <v>3.18124795615915</v>
      </c>
    </row>
    <row r="37" spans="1:8" x14ac:dyDescent="0.25">
      <c r="A37" s="178" t="s">
        <v>228</v>
      </c>
      <c r="B37" s="178" t="s">
        <v>229</v>
      </c>
      <c r="C37" s="178" t="s">
        <v>6348</v>
      </c>
      <c r="D37" s="196">
        <v>1</v>
      </c>
      <c r="E37" s="197">
        <v>1</v>
      </c>
      <c r="F37" s="203" t="s">
        <v>63</v>
      </c>
      <c r="G37" s="198">
        <v>3.4983234030296697</v>
      </c>
    </row>
    <row r="38" spans="1:8" x14ac:dyDescent="0.25">
      <c r="A38" s="178" t="s">
        <v>6355</v>
      </c>
      <c r="B38" s="178" t="s">
        <v>6354</v>
      </c>
      <c r="C38" s="178" t="s">
        <v>6348</v>
      </c>
      <c r="D38" s="196">
        <v>1</v>
      </c>
      <c r="E38" s="197">
        <v>1</v>
      </c>
      <c r="F38" s="203" t="s">
        <v>8</v>
      </c>
      <c r="G38" s="198">
        <v>2.7276019857248199</v>
      </c>
    </row>
    <row r="39" spans="1:8" x14ac:dyDescent="0.25">
      <c r="A39" s="178" t="s">
        <v>6353</v>
      </c>
      <c r="B39" s="178" t="s">
        <v>4692</v>
      </c>
      <c r="C39" s="178" t="s">
        <v>6348</v>
      </c>
      <c r="D39" s="196">
        <v>1</v>
      </c>
      <c r="E39" s="197">
        <v>1</v>
      </c>
      <c r="F39" s="203" t="s">
        <v>82</v>
      </c>
      <c r="G39" s="198">
        <v>38.419669678104682</v>
      </c>
    </row>
    <row r="40" spans="1:8" x14ac:dyDescent="0.25">
      <c r="A40" s="178" t="s">
        <v>6352</v>
      </c>
      <c r="B40" s="178" t="s">
        <v>174</v>
      </c>
      <c r="C40" s="178" t="s">
        <v>6348</v>
      </c>
      <c r="D40" s="196">
        <v>1</v>
      </c>
      <c r="E40" s="197">
        <v>1</v>
      </c>
      <c r="F40" s="203" t="s">
        <v>63</v>
      </c>
      <c r="G40" s="198">
        <v>5.498324858572909</v>
      </c>
    </row>
    <row r="41" spans="1:8" x14ac:dyDescent="0.25">
      <c r="A41" s="178" t="s">
        <v>1562</v>
      </c>
      <c r="B41" s="178" t="s">
        <v>4533</v>
      </c>
      <c r="C41" s="178" t="s">
        <v>6348</v>
      </c>
      <c r="D41" s="196">
        <v>1</v>
      </c>
      <c r="E41" s="197">
        <v>1</v>
      </c>
      <c r="F41" s="204" t="s">
        <v>3624</v>
      </c>
      <c r="G41" s="198">
        <v>66.199195186346572</v>
      </c>
      <c r="H41" s="182" t="s">
        <v>6407</v>
      </c>
    </row>
    <row r="42" spans="1:8" x14ac:dyDescent="0.25">
      <c r="A42" s="178" t="s">
        <v>6251</v>
      </c>
      <c r="B42" s="178" t="s">
        <v>439</v>
      </c>
      <c r="C42" s="178" t="s">
        <v>5</v>
      </c>
      <c r="D42" s="196">
        <v>1</v>
      </c>
      <c r="E42" s="197">
        <v>1</v>
      </c>
      <c r="F42" s="203" t="s">
        <v>63</v>
      </c>
      <c r="G42" s="198">
        <v>14.50232658020831</v>
      </c>
    </row>
    <row r="43" spans="1:8" x14ac:dyDescent="0.25">
      <c r="A43" s="178" t="s">
        <v>6351</v>
      </c>
      <c r="B43" s="178" t="s">
        <v>335</v>
      </c>
      <c r="C43" s="178" t="s">
        <v>6348</v>
      </c>
      <c r="D43" s="196">
        <v>1</v>
      </c>
      <c r="E43" s="197">
        <v>1</v>
      </c>
      <c r="F43" s="203" t="s">
        <v>8</v>
      </c>
      <c r="G43" s="198">
        <v>3.6385395662572799</v>
      </c>
    </row>
    <row r="44" spans="1:8" x14ac:dyDescent="0.25">
      <c r="A44" s="178" t="s">
        <v>3584</v>
      </c>
      <c r="B44" s="178" t="s">
        <v>3585</v>
      </c>
      <c r="C44" s="178" t="s">
        <v>5</v>
      </c>
      <c r="D44" s="196">
        <v>1</v>
      </c>
      <c r="E44" s="197">
        <v>1</v>
      </c>
      <c r="F44" s="203" t="s">
        <v>146</v>
      </c>
      <c r="G44" s="198">
        <v>84.826686918947161</v>
      </c>
    </row>
    <row r="45" spans="1:8" x14ac:dyDescent="0.25">
      <c r="A45" s="178" t="s">
        <v>144</v>
      </c>
      <c r="B45" s="178" t="s">
        <v>145</v>
      </c>
      <c r="C45" s="178" t="s">
        <v>6348</v>
      </c>
      <c r="D45" s="196">
        <v>1</v>
      </c>
      <c r="E45" s="197">
        <v>1</v>
      </c>
      <c r="F45" s="203" t="s">
        <v>63</v>
      </c>
      <c r="G45" s="198">
        <v>52.305402158893692</v>
      </c>
    </row>
    <row r="46" spans="1:8" x14ac:dyDescent="0.25">
      <c r="A46" s="178" t="s">
        <v>6350</v>
      </c>
      <c r="B46" s="178" t="s">
        <v>4702</v>
      </c>
      <c r="C46" s="178" t="s">
        <v>6348</v>
      </c>
      <c r="D46" s="196">
        <v>1</v>
      </c>
      <c r="E46" s="197">
        <v>1</v>
      </c>
      <c r="F46" s="203" t="s">
        <v>146</v>
      </c>
      <c r="G46" s="198">
        <v>4.5073466666876003</v>
      </c>
    </row>
    <row r="47" spans="1:8" x14ac:dyDescent="0.25">
      <c r="A47" s="178" t="s">
        <v>270</v>
      </c>
      <c r="B47" s="178" t="s">
        <v>6349</v>
      </c>
      <c r="C47" s="178" t="s">
        <v>6348</v>
      </c>
      <c r="D47" s="196">
        <v>1</v>
      </c>
      <c r="E47" s="197">
        <v>1</v>
      </c>
      <c r="F47" s="203" t="s">
        <v>8</v>
      </c>
      <c r="G47" s="198">
        <v>28.650024334966705</v>
      </c>
    </row>
    <row r="48" spans="1:8" x14ac:dyDescent="0.25">
      <c r="A48" s="178" t="s">
        <v>3324</v>
      </c>
      <c r="B48" s="178" t="s">
        <v>4948</v>
      </c>
      <c r="C48" s="178" t="s">
        <v>6348</v>
      </c>
      <c r="D48" s="196">
        <v>1</v>
      </c>
      <c r="E48" s="197">
        <v>1</v>
      </c>
      <c r="F48" s="203" t="s">
        <v>63</v>
      </c>
      <c r="G48" s="198">
        <v>3.5073459389156803</v>
      </c>
    </row>
    <row r="49" spans="1:7" x14ac:dyDescent="0.25">
      <c r="A49" s="178" t="s">
        <v>192</v>
      </c>
      <c r="B49" s="178" t="s">
        <v>433</v>
      </c>
      <c r="C49" s="178" t="s">
        <v>5</v>
      </c>
      <c r="D49" s="196">
        <v>1</v>
      </c>
      <c r="E49" s="197">
        <v>1</v>
      </c>
      <c r="F49" s="203" t="s">
        <v>63</v>
      </c>
      <c r="G49" s="198">
        <v>8.4558368714292289</v>
      </c>
    </row>
    <row r="50" spans="1:7" x14ac:dyDescent="0.25">
      <c r="A50" s="178" t="s">
        <v>251</v>
      </c>
      <c r="B50" s="178" t="s">
        <v>252</v>
      </c>
      <c r="C50" s="178" t="s">
        <v>6348</v>
      </c>
      <c r="D50" s="196">
        <v>1</v>
      </c>
      <c r="E50" s="197">
        <v>1</v>
      </c>
      <c r="F50" s="203" t="s">
        <v>63</v>
      </c>
      <c r="G50" s="198">
        <v>23.880766432966379</v>
      </c>
    </row>
    <row r="51" spans="1:7" x14ac:dyDescent="0.25">
      <c r="A51" t="s">
        <v>6403</v>
      </c>
      <c r="B51" t="s">
        <v>408</v>
      </c>
      <c r="C51" t="s">
        <v>6348</v>
      </c>
      <c r="D51" s="196">
        <v>2</v>
      </c>
      <c r="E51" s="107">
        <v>1</v>
      </c>
      <c r="F51" s="203" t="s">
        <v>63</v>
      </c>
      <c r="G51" s="108">
        <v>38.406906653821764</v>
      </c>
    </row>
    <row r="52" spans="1:7" ht="30" x14ac:dyDescent="0.25">
      <c r="A52" t="s">
        <v>6402</v>
      </c>
      <c r="B52" t="s">
        <v>6401</v>
      </c>
      <c r="C52" t="s">
        <v>6348</v>
      </c>
      <c r="D52" s="196">
        <v>2</v>
      </c>
      <c r="E52" s="107">
        <v>2</v>
      </c>
      <c r="F52" s="200" t="s">
        <v>6404</v>
      </c>
      <c r="G52" s="108">
        <v>28.502081211779881</v>
      </c>
    </row>
    <row r="53" spans="1:7" x14ac:dyDescent="0.25">
      <c r="A53" t="s">
        <v>69</v>
      </c>
      <c r="B53" t="s">
        <v>6400</v>
      </c>
      <c r="C53" t="s">
        <v>6348</v>
      </c>
      <c r="D53" s="196">
        <v>2</v>
      </c>
      <c r="E53" s="107">
        <v>1</v>
      </c>
      <c r="F53" s="203" t="s">
        <v>63</v>
      </c>
      <c r="G53" s="108">
        <v>29.327715746398241</v>
      </c>
    </row>
    <row r="54" spans="1:7" x14ac:dyDescent="0.25">
      <c r="A54" t="s">
        <v>96</v>
      </c>
      <c r="B54" t="s">
        <v>97</v>
      </c>
      <c r="C54" t="s">
        <v>6348</v>
      </c>
      <c r="D54" s="196">
        <v>2</v>
      </c>
      <c r="E54" s="107">
        <v>1</v>
      </c>
      <c r="F54" s="203" t="s">
        <v>82</v>
      </c>
      <c r="G54" s="108">
        <v>57.900851596764625</v>
      </c>
    </row>
    <row r="55" spans="1:7" x14ac:dyDescent="0.25">
      <c r="A55" t="s">
        <v>732</v>
      </c>
      <c r="B55" t="s">
        <v>4742</v>
      </c>
      <c r="C55" t="s">
        <v>6348</v>
      </c>
      <c r="D55" s="196">
        <v>2</v>
      </c>
      <c r="E55" s="107">
        <v>1</v>
      </c>
      <c r="F55" s="203" t="s">
        <v>63</v>
      </c>
      <c r="G55" s="108">
        <v>4.4983241308012802</v>
      </c>
    </row>
    <row r="56" spans="1:7" x14ac:dyDescent="0.25">
      <c r="A56" t="s">
        <v>6399</v>
      </c>
      <c r="B56" t="s">
        <v>4582</v>
      </c>
      <c r="C56" t="s">
        <v>6348</v>
      </c>
      <c r="D56" s="196">
        <v>2</v>
      </c>
      <c r="E56" s="107">
        <v>1</v>
      </c>
      <c r="F56" s="203" t="s">
        <v>146</v>
      </c>
      <c r="G56" s="108">
        <v>16.36441234520921</v>
      </c>
    </row>
    <row r="57" spans="1:7" x14ac:dyDescent="0.25">
      <c r="A57" t="s">
        <v>6398</v>
      </c>
      <c r="B57" t="s">
        <v>6397</v>
      </c>
      <c r="C57" t="s">
        <v>6348</v>
      </c>
      <c r="D57" s="196">
        <v>2</v>
      </c>
      <c r="E57" s="107">
        <v>1</v>
      </c>
      <c r="F57" s="203" t="s">
        <v>63</v>
      </c>
      <c r="G57" s="108">
        <v>6.4983255863450502</v>
      </c>
    </row>
    <row r="58" spans="1:7" x14ac:dyDescent="0.25">
      <c r="A58" t="s">
        <v>6396</v>
      </c>
      <c r="B58" t="s">
        <v>3673</v>
      </c>
      <c r="C58" t="s">
        <v>6348</v>
      </c>
      <c r="D58" s="196">
        <v>2</v>
      </c>
      <c r="E58" s="107">
        <v>1</v>
      </c>
      <c r="F58" s="203" t="s">
        <v>24</v>
      </c>
      <c r="G58" s="108">
        <v>16.509661359146858</v>
      </c>
    </row>
    <row r="59" spans="1:7" x14ac:dyDescent="0.25">
      <c r="A59" t="s">
        <v>283</v>
      </c>
      <c r="B59" t="s">
        <v>284</v>
      </c>
      <c r="C59" t="s">
        <v>6348</v>
      </c>
      <c r="D59" s="196">
        <v>2</v>
      </c>
      <c r="E59" s="107">
        <v>1</v>
      </c>
      <c r="F59" s="203" t="s">
        <v>6405</v>
      </c>
      <c r="G59" s="108">
        <v>1.80000130998949</v>
      </c>
    </row>
    <row r="60" spans="1:7" x14ac:dyDescent="0.25">
      <c r="A60" t="s">
        <v>6395</v>
      </c>
      <c r="B60" t="s">
        <v>4747</v>
      </c>
      <c r="C60" t="s">
        <v>6348</v>
      </c>
      <c r="D60" s="196">
        <v>2</v>
      </c>
      <c r="E60" s="107">
        <v>1</v>
      </c>
      <c r="F60" s="203" t="s">
        <v>24</v>
      </c>
      <c r="G60" s="108">
        <v>3.9983237669154499</v>
      </c>
    </row>
    <row r="61" spans="1:7" x14ac:dyDescent="0.25">
      <c r="A61" t="s">
        <v>6394</v>
      </c>
      <c r="B61" t="s">
        <v>4639</v>
      </c>
      <c r="C61" t="s">
        <v>6348</v>
      </c>
      <c r="D61" s="196">
        <v>2</v>
      </c>
      <c r="E61" s="107">
        <v>1</v>
      </c>
      <c r="F61" s="203" t="s">
        <v>63</v>
      </c>
      <c r="G61" s="108">
        <v>23.006307801319874</v>
      </c>
    </row>
    <row r="62" spans="1:7" x14ac:dyDescent="0.25">
      <c r="A62" t="s">
        <v>6393</v>
      </c>
      <c r="B62" t="s">
        <v>4668</v>
      </c>
      <c r="C62" t="s">
        <v>6348</v>
      </c>
      <c r="D62" s="196">
        <v>2</v>
      </c>
      <c r="E62" s="107">
        <v>1</v>
      </c>
      <c r="F62" s="203" t="s">
        <v>6405</v>
      </c>
      <c r="G62" s="108">
        <v>21.778362761254648</v>
      </c>
    </row>
    <row r="63" spans="1:7" x14ac:dyDescent="0.25">
      <c r="A63" t="s">
        <v>6392</v>
      </c>
      <c r="B63" t="s">
        <v>6391</v>
      </c>
      <c r="C63" t="s">
        <v>6348</v>
      </c>
      <c r="D63" s="196">
        <v>2</v>
      </c>
      <c r="E63" s="107">
        <v>1</v>
      </c>
      <c r="F63" s="203" t="s">
        <v>63</v>
      </c>
      <c r="G63" s="108">
        <v>3.5073459389157602</v>
      </c>
    </row>
    <row r="64" spans="1:7" x14ac:dyDescent="0.25">
      <c r="A64" t="s">
        <v>333</v>
      </c>
      <c r="B64" t="s">
        <v>334</v>
      </c>
      <c r="C64" t="s">
        <v>6348</v>
      </c>
      <c r="D64" s="196">
        <v>2</v>
      </c>
      <c r="E64" s="107">
        <v>1</v>
      </c>
      <c r="F64" s="203" t="s">
        <v>63</v>
      </c>
      <c r="G64" s="108">
        <v>12.99665117268977</v>
      </c>
    </row>
    <row r="65" spans="1:7" x14ac:dyDescent="0.25">
      <c r="A65" t="s">
        <v>6390</v>
      </c>
      <c r="B65" t="s">
        <v>212</v>
      </c>
      <c r="C65" t="s">
        <v>6348</v>
      </c>
      <c r="D65" s="196">
        <v>2</v>
      </c>
      <c r="E65" s="107">
        <v>1</v>
      </c>
      <c r="F65" s="203" t="s">
        <v>63</v>
      </c>
      <c r="G65" s="108">
        <v>18.32718353861064</v>
      </c>
    </row>
    <row r="66" spans="1:7" x14ac:dyDescent="0.25">
      <c r="A66" t="s">
        <v>6389</v>
      </c>
      <c r="B66" t="s">
        <v>6388</v>
      </c>
      <c r="C66" t="s">
        <v>6348</v>
      </c>
      <c r="D66" s="196">
        <v>2</v>
      </c>
      <c r="E66" s="107">
        <v>1</v>
      </c>
      <c r="F66" s="203" t="s">
        <v>8</v>
      </c>
      <c r="G66" s="108">
        <v>31.819118720894178</v>
      </c>
    </row>
    <row r="67" spans="1:7" x14ac:dyDescent="0.25">
      <c r="A67" t="s">
        <v>3600</v>
      </c>
      <c r="B67" t="s">
        <v>3601</v>
      </c>
      <c r="C67" t="s">
        <v>5</v>
      </c>
      <c r="D67" s="196">
        <v>2</v>
      </c>
      <c r="E67" s="107">
        <v>1</v>
      </c>
      <c r="F67" s="203" t="s">
        <v>63</v>
      </c>
      <c r="G67" s="108">
        <v>39.36911441892704</v>
      </c>
    </row>
    <row r="68" spans="1:7" x14ac:dyDescent="0.25">
      <c r="A68" t="s">
        <v>192</v>
      </c>
      <c r="B68" t="s">
        <v>294</v>
      </c>
      <c r="C68" t="s">
        <v>6348</v>
      </c>
      <c r="D68" s="196">
        <v>2</v>
      </c>
      <c r="E68" s="107">
        <v>1</v>
      </c>
      <c r="F68" s="203" t="s">
        <v>63</v>
      </c>
      <c r="G68" s="108">
        <v>13.802303237025551</v>
      </c>
    </row>
    <row r="69" spans="1:7" x14ac:dyDescent="0.25">
      <c r="A69" t="s">
        <v>6387</v>
      </c>
      <c r="B69" t="s">
        <v>4722</v>
      </c>
      <c r="C69" t="s">
        <v>6348</v>
      </c>
      <c r="D69" s="196">
        <v>2</v>
      </c>
      <c r="E69" s="107">
        <v>1</v>
      </c>
      <c r="F69" s="203" t="s">
        <v>24</v>
      </c>
      <c r="G69" s="108">
        <v>23.994980034006787</v>
      </c>
    </row>
    <row r="70" spans="1:7" x14ac:dyDescent="0.25">
      <c r="A70" t="s">
        <v>6386</v>
      </c>
      <c r="B70" t="s">
        <v>295</v>
      </c>
      <c r="C70" t="s">
        <v>6348</v>
      </c>
      <c r="D70" s="196">
        <v>2</v>
      </c>
      <c r="E70" s="107">
        <v>1</v>
      </c>
      <c r="F70" s="203" t="s">
        <v>8</v>
      </c>
      <c r="G70" s="108">
        <v>6.8134216004571684</v>
      </c>
    </row>
  </sheetData>
  <autoFilter ref="A1:H1" xr:uid="{64C18143-3C4E-4A7C-850C-2D27CD9C08E2}"/>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EA099B-8700-44D5-88FA-E81A15C1862F}">
  <dimension ref="A1:H5"/>
  <sheetViews>
    <sheetView zoomScale="145" zoomScaleNormal="145" workbookViewId="0">
      <selection sqref="A1:H5"/>
    </sheetView>
  </sheetViews>
  <sheetFormatPr defaultRowHeight="15" x14ac:dyDescent="0.25"/>
  <cols>
    <col min="2" max="2" width="16.85546875" bestFit="1" customWidth="1"/>
    <col min="4" max="4" width="10.140625" bestFit="1" customWidth="1"/>
    <col min="8" max="8" width="59" bestFit="1" customWidth="1"/>
  </cols>
  <sheetData>
    <row r="1" spans="1:8" ht="75" x14ac:dyDescent="0.25">
      <c r="A1" s="206" t="s">
        <v>3696</v>
      </c>
      <c r="B1" s="207" t="s">
        <v>461</v>
      </c>
      <c r="C1" s="207" t="s">
        <v>462</v>
      </c>
      <c r="D1" s="207" t="s">
        <v>463</v>
      </c>
      <c r="E1" s="207" t="s">
        <v>464</v>
      </c>
      <c r="F1" s="207" t="s">
        <v>1073</v>
      </c>
      <c r="G1" s="211" t="s">
        <v>6415</v>
      </c>
      <c r="H1" s="210" t="s">
        <v>6414</v>
      </c>
    </row>
    <row r="2" spans="1:8" ht="60" x14ac:dyDescent="0.25">
      <c r="A2" s="123" t="s">
        <v>7</v>
      </c>
      <c r="B2" s="208" t="s">
        <v>631</v>
      </c>
      <c r="C2" s="208" t="s">
        <v>632</v>
      </c>
      <c r="D2" s="208" t="s">
        <v>161</v>
      </c>
      <c r="E2" s="208" t="s">
        <v>615</v>
      </c>
      <c r="F2" s="208" t="s">
        <v>3098</v>
      </c>
      <c r="G2" s="208" t="s">
        <v>6416</v>
      </c>
      <c r="H2" s="161" t="s">
        <v>6413</v>
      </c>
    </row>
    <row r="3" spans="1:8" x14ac:dyDescent="0.25">
      <c r="A3" s="123" t="s">
        <v>7</v>
      </c>
      <c r="B3" s="208" t="s">
        <v>6408</v>
      </c>
      <c r="C3" s="208"/>
      <c r="D3" s="208"/>
      <c r="E3" s="209" t="s">
        <v>6409</v>
      </c>
      <c r="F3" s="208" t="s">
        <v>1807</v>
      </c>
      <c r="G3" s="208" t="s">
        <v>6416</v>
      </c>
      <c r="H3" s="208" t="s">
        <v>6410</v>
      </c>
    </row>
    <row r="4" spans="1:8" x14ac:dyDescent="0.25">
      <c r="A4" s="123" t="s">
        <v>7</v>
      </c>
      <c r="B4" s="208" t="s">
        <v>565</v>
      </c>
      <c r="C4" s="208"/>
      <c r="D4" s="208"/>
      <c r="E4" s="208" t="s">
        <v>596</v>
      </c>
      <c r="F4" s="208" t="s">
        <v>1960</v>
      </c>
      <c r="G4" s="208" t="s">
        <v>6416</v>
      </c>
      <c r="H4" s="208" t="s">
        <v>6411</v>
      </c>
    </row>
    <row r="5" spans="1:8" x14ac:dyDescent="0.25">
      <c r="A5" s="123" t="s">
        <v>7</v>
      </c>
      <c r="B5" s="208" t="s">
        <v>85</v>
      </c>
      <c r="C5" s="208"/>
      <c r="D5" s="208"/>
      <c r="E5" s="208" t="s">
        <v>616</v>
      </c>
      <c r="F5" s="208" t="s">
        <v>2082</v>
      </c>
      <c r="G5" s="208" t="s">
        <v>6416</v>
      </c>
      <c r="H5" s="208" t="s">
        <v>6412</v>
      </c>
    </row>
  </sheetData>
  <autoFilter ref="A1:H1" xr:uid="{9AEA099B-8700-44D5-88FA-E81A15C1862F}"/>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Masterfile</vt:lpstr>
      <vt:lpstr>GK IFT SDM POSTCODES</vt:lpstr>
      <vt:lpstr>Base</vt:lpstr>
      <vt:lpstr>Multi Op LL</vt:lpstr>
      <vt:lpstr>CAT</vt:lpstr>
      <vt:lpstr>Ox. Brewers Ipswich</vt:lpstr>
      <vt:lpstr>Ox. Brewers All Patches</vt:lpstr>
      <vt:lpstr>Push</vt:lpstr>
      <vt:lpstr>Pipeline, RM Push, Visit Ops</vt:lpstr>
      <vt:lpstr>TopVol</vt:lpstr>
      <vt:lpstr>Q1 Churn</vt:lpstr>
      <vt:lpstr>Modelo &amp; Eazy Target 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Carnahan, Israel</cp:lastModifiedBy>
  <dcterms:modified xsi:type="dcterms:W3CDTF">2026-01-14T12:41:55Z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68104b14-b53d-46de-9ae8-975cc0e84815_Enabled">
    <vt:lpwstr>true</vt:lpwstr>
  </property>
  <property fmtid="{D5CDD505-2E9C-101B-9397-08002B2CF9AE}" pid="3" name="MSIP_Label_68104b14-b53d-46de-9ae8-975cc0e84815_SetDate">
    <vt:lpwstr>2025-10-13T16:31:44Z</vt:lpwstr>
  </property>
  <property fmtid="{D5CDD505-2E9C-101B-9397-08002B2CF9AE}" pid="4" name="MSIP_Label_68104b14-b53d-46de-9ae8-975cc0e84815_Method">
    <vt:lpwstr>Standard</vt:lpwstr>
  </property>
  <property fmtid="{D5CDD505-2E9C-101B-9397-08002B2CF9AE}" pid="5" name="MSIP_Label_68104b14-b53d-46de-9ae8-975cc0e84815_Name">
    <vt:lpwstr>ABI_MIP_InternalUseOnly</vt:lpwstr>
  </property>
  <property fmtid="{D5CDD505-2E9C-101B-9397-08002B2CF9AE}" pid="6" name="MSIP_Label_68104b14-b53d-46de-9ae8-975cc0e84815_SiteId">
    <vt:lpwstr>cef04b19-7776-4a94-b89b-375c77a8f936</vt:lpwstr>
  </property>
  <property fmtid="{D5CDD505-2E9C-101B-9397-08002B2CF9AE}" pid="7" name="MSIP_Label_68104b14-b53d-46de-9ae8-975cc0e84815_ActionId">
    <vt:lpwstr>700a3290-a75c-48e3-8ef1-d273d9251e87</vt:lpwstr>
  </property>
  <property fmtid="{D5CDD505-2E9C-101B-9397-08002B2CF9AE}" pid="8" name="MSIP_Label_68104b14-b53d-46de-9ae8-975cc0e84815_ContentBits">
    <vt:lpwstr>0</vt:lpwstr>
  </property>
</Properties>
</file>